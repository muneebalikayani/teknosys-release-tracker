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B91B8FA4A0C0A4284DC9974D8E744F1FB711396A" xr6:coauthVersionLast="47" xr6:coauthVersionMax="47" xr10:uidLastSave="{00000000-0000-0000-0000-000000000000}"/>
  <bookViews>
    <workbookView xWindow="3800" yWindow="600" windowWidth="21800" windowHeight="14220" tabRatio="500" xr2:uid="{00000000-000D-0000-FFFF-FFFF00000000}"/>
  </bookViews>
  <sheets>
    <sheet name="Dashboard" sheetId="1" r:id="rId1"/>
    <sheet name="Holidays" sheetId="2" r:id="rId2"/>
    <sheet name="Release Calendar" sheetId="3" r:id="rId3"/>
    <sheet name="Calendar View" sheetId="4" r:id="rId4"/>
    <sheet name="Monthly Calendar" sheetId="5" r:id="rId5"/>
    <sheet name="Year Calendar" sheetId="6" r:id="rId6"/>
  </sheets>
  <definedNames>
    <definedName name="HolidayEnd">Holidays!$D$5:$D$34</definedName>
    <definedName name="HolidayName">Holidays!$B$5:$B$34</definedName>
    <definedName name="HolidayStart">Holidays!$C$5:$C$34</definedName>
    <definedName name="_xlnm.Print_Area" localSheetId="0">Dashboard!$A$1:$K$61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6" l="1"/>
  <c r="J51" i="6"/>
  <c r="B51" i="6"/>
  <c r="R36" i="6"/>
  <c r="J36" i="6"/>
  <c r="B36" i="6"/>
  <c r="R21" i="6"/>
  <c r="J21" i="6"/>
  <c r="B21" i="6"/>
  <c r="AZ12" i="6"/>
  <c r="AZ11" i="6"/>
  <c r="AZ10" i="6"/>
  <c r="AZ9" i="6"/>
  <c r="AZ8" i="6"/>
  <c r="AZ7" i="6"/>
  <c r="AZ6" i="6"/>
  <c r="R6" i="6"/>
  <c r="J6" i="6"/>
  <c r="B6" i="6"/>
  <c r="AZ5" i="6"/>
  <c r="AZ4" i="6"/>
  <c r="AZ3" i="6"/>
  <c r="AZ2" i="6"/>
  <c r="AZ1" i="6"/>
  <c r="D4" i="5"/>
  <c r="B4" i="5"/>
  <c r="K510" i="4"/>
  <c r="A506" i="4"/>
  <c r="R504" i="4"/>
  <c r="Q504" i="4"/>
  <c r="P504" i="4"/>
  <c r="O504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R503" i="4"/>
  <c r="Q503" i="4"/>
  <c r="P503" i="4"/>
  <c r="O503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R501" i="4"/>
  <c r="Q501" i="4"/>
  <c r="P501" i="4"/>
  <c r="O501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R500" i="4"/>
  <c r="Q500" i="4"/>
  <c r="P500" i="4"/>
  <c r="O500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R499" i="4"/>
  <c r="Q499" i="4"/>
  <c r="P499" i="4"/>
  <c r="O499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R498" i="4"/>
  <c r="Q498" i="4"/>
  <c r="P498" i="4"/>
  <c r="O498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R497" i="4"/>
  <c r="Q497" i="4"/>
  <c r="P497" i="4"/>
  <c r="O497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R496" i="4"/>
  <c r="Q496" i="4"/>
  <c r="P496" i="4"/>
  <c r="O496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R495" i="4"/>
  <c r="Q495" i="4"/>
  <c r="P495" i="4"/>
  <c r="O495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R494" i="4"/>
  <c r="Q494" i="4"/>
  <c r="P494" i="4"/>
  <c r="O494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R493" i="4"/>
  <c r="Q493" i="4"/>
  <c r="P493" i="4"/>
  <c r="O493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R492" i="4"/>
  <c r="Q492" i="4"/>
  <c r="P492" i="4"/>
  <c r="O492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R491" i="4"/>
  <c r="Q491" i="4"/>
  <c r="P491" i="4"/>
  <c r="O491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R490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R489" i="4"/>
  <c r="Q489" i="4"/>
  <c r="P489" i="4"/>
  <c r="O489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R488" i="4"/>
  <c r="Q488" i="4"/>
  <c r="P488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R487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R486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R485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R484" i="4"/>
  <c r="Q484" i="4"/>
  <c r="P484" i="4"/>
  <c r="O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R483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R482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R481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R480" i="4"/>
  <c r="Q480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R479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R477" i="4"/>
  <c r="Q477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R476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R475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R473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R472" i="4"/>
  <c r="Q472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R471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R469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R468" i="4"/>
  <c r="Q468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R467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R466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R465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R464" i="4"/>
  <c r="Q464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R463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R462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R461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R460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R459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R458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R457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R456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R453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R451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R449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R446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R444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R441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R440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R439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R436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R420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R413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R412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31" i="1"/>
  <c r="C31" i="1"/>
  <c r="H27" i="1"/>
  <c r="C27" i="1"/>
  <c r="H26" i="1"/>
  <c r="C26" i="1"/>
  <c r="H25" i="1"/>
  <c r="H24" i="1"/>
  <c r="H23" i="1"/>
  <c r="C23" i="1"/>
  <c r="H22" i="1"/>
  <c r="C22" i="1"/>
  <c r="H21" i="1"/>
  <c r="C21" i="1"/>
  <c r="H20" i="1"/>
  <c r="C20" i="1"/>
  <c r="H19" i="1"/>
  <c r="C19" i="1"/>
  <c r="C16" i="1"/>
  <c r="C15" i="1"/>
  <c r="H14" i="1"/>
  <c r="C14" i="1"/>
  <c r="H13" i="1"/>
  <c r="C13" i="1"/>
  <c r="H12" i="1"/>
  <c r="C12" i="1"/>
  <c r="I7" i="1"/>
  <c r="G7" i="1"/>
  <c r="D7" i="1"/>
  <c r="B7" i="1"/>
  <c r="B3" i="1"/>
  <c r="L2" i="1"/>
  <c r="L1" i="1"/>
  <c r="L3" i="1" l="1"/>
  <c r="J27" i="1"/>
  <c r="I27" i="1"/>
  <c r="J26" i="1"/>
  <c r="I26" i="1"/>
  <c r="J25" i="1"/>
  <c r="I25" i="1"/>
  <c r="J24" i="1"/>
  <c r="I24" i="1"/>
  <c r="J23" i="1"/>
  <c r="I23" i="1"/>
  <c r="E23" i="1"/>
  <c r="D23" i="1"/>
  <c r="J22" i="1"/>
  <c r="I22" i="1"/>
  <c r="E22" i="1"/>
  <c r="D22" i="1"/>
  <c r="J21" i="1"/>
  <c r="I21" i="1"/>
  <c r="E21" i="1"/>
  <c r="D21" i="1"/>
  <c r="J20" i="1"/>
  <c r="I20" i="1"/>
  <c r="E20" i="1"/>
  <c r="D20" i="1"/>
  <c r="J19" i="1"/>
  <c r="I19" i="1"/>
  <c r="E19" i="1"/>
  <c r="D19" i="1"/>
  <c r="E16" i="1"/>
  <c r="D16" i="1"/>
  <c r="E15" i="1"/>
  <c r="D15" i="1"/>
  <c r="J14" i="1"/>
  <c r="I14" i="1"/>
  <c r="E14" i="1"/>
  <c r="D14" i="1"/>
  <c r="J13" i="1"/>
  <c r="I13" i="1"/>
  <c r="E13" i="1"/>
  <c r="D13" i="1"/>
  <c r="J12" i="1"/>
  <c r="I12" i="1"/>
  <c r="E12" i="1"/>
  <c r="D12" i="1"/>
  <c r="J9" i="1"/>
  <c r="C9" i="1"/>
  <c r="I4" i="5"/>
  <c r="E4" i="5"/>
  <c r="BB1" i="6"/>
  <c r="BA1" i="6"/>
  <c r="BB2" i="6"/>
  <c r="BA2" i="6"/>
  <c r="BB3" i="6"/>
  <c r="BA3" i="6"/>
  <c r="BB4" i="6"/>
  <c r="BA4" i="6"/>
  <c r="BB5" i="6"/>
  <c r="BA5" i="6"/>
  <c r="BB6" i="6"/>
  <c r="BA6" i="6"/>
  <c r="BB7" i="6"/>
  <c r="BA7" i="6"/>
  <c r="BB8" i="6"/>
  <c r="BA8" i="6"/>
  <c r="BB9" i="6"/>
  <c r="BA9" i="6"/>
  <c r="BB10" i="6"/>
  <c r="BA10" i="6"/>
  <c r="BB11" i="6"/>
  <c r="BA11" i="6"/>
  <c r="BB12" i="6"/>
  <c r="BA12" i="6"/>
  <c r="X63" i="6" l="1"/>
  <c r="X64" i="6" s="1"/>
  <c r="W63" i="6"/>
  <c r="W64" i="6" s="1"/>
  <c r="V63" i="6"/>
  <c r="V64" i="6" s="1"/>
  <c r="U63" i="6"/>
  <c r="U64" i="6" s="1"/>
  <c r="T63" i="6"/>
  <c r="T64" i="6" s="1"/>
  <c r="S63" i="6"/>
  <c r="S64" i="6" s="1"/>
  <c r="R63" i="6"/>
  <c r="R64" i="6" s="1"/>
  <c r="X61" i="6"/>
  <c r="X62" i="6" s="1"/>
  <c r="W61" i="6"/>
  <c r="W62" i="6" s="1"/>
  <c r="V61" i="6"/>
  <c r="V62" i="6" s="1"/>
  <c r="U61" i="6"/>
  <c r="U62" i="6" s="1"/>
  <c r="T61" i="6"/>
  <c r="T62" i="6" s="1"/>
  <c r="S61" i="6"/>
  <c r="S62" i="6" s="1"/>
  <c r="R61" i="6"/>
  <c r="R62" i="6" s="1"/>
  <c r="X59" i="6"/>
  <c r="X60" i="6" s="1"/>
  <c r="W59" i="6"/>
  <c r="W60" i="6" s="1"/>
  <c r="V59" i="6"/>
  <c r="V60" i="6" s="1"/>
  <c r="U59" i="6"/>
  <c r="U60" i="6" s="1"/>
  <c r="T59" i="6"/>
  <c r="T60" i="6" s="1"/>
  <c r="S59" i="6"/>
  <c r="S60" i="6" s="1"/>
  <c r="R59" i="6"/>
  <c r="R60" i="6" s="1"/>
  <c r="X57" i="6"/>
  <c r="X58" i="6" s="1"/>
  <c r="W57" i="6"/>
  <c r="W58" i="6" s="1"/>
  <c r="V57" i="6"/>
  <c r="V58" i="6" s="1"/>
  <c r="U57" i="6"/>
  <c r="U58" i="6" s="1"/>
  <c r="T57" i="6"/>
  <c r="T58" i="6" s="1"/>
  <c r="S57" i="6"/>
  <c r="S58" i="6" s="1"/>
  <c r="R57" i="6"/>
  <c r="R58" i="6" s="1"/>
  <c r="X55" i="6"/>
  <c r="X56" i="6" s="1"/>
  <c r="W55" i="6"/>
  <c r="W56" i="6" s="1"/>
  <c r="V55" i="6"/>
  <c r="V56" i="6" s="1"/>
  <c r="U55" i="6"/>
  <c r="U56" i="6" s="1"/>
  <c r="T55" i="6"/>
  <c r="T56" i="6" s="1"/>
  <c r="S55" i="6"/>
  <c r="S56" i="6" s="1"/>
  <c r="R55" i="6"/>
  <c r="R56" i="6" s="1"/>
  <c r="X53" i="6"/>
  <c r="X54" i="6" s="1"/>
  <c r="W53" i="6"/>
  <c r="W54" i="6" s="1"/>
  <c r="V53" i="6"/>
  <c r="V54" i="6" s="1"/>
  <c r="U53" i="6"/>
  <c r="U54" i="6" s="1"/>
  <c r="T53" i="6"/>
  <c r="T54" i="6" s="1"/>
  <c r="S53" i="6"/>
  <c r="S54" i="6" s="1"/>
  <c r="R53" i="6"/>
  <c r="R54" i="6" s="1"/>
  <c r="P63" i="6"/>
  <c r="P64" i="6" s="1"/>
  <c r="O63" i="6"/>
  <c r="O64" i="6" s="1"/>
  <c r="N63" i="6"/>
  <c r="N64" i="6" s="1"/>
  <c r="M63" i="6"/>
  <c r="M64" i="6" s="1"/>
  <c r="L63" i="6"/>
  <c r="L64" i="6" s="1"/>
  <c r="K63" i="6"/>
  <c r="K64" i="6" s="1"/>
  <c r="J63" i="6"/>
  <c r="J64" i="6" s="1"/>
  <c r="P61" i="6"/>
  <c r="P62" i="6" s="1"/>
  <c r="O61" i="6"/>
  <c r="O62" i="6" s="1"/>
  <c r="N61" i="6"/>
  <c r="N62" i="6" s="1"/>
  <c r="M61" i="6"/>
  <c r="M62" i="6" s="1"/>
  <c r="L61" i="6"/>
  <c r="L62" i="6" s="1"/>
  <c r="K61" i="6"/>
  <c r="K62" i="6" s="1"/>
  <c r="J61" i="6"/>
  <c r="J62" i="6" s="1"/>
  <c r="P59" i="6"/>
  <c r="P60" i="6" s="1"/>
  <c r="O59" i="6"/>
  <c r="O60" i="6" s="1"/>
  <c r="N59" i="6"/>
  <c r="N60" i="6" s="1"/>
  <c r="M59" i="6"/>
  <c r="M60" i="6" s="1"/>
  <c r="L59" i="6"/>
  <c r="L60" i="6" s="1"/>
  <c r="K59" i="6"/>
  <c r="K60" i="6" s="1"/>
  <c r="J59" i="6"/>
  <c r="J60" i="6" s="1"/>
  <c r="P57" i="6"/>
  <c r="P58" i="6" s="1"/>
  <c r="O57" i="6"/>
  <c r="O58" i="6" s="1"/>
  <c r="N57" i="6"/>
  <c r="N58" i="6" s="1"/>
  <c r="M57" i="6"/>
  <c r="M58" i="6" s="1"/>
  <c r="L57" i="6"/>
  <c r="L58" i="6" s="1"/>
  <c r="K57" i="6"/>
  <c r="K58" i="6" s="1"/>
  <c r="J57" i="6"/>
  <c r="J58" i="6" s="1"/>
  <c r="P55" i="6"/>
  <c r="P56" i="6" s="1"/>
  <c r="O55" i="6"/>
  <c r="O56" i="6" s="1"/>
  <c r="N55" i="6"/>
  <c r="N56" i="6" s="1"/>
  <c r="M55" i="6"/>
  <c r="M56" i="6" s="1"/>
  <c r="L55" i="6"/>
  <c r="L56" i="6" s="1"/>
  <c r="K55" i="6"/>
  <c r="K56" i="6" s="1"/>
  <c r="J55" i="6"/>
  <c r="J56" i="6" s="1"/>
  <c r="P53" i="6"/>
  <c r="P54" i="6" s="1"/>
  <c r="O53" i="6"/>
  <c r="O54" i="6" s="1"/>
  <c r="N53" i="6"/>
  <c r="N54" i="6" s="1"/>
  <c r="M53" i="6"/>
  <c r="M54" i="6" s="1"/>
  <c r="L53" i="6"/>
  <c r="L54" i="6" s="1"/>
  <c r="K53" i="6"/>
  <c r="K54" i="6" s="1"/>
  <c r="J53" i="6"/>
  <c r="J54" i="6" s="1"/>
  <c r="H63" i="6"/>
  <c r="H64" i="6" s="1"/>
  <c r="G63" i="6"/>
  <c r="G64" i="6" s="1"/>
  <c r="F63" i="6"/>
  <c r="F64" i="6" s="1"/>
  <c r="E63" i="6"/>
  <c r="E64" i="6" s="1"/>
  <c r="D63" i="6"/>
  <c r="D64" i="6" s="1"/>
  <c r="C63" i="6"/>
  <c r="C64" i="6" s="1"/>
  <c r="B63" i="6"/>
  <c r="B64" i="6" s="1"/>
  <c r="H61" i="6"/>
  <c r="H62" i="6" s="1"/>
  <c r="G61" i="6"/>
  <c r="G62" i="6" s="1"/>
  <c r="F61" i="6"/>
  <c r="F62" i="6" s="1"/>
  <c r="E61" i="6"/>
  <c r="E62" i="6" s="1"/>
  <c r="D61" i="6"/>
  <c r="D62" i="6" s="1"/>
  <c r="C61" i="6"/>
  <c r="C62" i="6" s="1"/>
  <c r="B61" i="6"/>
  <c r="B62" i="6" s="1"/>
  <c r="H59" i="6"/>
  <c r="H60" i="6" s="1"/>
  <c r="G59" i="6"/>
  <c r="G60" i="6" s="1"/>
  <c r="F59" i="6"/>
  <c r="F60" i="6" s="1"/>
  <c r="E59" i="6"/>
  <c r="E60" i="6" s="1"/>
  <c r="D59" i="6"/>
  <c r="D60" i="6" s="1"/>
  <c r="C59" i="6"/>
  <c r="C60" i="6" s="1"/>
  <c r="B59" i="6"/>
  <c r="B60" i="6" s="1"/>
  <c r="H57" i="6"/>
  <c r="H58" i="6" s="1"/>
  <c r="G57" i="6"/>
  <c r="G58" i="6" s="1"/>
  <c r="F57" i="6"/>
  <c r="F58" i="6" s="1"/>
  <c r="E57" i="6"/>
  <c r="E58" i="6" s="1"/>
  <c r="D57" i="6"/>
  <c r="D58" i="6" s="1"/>
  <c r="C57" i="6"/>
  <c r="C58" i="6" s="1"/>
  <c r="B57" i="6"/>
  <c r="B58" i="6" s="1"/>
  <c r="H55" i="6"/>
  <c r="H56" i="6" s="1"/>
  <c r="G55" i="6"/>
  <c r="G56" i="6" s="1"/>
  <c r="F55" i="6"/>
  <c r="F56" i="6" s="1"/>
  <c r="E55" i="6"/>
  <c r="E56" i="6" s="1"/>
  <c r="D55" i="6"/>
  <c r="D56" i="6" s="1"/>
  <c r="C55" i="6"/>
  <c r="C56" i="6" s="1"/>
  <c r="B55" i="6"/>
  <c r="B56" i="6" s="1"/>
  <c r="H53" i="6"/>
  <c r="H54" i="6" s="1"/>
  <c r="G53" i="6"/>
  <c r="G54" i="6" s="1"/>
  <c r="F53" i="6"/>
  <c r="F54" i="6" s="1"/>
  <c r="E53" i="6"/>
  <c r="E54" i="6" s="1"/>
  <c r="D53" i="6"/>
  <c r="D54" i="6" s="1"/>
  <c r="C53" i="6"/>
  <c r="C54" i="6" s="1"/>
  <c r="B53" i="6"/>
  <c r="B54" i="6" s="1"/>
  <c r="X48" i="6"/>
  <c r="X49" i="6" s="1"/>
  <c r="W48" i="6"/>
  <c r="W49" i="6" s="1"/>
  <c r="V48" i="6"/>
  <c r="V49" i="6" s="1"/>
  <c r="U48" i="6"/>
  <c r="U49" i="6" s="1"/>
  <c r="T48" i="6"/>
  <c r="T49" i="6" s="1"/>
  <c r="S48" i="6"/>
  <c r="S49" i="6" s="1"/>
  <c r="R48" i="6"/>
  <c r="R49" i="6" s="1"/>
  <c r="X46" i="6"/>
  <c r="X47" i="6" s="1"/>
  <c r="W46" i="6"/>
  <c r="W47" i="6" s="1"/>
  <c r="V46" i="6"/>
  <c r="V47" i="6" s="1"/>
  <c r="U46" i="6"/>
  <c r="U47" i="6" s="1"/>
  <c r="T46" i="6"/>
  <c r="T47" i="6" s="1"/>
  <c r="S46" i="6"/>
  <c r="S47" i="6" s="1"/>
  <c r="R46" i="6"/>
  <c r="R47" i="6" s="1"/>
  <c r="X44" i="6"/>
  <c r="X45" i="6" s="1"/>
  <c r="W44" i="6"/>
  <c r="W45" i="6" s="1"/>
  <c r="V44" i="6"/>
  <c r="V45" i="6" s="1"/>
  <c r="U44" i="6"/>
  <c r="U45" i="6" s="1"/>
  <c r="T44" i="6"/>
  <c r="T45" i="6" s="1"/>
  <c r="S44" i="6"/>
  <c r="S45" i="6" s="1"/>
  <c r="R44" i="6"/>
  <c r="R45" i="6" s="1"/>
  <c r="X42" i="6"/>
  <c r="X43" i="6" s="1"/>
  <c r="W42" i="6"/>
  <c r="W43" i="6" s="1"/>
  <c r="V42" i="6"/>
  <c r="V43" i="6" s="1"/>
  <c r="U42" i="6"/>
  <c r="U43" i="6" s="1"/>
  <c r="T42" i="6"/>
  <c r="T43" i="6" s="1"/>
  <c r="S42" i="6"/>
  <c r="S43" i="6" s="1"/>
  <c r="R42" i="6"/>
  <c r="R43" i="6" s="1"/>
  <c r="X40" i="6"/>
  <c r="X41" i="6" s="1"/>
  <c r="W40" i="6"/>
  <c r="W41" i="6" s="1"/>
  <c r="V40" i="6"/>
  <c r="V41" i="6" s="1"/>
  <c r="U40" i="6"/>
  <c r="U41" i="6" s="1"/>
  <c r="T40" i="6"/>
  <c r="T41" i="6" s="1"/>
  <c r="S40" i="6"/>
  <c r="S41" i="6" s="1"/>
  <c r="R40" i="6"/>
  <c r="R41" i="6" s="1"/>
  <c r="X38" i="6"/>
  <c r="X39" i="6" s="1"/>
  <c r="W38" i="6"/>
  <c r="W39" i="6" s="1"/>
  <c r="V38" i="6"/>
  <c r="V39" i="6" s="1"/>
  <c r="U38" i="6"/>
  <c r="U39" i="6" s="1"/>
  <c r="T38" i="6"/>
  <c r="T39" i="6" s="1"/>
  <c r="S38" i="6"/>
  <c r="S39" i="6" s="1"/>
  <c r="R38" i="6"/>
  <c r="R39" i="6" s="1"/>
  <c r="P48" i="6"/>
  <c r="P49" i="6" s="1"/>
  <c r="O48" i="6"/>
  <c r="O49" i="6" s="1"/>
  <c r="N48" i="6"/>
  <c r="N49" i="6" s="1"/>
  <c r="M48" i="6"/>
  <c r="M49" i="6" s="1"/>
  <c r="L48" i="6"/>
  <c r="L49" i="6" s="1"/>
  <c r="K48" i="6"/>
  <c r="K49" i="6" s="1"/>
  <c r="J48" i="6"/>
  <c r="J49" i="6" s="1"/>
  <c r="P46" i="6"/>
  <c r="P47" i="6" s="1"/>
  <c r="O46" i="6"/>
  <c r="O47" i="6" s="1"/>
  <c r="N46" i="6"/>
  <c r="N47" i="6" s="1"/>
  <c r="M46" i="6"/>
  <c r="M47" i="6" s="1"/>
  <c r="L46" i="6"/>
  <c r="L47" i="6" s="1"/>
  <c r="K46" i="6"/>
  <c r="K47" i="6" s="1"/>
  <c r="J46" i="6"/>
  <c r="J47" i="6" s="1"/>
  <c r="P44" i="6"/>
  <c r="P45" i="6" s="1"/>
  <c r="O44" i="6"/>
  <c r="O45" i="6" s="1"/>
  <c r="N44" i="6"/>
  <c r="N45" i="6" s="1"/>
  <c r="M44" i="6"/>
  <c r="M45" i="6" s="1"/>
  <c r="L44" i="6"/>
  <c r="L45" i="6" s="1"/>
  <c r="K44" i="6"/>
  <c r="K45" i="6" s="1"/>
  <c r="J44" i="6"/>
  <c r="J45" i="6" s="1"/>
  <c r="P42" i="6"/>
  <c r="P43" i="6" s="1"/>
  <c r="O42" i="6"/>
  <c r="O43" i="6" s="1"/>
  <c r="N42" i="6"/>
  <c r="N43" i="6" s="1"/>
  <c r="M42" i="6"/>
  <c r="M43" i="6" s="1"/>
  <c r="L42" i="6"/>
  <c r="L43" i="6" s="1"/>
  <c r="K42" i="6"/>
  <c r="K43" i="6" s="1"/>
  <c r="J42" i="6"/>
  <c r="J43" i="6" s="1"/>
  <c r="P40" i="6"/>
  <c r="P41" i="6" s="1"/>
  <c r="O40" i="6"/>
  <c r="O41" i="6" s="1"/>
  <c r="N40" i="6"/>
  <c r="N41" i="6" s="1"/>
  <c r="M40" i="6"/>
  <c r="M41" i="6" s="1"/>
  <c r="L40" i="6"/>
  <c r="L41" i="6" s="1"/>
  <c r="K40" i="6"/>
  <c r="K41" i="6" s="1"/>
  <c r="J40" i="6"/>
  <c r="J41" i="6" s="1"/>
  <c r="P38" i="6"/>
  <c r="P39" i="6" s="1"/>
  <c r="O38" i="6"/>
  <c r="O39" i="6" s="1"/>
  <c r="N38" i="6"/>
  <c r="N39" i="6" s="1"/>
  <c r="M38" i="6"/>
  <c r="M39" i="6" s="1"/>
  <c r="L38" i="6"/>
  <c r="L39" i="6" s="1"/>
  <c r="K38" i="6"/>
  <c r="K39" i="6" s="1"/>
  <c r="J38" i="6"/>
  <c r="J39" i="6" s="1"/>
  <c r="H48" i="6"/>
  <c r="H49" i="6" s="1"/>
  <c r="G48" i="6"/>
  <c r="G49" i="6" s="1"/>
  <c r="F48" i="6"/>
  <c r="F49" i="6" s="1"/>
  <c r="E48" i="6"/>
  <c r="E49" i="6" s="1"/>
  <c r="D48" i="6"/>
  <c r="D49" i="6" s="1"/>
  <c r="C48" i="6"/>
  <c r="C49" i="6" s="1"/>
  <c r="B48" i="6"/>
  <c r="B49" i="6" s="1"/>
  <c r="H46" i="6"/>
  <c r="H47" i="6" s="1"/>
  <c r="G46" i="6"/>
  <c r="G47" i="6" s="1"/>
  <c r="F46" i="6"/>
  <c r="F47" i="6" s="1"/>
  <c r="E46" i="6"/>
  <c r="E47" i="6" s="1"/>
  <c r="D46" i="6"/>
  <c r="D47" i="6" s="1"/>
  <c r="C46" i="6"/>
  <c r="C47" i="6" s="1"/>
  <c r="B46" i="6"/>
  <c r="B47" i="6" s="1"/>
  <c r="H44" i="6"/>
  <c r="H45" i="6" s="1"/>
  <c r="G44" i="6"/>
  <c r="G45" i="6" s="1"/>
  <c r="F44" i="6"/>
  <c r="F45" i="6" s="1"/>
  <c r="E44" i="6"/>
  <c r="E45" i="6" s="1"/>
  <c r="D44" i="6"/>
  <c r="D45" i="6" s="1"/>
  <c r="C44" i="6"/>
  <c r="C45" i="6" s="1"/>
  <c r="B44" i="6"/>
  <c r="B45" i="6" s="1"/>
  <c r="H42" i="6"/>
  <c r="H43" i="6" s="1"/>
  <c r="G42" i="6"/>
  <c r="G43" i="6" s="1"/>
  <c r="F42" i="6"/>
  <c r="F43" i="6" s="1"/>
  <c r="E42" i="6"/>
  <c r="E43" i="6" s="1"/>
  <c r="D42" i="6"/>
  <c r="D43" i="6" s="1"/>
  <c r="C42" i="6"/>
  <c r="C43" i="6" s="1"/>
  <c r="B42" i="6"/>
  <c r="B43" i="6" s="1"/>
  <c r="H40" i="6"/>
  <c r="H41" i="6" s="1"/>
  <c r="G40" i="6"/>
  <c r="G41" i="6" s="1"/>
  <c r="F40" i="6"/>
  <c r="F41" i="6" s="1"/>
  <c r="E40" i="6"/>
  <c r="E41" i="6" s="1"/>
  <c r="D40" i="6"/>
  <c r="D41" i="6" s="1"/>
  <c r="C40" i="6"/>
  <c r="C41" i="6" s="1"/>
  <c r="B40" i="6"/>
  <c r="B41" i="6" s="1"/>
  <c r="H38" i="6"/>
  <c r="H39" i="6" s="1"/>
  <c r="G38" i="6"/>
  <c r="G39" i="6" s="1"/>
  <c r="F38" i="6"/>
  <c r="F39" i="6" s="1"/>
  <c r="E38" i="6"/>
  <c r="E39" i="6" s="1"/>
  <c r="D38" i="6"/>
  <c r="D39" i="6" s="1"/>
  <c r="C38" i="6"/>
  <c r="C39" i="6" s="1"/>
  <c r="B38" i="6"/>
  <c r="B39" i="6" s="1"/>
  <c r="X33" i="6"/>
  <c r="X34" i="6" s="1"/>
  <c r="W33" i="6"/>
  <c r="W34" i="6" s="1"/>
  <c r="V33" i="6"/>
  <c r="V34" i="6" s="1"/>
  <c r="U33" i="6"/>
  <c r="U34" i="6" s="1"/>
  <c r="T33" i="6"/>
  <c r="T34" i="6" s="1"/>
  <c r="S33" i="6"/>
  <c r="S34" i="6" s="1"/>
  <c r="R33" i="6"/>
  <c r="R34" i="6" s="1"/>
  <c r="X31" i="6"/>
  <c r="X32" i="6" s="1"/>
  <c r="W31" i="6"/>
  <c r="W32" i="6" s="1"/>
  <c r="V31" i="6"/>
  <c r="V32" i="6" s="1"/>
  <c r="U31" i="6"/>
  <c r="U32" i="6" s="1"/>
  <c r="T31" i="6"/>
  <c r="T32" i="6" s="1"/>
  <c r="S31" i="6"/>
  <c r="S32" i="6" s="1"/>
  <c r="R31" i="6"/>
  <c r="R32" i="6" s="1"/>
  <c r="X29" i="6"/>
  <c r="X30" i="6" s="1"/>
  <c r="W29" i="6"/>
  <c r="W30" i="6" s="1"/>
  <c r="V29" i="6"/>
  <c r="V30" i="6" s="1"/>
  <c r="U29" i="6"/>
  <c r="U30" i="6" s="1"/>
  <c r="T29" i="6"/>
  <c r="T30" i="6" s="1"/>
  <c r="S29" i="6"/>
  <c r="S30" i="6" s="1"/>
  <c r="R29" i="6"/>
  <c r="R30" i="6" s="1"/>
  <c r="X27" i="6"/>
  <c r="X28" i="6" s="1"/>
  <c r="W27" i="6"/>
  <c r="W28" i="6" s="1"/>
  <c r="V27" i="6"/>
  <c r="V28" i="6" s="1"/>
  <c r="U27" i="6"/>
  <c r="U28" i="6" s="1"/>
  <c r="T27" i="6"/>
  <c r="T28" i="6" s="1"/>
  <c r="S27" i="6"/>
  <c r="S28" i="6" s="1"/>
  <c r="R27" i="6"/>
  <c r="R28" i="6" s="1"/>
  <c r="X25" i="6"/>
  <c r="X26" i="6" s="1"/>
  <c r="W25" i="6"/>
  <c r="W26" i="6" s="1"/>
  <c r="V25" i="6"/>
  <c r="V26" i="6" s="1"/>
  <c r="U25" i="6"/>
  <c r="U26" i="6" s="1"/>
  <c r="T25" i="6"/>
  <c r="T26" i="6" s="1"/>
  <c r="S25" i="6"/>
  <c r="S26" i="6" s="1"/>
  <c r="R25" i="6"/>
  <c r="R26" i="6" s="1"/>
  <c r="X23" i="6"/>
  <c r="X24" i="6" s="1"/>
  <c r="W23" i="6"/>
  <c r="W24" i="6" s="1"/>
  <c r="V23" i="6"/>
  <c r="V24" i="6" s="1"/>
  <c r="U23" i="6"/>
  <c r="U24" i="6" s="1"/>
  <c r="T23" i="6"/>
  <c r="T24" i="6" s="1"/>
  <c r="S23" i="6"/>
  <c r="S24" i="6" s="1"/>
  <c r="R23" i="6"/>
  <c r="R24" i="6" s="1"/>
  <c r="P33" i="6"/>
  <c r="P34" i="6" s="1"/>
  <c r="O33" i="6"/>
  <c r="O34" i="6" s="1"/>
  <c r="N33" i="6"/>
  <c r="N34" i="6" s="1"/>
  <c r="M33" i="6"/>
  <c r="M34" i="6" s="1"/>
  <c r="L33" i="6"/>
  <c r="L34" i="6" s="1"/>
  <c r="K33" i="6"/>
  <c r="K34" i="6" s="1"/>
  <c r="J33" i="6"/>
  <c r="J34" i="6" s="1"/>
  <c r="P31" i="6"/>
  <c r="P32" i="6" s="1"/>
  <c r="O31" i="6"/>
  <c r="O32" i="6" s="1"/>
  <c r="N31" i="6"/>
  <c r="N32" i="6" s="1"/>
  <c r="M31" i="6"/>
  <c r="M32" i="6" s="1"/>
  <c r="L31" i="6"/>
  <c r="L32" i="6" s="1"/>
  <c r="K31" i="6"/>
  <c r="K32" i="6" s="1"/>
  <c r="J31" i="6"/>
  <c r="J32" i="6" s="1"/>
  <c r="P29" i="6"/>
  <c r="P30" i="6" s="1"/>
  <c r="O29" i="6"/>
  <c r="O30" i="6" s="1"/>
  <c r="N29" i="6"/>
  <c r="N30" i="6" s="1"/>
  <c r="M29" i="6"/>
  <c r="M30" i="6" s="1"/>
  <c r="L29" i="6"/>
  <c r="L30" i="6" s="1"/>
  <c r="K29" i="6"/>
  <c r="K30" i="6" s="1"/>
  <c r="J29" i="6"/>
  <c r="J30" i="6" s="1"/>
  <c r="P27" i="6"/>
  <c r="P28" i="6" s="1"/>
  <c r="O27" i="6"/>
  <c r="O28" i="6" s="1"/>
  <c r="N27" i="6"/>
  <c r="N28" i="6" s="1"/>
  <c r="M27" i="6"/>
  <c r="M28" i="6" s="1"/>
  <c r="L27" i="6"/>
  <c r="L28" i="6" s="1"/>
  <c r="K27" i="6"/>
  <c r="K28" i="6" s="1"/>
  <c r="J27" i="6"/>
  <c r="J28" i="6" s="1"/>
  <c r="P25" i="6"/>
  <c r="P26" i="6" s="1"/>
  <c r="O25" i="6"/>
  <c r="O26" i="6" s="1"/>
  <c r="N25" i="6"/>
  <c r="N26" i="6" s="1"/>
  <c r="M25" i="6"/>
  <c r="M26" i="6" s="1"/>
  <c r="L25" i="6"/>
  <c r="L26" i="6" s="1"/>
  <c r="K25" i="6"/>
  <c r="K26" i="6" s="1"/>
  <c r="J25" i="6"/>
  <c r="J26" i="6" s="1"/>
  <c r="P23" i="6"/>
  <c r="P24" i="6" s="1"/>
  <c r="O23" i="6"/>
  <c r="O24" i="6" s="1"/>
  <c r="N23" i="6"/>
  <c r="N24" i="6" s="1"/>
  <c r="M23" i="6"/>
  <c r="M24" i="6" s="1"/>
  <c r="L23" i="6"/>
  <c r="L24" i="6" s="1"/>
  <c r="K23" i="6"/>
  <c r="K24" i="6" s="1"/>
  <c r="J23" i="6"/>
  <c r="J24" i="6" s="1"/>
  <c r="H33" i="6"/>
  <c r="H34" i="6" s="1"/>
  <c r="G33" i="6"/>
  <c r="G34" i="6" s="1"/>
  <c r="F33" i="6"/>
  <c r="F34" i="6" s="1"/>
  <c r="E33" i="6"/>
  <c r="E34" i="6" s="1"/>
  <c r="D33" i="6"/>
  <c r="D34" i="6" s="1"/>
  <c r="C33" i="6"/>
  <c r="C34" i="6" s="1"/>
  <c r="B33" i="6"/>
  <c r="B34" i="6" s="1"/>
  <c r="H31" i="6"/>
  <c r="H32" i="6" s="1"/>
  <c r="G31" i="6"/>
  <c r="G32" i="6" s="1"/>
  <c r="F31" i="6"/>
  <c r="F32" i="6" s="1"/>
  <c r="E31" i="6"/>
  <c r="E32" i="6" s="1"/>
  <c r="D31" i="6"/>
  <c r="D32" i="6" s="1"/>
  <c r="C31" i="6"/>
  <c r="C32" i="6" s="1"/>
  <c r="B31" i="6"/>
  <c r="B32" i="6" s="1"/>
  <c r="H29" i="6"/>
  <c r="H30" i="6" s="1"/>
  <c r="G29" i="6"/>
  <c r="G30" i="6" s="1"/>
  <c r="F29" i="6"/>
  <c r="F30" i="6" s="1"/>
  <c r="E29" i="6"/>
  <c r="E30" i="6" s="1"/>
  <c r="D29" i="6"/>
  <c r="D30" i="6" s="1"/>
  <c r="C29" i="6"/>
  <c r="C30" i="6" s="1"/>
  <c r="B29" i="6"/>
  <c r="B30" i="6" s="1"/>
  <c r="H27" i="6"/>
  <c r="H28" i="6" s="1"/>
  <c r="G27" i="6"/>
  <c r="G28" i="6" s="1"/>
  <c r="F27" i="6"/>
  <c r="F28" i="6" s="1"/>
  <c r="E27" i="6"/>
  <c r="E28" i="6" s="1"/>
  <c r="D27" i="6"/>
  <c r="D28" i="6" s="1"/>
  <c r="C27" i="6"/>
  <c r="C28" i="6" s="1"/>
  <c r="B27" i="6"/>
  <c r="B28" i="6" s="1"/>
  <c r="H25" i="6"/>
  <c r="H26" i="6" s="1"/>
  <c r="G25" i="6"/>
  <c r="G26" i="6" s="1"/>
  <c r="F25" i="6"/>
  <c r="F26" i="6" s="1"/>
  <c r="E25" i="6"/>
  <c r="E26" i="6" s="1"/>
  <c r="D25" i="6"/>
  <c r="D26" i="6" s="1"/>
  <c r="C25" i="6"/>
  <c r="C26" i="6" s="1"/>
  <c r="B25" i="6"/>
  <c r="B26" i="6" s="1"/>
  <c r="H23" i="6"/>
  <c r="H24" i="6" s="1"/>
  <c r="G23" i="6"/>
  <c r="G24" i="6" s="1"/>
  <c r="F23" i="6"/>
  <c r="F24" i="6" s="1"/>
  <c r="E23" i="6"/>
  <c r="E24" i="6" s="1"/>
  <c r="D23" i="6"/>
  <c r="D24" i="6" s="1"/>
  <c r="C23" i="6"/>
  <c r="C24" i="6" s="1"/>
  <c r="B23" i="6"/>
  <c r="B24" i="6" s="1"/>
  <c r="X18" i="6"/>
  <c r="X19" i="6" s="1"/>
  <c r="W18" i="6"/>
  <c r="W19" i="6" s="1"/>
  <c r="V18" i="6"/>
  <c r="V19" i="6" s="1"/>
  <c r="U18" i="6"/>
  <c r="U19" i="6" s="1"/>
  <c r="T18" i="6"/>
  <c r="T19" i="6" s="1"/>
  <c r="S18" i="6"/>
  <c r="S19" i="6" s="1"/>
  <c r="R18" i="6"/>
  <c r="R19" i="6" s="1"/>
  <c r="X16" i="6"/>
  <c r="X17" i="6" s="1"/>
  <c r="W16" i="6"/>
  <c r="W17" i="6" s="1"/>
  <c r="V16" i="6"/>
  <c r="V17" i="6" s="1"/>
  <c r="U16" i="6"/>
  <c r="U17" i="6" s="1"/>
  <c r="T16" i="6"/>
  <c r="T17" i="6" s="1"/>
  <c r="S16" i="6"/>
  <c r="S17" i="6" s="1"/>
  <c r="R16" i="6"/>
  <c r="R17" i="6" s="1"/>
  <c r="X14" i="6"/>
  <c r="X15" i="6" s="1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X12" i="6"/>
  <c r="X13" i="6" s="1"/>
  <c r="W12" i="6"/>
  <c r="W13" i="6" s="1"/>
  <c r="V12" i="6"/>
  <c r="V13" i="6" s="1"/>
  <c r="U12" i="6"/>
  <c r="U13" i="6" s="1"/>
  <c r="T12" i="6"/>
  <c r="T13" i="6" s="1"/>
  <c r="S12" i="6"/>
  <c r="S13" i="6" s="1"/>
  <c r="R12" i="6"/>
  <c r="R13" i="6" s="1"/>
  <c r="X10" i="6"/>
  <c r="X11" i="6" s="1"/>
  <c r="W10" i="6"/>
  <c r="W11" i="6" s="1"/>
  <c r="V10" i="6"/>
  <c r="V11" i="6" s="1"/>
  <c r="U10" i="6"/>
  <c r="U11" i="6" s="1"/>
  <c r="T10" i="6"/>
  <c r="T11" i="6" s="1"/>
  <c r="S10" i="6"/>
  <c r="S11" i="6" s="1"/>
  <c r="R10" i="6"/>
  <c r="R11" i="6" s="1"/>
  <c r="X8" i="6"/>
  <c r="X9" i="6" s="1"/>
  <c r="W8" i="6"/>
  <c r="W9" i="6" s="1"/>
  <c r="V8" i="6"/>
  <c r="V9" i="6" s="1"/>
  <c r="U8" i="6"/>
  <c r="U9" i="6" s="1"/>
  <c r="T8" i="6"/>
  <c r="T9" i="6" s="1"/>
  <c r="S8" i="6"/>
  <c r="S9" i="6" s="1"/>
  <c r="R8" i="6"/>
  <c r="R9" i="6" s="1"/>
  <c r="P18" i="6"/>
  <c r="P19" i="6" s="1"/>
  <c r="O18" i="6"/>
  <c r="O19" i="6" s="1"/>
  <c r="N18" i="6"/>
  <c r="N19" i="6" s="1"/>
  <c r="M18" i="6"/>
  <c r="M19" i="6" s="1"/>
  <c r="L18" i="6"/>
  <c r="L19" i="6" s="1"/>
  <c r="K18" i="6"/>
  <c r="K19" i="6" s="1"/>
  <c r="J18" i="6"/>
  <c r="J19" i="6" s="1"/>
  <c r="P16" i="6"/>
  <c r="P17" i="6" s="1"/>
  <c r="O16" i="6"/>
  <c r="O17" i="6" s="1"/>
  <c r="N16" i="6"/>
  <c r="N17" i="6" s="1"/>
  <c r="M16" i="6"/>
  <c r="M17" i="6" s="1"/>
  <c r="L16" i="6"/>
  <c r="L17" i="6" s="1"/>
  <c r="K16" i="6"/>
  <c r="K17" i="6" s="1"/>
  <c r="J16" i="6"/>
  <c r="J17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P12" i="6"/>
  <c r="P13" i="6" s="1"/>
  <c r="O12" i="6"/>
  <c r="O13" i="6" s="1"/>
  <c r="N12" i="6"/>
  <c r="N13" i="6" s="1"/>
  <c r="M12" i="6"/>
  <c r="M13" i="6" s="1"/>
  <c r="L12" i="6"/>
  <c r="L13" i="6" s="1"/>
  <c r="K12" i="6"/>
  <c r="K13" i="6" s="1"/>
  <c r="J12" i="6"/>
  <c r="J13" i="6" s="1"/>
  <c r="P10" i="6"/>
  <c r="P11" i="6" s="1"/>
  <c r="O10" i="6"/>
  <c r="O11" i="6" s="1"/>
  <c r="N10" i="6"/>
  <c r="N11" i="6" s="1"/>
  <c r="M10" i="6"/>
  <c r="M11" i="6" s="1"/>
  <c r="L10" i="6"/>
  <c r="L11" i="6" s="1"/>
  <c r="K10" i="6"/>
  <c r="K11" i="6" s="1"/>
  <c r="J10" i="6"/>
  <c r="J11" i="6" s="1"/>
  <c r="P8" i="6"/>
  <c r="P9" i="6" s="1"/>
  <c r="O8" i="6"/>
  <c r="O9" i="6" s="1"/>
  <c r="N8" i="6"/>
  <c r="N9" i="6" s="1"/>
  <c r="M8" i="6"/>
  <c r="M9" i="6" s="1"/>
  <c r="L8" i="6"/>
  <c r="L9" i="6" s="1"/>
  <c r="K8" i="6"/>
  <c r="K9" i="6" s="1"/>
  <c r="J8" i="6"/>
  <c r="J9" i="6" s="1"/>
  <c r="H18" i="6"/>
  <c r="H19" i="6" s="1"/>
  <c r="G18" i="6"/>
  <c r="G19" i="6" s="1"/>
  <c r="F18" i="6"/>
  <c r="F19" i="6" s="1"/>
  <c r="E18" i="6"/>
  <c r="E19" i="6" s="1"/>
  <c r="D18" i="6"/>
  <c r="D19" i="6" s="1"/>
  <c r="C18" i="6"/>
  <c r="C19" i="6" s="1"/>
  <c r="B18" i="6"/>
  <c r="B19" i="6" s="1"/>
  <c r="H16" i="6"/>
  <c r="H17" i="6" s="1"/>
  <c r="G16" i="6"/>
  <c r="G17" i="6" s="1"/>
  <c r="F16" i="6"/>
  <c r="F17" i="6" s="1"/>
  <c r="E16" i="6"/>
  <c r="E17" i="6" s="1"/>
  <c r="D16" i="6"/>
  <c r="D17" i="6" s="1"/>
  <c r="C16" i="6"/>
  <c r="C17" i="6" s="1"/>
  <c r="B16" i="6"/>
  <c r="B17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H12" i="6"/>
  <c r="H13" i="6" s="1"/>
  <c r="G12" i="6"/>
  <c r="G13" i="6" s="1"/>
  <c r="F12" i="6"/>
  <c r="F13" i="6" s="1"/>
  <c r="E12" i="6"/>
  <c r="E13" i="6" s="1"/>
  <c r="D12" i="6"/>
  <c r="D13" i="6" s="1"/>
  <c r="C12" i="6"/>
  <c r="C13" i="6" s="1"/>
  <c r="B12" i="6"/>
  <c r="B13" i="6" s="1"/>
  <c r="H10" i="6"/>
  <c r="H11" i="6" s="1"/>
  <c r="G10" i="6"/>
  <c r="G11" i="6" s="1"/>
  <c r="F10" i="6"/>
  <c r="F11" i="6" s="1"/>
  <c r="E10" i="6"/>
  <c r="E11" i="6" s="1"/>
  <c r="D10" i="6"/>
  <c r="D11" i="6" s="1"/>
  <c r="C10" i="6"/>
  <c r="C11" i="6" s="1"/>
  <c r="B10" i="6"/>
  <c r="B11" i="6" s="1"/>
  <c r="H8" i="6"/>
  <c r="H9" i="6" s="1"/>
  <c r="G8" i="6"/>
  <c r="G9" i="6" s="1"/>
  <c r="F8" i="6"/>
  <c r="F9" i="6" s="1"/>
  <c r="E8" i="6"/>
  <c r="E9" i="6" s="1"/>
  <c r="D8" i="6"/>
  <c r="D9" i="6" s="1"/>
  <c r="C8" i="6"/>
  <c r="C9" i="6" s="1"/>
  <c r="B8" i="6"/>
  <c r="B9" i="6" s="1"/>
  <c r="K4" i="5"/>
  <c r="J4" i="5"/>
  <c r="G31" i="1"/>
  <c r="B29" i="1"/>
  <c r="L4" i="1"/>
  <c r="H53" i="1" l="1"/>
  <c r="H52" i="1"/>
  <c r="C52" i="1"/>
  <c r="H51" i="1"/>
  <c r="H50" i="1"/>
  <c r="H49" i="1"/>
  <c r="C49" i="1"/>
  <c r="H48" i="1"/>
  <c r="C48" i="1"/>
  <c r="H47" i="1"/>
  <c r="C47" i="1"/>
  <c r="H46" i="1"/>
  <c r="C46" i="1"/>
  <c r="H45" i="1"/>
  <c r="C45" i="1"/>
  <c r="C42" i="1"/>
  <c r="C41" i="1"/>
  <c r="H40" i="1"/>
  <c r="C40" i="1"/>
  <c r="H39" i="1"/>
  <c r="C39" i="1"/>
  <c r="H38" i="1"/>
  <c r="C38" i="1"/>
  <c r="I33" i="1"/>
  <c r="G33" i="1"/>
  <c r="D33" i="1"/>
  <c r="B33" i="1"/>
  <c r="G16" i="5"/>
  <c r="G17" i="5" s="1"/>
  <c r="F16" i="5"/>
  <c r="F17" i="5" s="1"/>
  <c r="E16" i="5"/>
  <c r="E17" i="5" s="1"/>
  <c r="D16" i="5"/>
  <c r="D17" i="5" s="1"/>
  <c r="C16" i="5"/>
  <c r="C17" i="5" s="1"/>
  <c r="B16" i="5"/>
  <c r="B17" i="5" s="1"/>
  <c r="A16" i="5"/>
  <c r="A17" i="5" s="1"/>
  <c r="G14" i="5"/>
  <c r="G15" i="5" s="1"/>
  <c r="F14" i="5"/>
  <c r="F15" i="5" s="1"/>
  <c r="E14" i="5"/>
  <c r="E15" i="5" s="1"/>
  <c r="D14" i="5"/>
  <c r="D15" i="5" s="1"/>
  <c r="C14" i="5"/>
  <c r="C15" i="5" s="1"/>
  <c r="B14" i="5"/>
  <c r="B15" i="5" s="1"/>
  <c r="A14" i="5"/>
  <c r="A15" i="5" s="1"/>
  <c r="G12" i="5"/>
  <c r="G13" i="5" s="1"/>
  <c r="F12" i="5"/>
  <c r="F13" i="5" s="1"/>
  <c r="E12" i="5"/>
  <c r="E13" i="5" s="1"/>
  <c r="D12" i="5"/>
  <c r="D13" i="5" s="1"/>
  <c r="C12" i="5"/>
  <c r="C13" i="5" s="1"/>
  <c r="B12" i="5"/>
  <c r="B13" i="5" s="1"/>
  <c r="A12" i="5"/>
  <c r="A13" i="5" s="1"/>
  <c r="G10" i="5"/>
  <c r="G11" i="5" s="1"/>
  <c r="F10" i="5"/>
  <c r="F11" i="5" s="1"/>
  <c r="E10" i="5"/>
  <c r="E11" i="5" s="1"/>
  <c r="D10" i="5"/>
  <c r="D11" i="5" s="1"/>
  <c r="C10" i="5"/>
  <c r="C11" i="5" s="1"/>
  <c r="B10" i="5"/>
  <c r="B11" i="5" s="1"/>
  <c r="A10" i="5"/>
  <c r="A11" i="5" s="1"/>
  <c r="G8" i="5"/>
  <c r="G9" i="5" s="1"/>
  <c r="F8" i="5"/>
  <c r="F9" i="5" s="1"/>
  <c r="E8" i="5"/>
  <c r="E9" i="5" s="1"/>
  <c r="D8" i="5"/>
  <c r="D9" i="5" s="1"/>
  <c r="C8" i="5"/>
  <c r="C9" i="5" s="1"/>
  <c r="B8" i="5"/>
  <c r="B9" i="5" s="1"/>
  <c r="A8" i="5"/>
  <c r="A9" i="5" s="1"/>
  <c r="G6" i="5"/>
  <c r="G7" i="5" s="1"/>
  <c r="F6" i="5"/>
  <c r="F7" i="5" s="1"/>
  <c r="E6" i="5"/>
  <c r="E7" i="5" s="1"/>
  <c r="D6" i="5"/>
  <c r="D7" i="5" s="1"/>
  <c r="C6" i="5"/>
  <c r="C7" i="5" s="1"/>
  <c r="B6" i="5"/>
  <c r="B7" i="5" s="1"/>
  <c r="A6" i="5"/>
  <c r="A7" i="5" s="1"/>
  <c r="J53" i="1" l="1"/>
  <c r="I53" i="1"/>
  <c r="J52" i="1"/>
  <c r="I52" i="1"/>
  <c r="J51" i="1"/>
  <c r="I51" i="1"/>
  <c r="J50" i="1"/>
  <c r="I50" i="1"/>
  <c r="J49" i="1"/>
  <c r="I49" i="1"/>
  <c r="E49" i="1"/>
  <c r="D49" i="1"/>
  <c r="J48" i="1"/>
  <c r="I48" i="1"/>
  <c r="E48" i="1"/>
  <c r="D48" i="1"/>
  <c r="J47" i="1"/>
  <c r="I47" i="1"/>
  <c r="E47" i="1"/>
  <c r="D47" i="1"/>
  <c r="J46" i="1"/>
  <c r="I46" i="1"/>
  <c r="E46" i="1"/>
  <c r="D46" i="1"/>
  <c r="J45" i="1"/>
  <c r="I45" i="1"/>
  <c r="E45" i="1"/>
  <c r="D45" i="1"/>
  <c r="E42" i="1"/>
  <c r="D42" i="1"/>
  <c r="E41" i="1"/>
  <c r="D41" i="1"/>
  <c r="J40" i="1"/>
  <c r="I40" i="1"/>
  <c r="E40" i="1"/>
  <c r="D40" i="1"/>
  <c r="J39" i="1"/>
  <c r="I39" i="1"/>
  <c r="E39" i="1"/>
  <c r="D39" i="1"/>
  <c r="J38" i="1"/>
  <c r="I38" i="1"/>
  <c r="E38" i="1"/>
  <c r="D38" i="1"/>
  <c r="J35" i="1"/>
  <c r="C35" i="1"/>
</calcChain>
</file>

<file path=xl/sharedStrings.xml><?xml version="1.0" encoding="utf-8"?>
<sst xmlns="http://schemas.openxmlformats.org/spreadsheetml/2006/main" count="598" uniqueCount="192">
  <si>
    <t>TEKNOSYS  ·  TELECOM DW   |   Release Tracker Dashboard</t>
  </si>
  <si>
    <t>OVERALL</t>
  </si>
  <si>
    <t>TOTAL RELEASES</t>
  </si>
  <si>
    <t>OPEN</t>
  </si>
  <si>
    <t>COMPLETED</t>
  </si>
  <si>
    <t>DUE SOON (≤ 3 DAYS)</t>
  </si>
  <si>
    <t>Completion rate</t>
  </si>
  <si>
    <t>BY PLATFORM</t>
  </si>
  <si>
    <t>BY DEPLOYMENT TYPE</t>
  </si>
  <si>
    <t>DPI</t>
  </si>
  <si>
    <t>Scheduled</t>
  </si>
  <si>
    <t>APIs</t>
  </si>
  <si>
    <t>Emergency</t>
  </si>
  <si>
    <t>GSM</t>
  </si>
  <si>
    <t>Hotfix</t>
  </si>
  <si>
    <t>DFS</t>
  </si>
  <si>
    <t>BI</t>
  </si>
  <si>
    <t>BY STATUS</t>
  </si>
  <si>
    <t>BY STAGE</t>
  </si>
  <si>
    <t>On Track</t>
  </si>
  <si>
    <t>Development</t>
  </si>
  <si>
    <t>At Risk</t>
  </si>
  <si>
    <t>SIT</t>
  </si>
  <si>
    <t>Delayed</t>
  </si>
  <si>
    <t>UAT</t>
  </si>
  <si>
    <t>Completed</t>
  </si>
  <si>
    <t>CAB / RFC</t>
  </si>
  <si>
    <t>On Hold</t>
  </si>
  <si>
    <t>Code Freeze</t>
  </si>
  <si>
    <t>Pre-Prod</t>
  </si>
  <si>
    <t>HOLIDAYS</t>
  </si>
  <si>
    <t>Production</t>
  </si>
  <si>
    <t>Holiday conflicts</t>
  </si>
  <si>
    <t>Holidays defined</t>
  </si>
  <si>
    <t>Releases whose Target Deploy falls in the selected month  ·  change Month / Year below (defaults to the current month)</t>
  </si>
  <si>
    <t>Month:</t>
  </si>
  <si>
    <t>Year:</t>
  </si>
  <si>
    <t>HOW TO USE</t>
  </si>
  <si>
    <t>1. Enter / update releases only on the 'Release Calendar' sheet — yellow cells only.</t>
  </si>
  <si>
    <t>2. Use the dropdowns for Platform, Deployment Type, Stage, Owner and Status.</t>
  </si>
  <si>
    <t>3. The Holiday Conflict column flags releases planned on a holiday — fix red flags before status meetings.</t>
  </si>
  <si>
    <t>4. This dashboard and the calendar / Gantt sheets update automatically — do not edit them.</t>
  </si>
  <si>
    <t>5. Ask the Release Manager to update any dropdown list if new values are needed.</t>
  </si>
  <si>
    <t>TEKNOSYS  ·  TELECOM DW  |  Holiday Blackout Calendar</t>
  </si>
  <si>
    <t>Add holidays here. Target Deploy dates falling on any listed holiday will be blocked automatically.</t>
  </si>
  <si>
    <t>For a single-day holiday, put the same date in both Start Date and End Date. Multi-day holidays span the whole range inclusive.</t>
  </si>
  <si>
    <t>#</t>
  </si>
  <si>
    <t>Holiday Name</t>
  </si>
  <si>
    <t>Start Date</t>
  </si>
  <si>
    <t>End Date</t>
  </si>
  <si>
    <t>Notes</t>
  </si>
  <si>
    <t>Row Check</t>
  </si>
  <si>
    <t>Kashmir Day</t>
  </si>
  <si>
    <t>Fixed public holiday</t>
  </si>
  <si>
    <t>Eid-ul-Fitr</t>
  </si>
  <si>
    <t>Tentative (moon sighting)</t>
  </si>
  <si>
    <t>Pakistan Day</t>
  </si>
  <si>
    <t>Labour Day</t>
  </si>
  <si>
    <t>Eid-ul-Adha</t>
  </si>
  <si>
    <t>Ashura (9th-10th Muharram)</t>
  </si>
  <si>
    <t>Tentative (Islamic calendar)</t>
  </si>
  <si>
    <t>Independence Day</t>
  </si>
  <si>
    <t>Eid Milad-un-Nabi</t>
  </si>
  <si>
    <t>Iqbal Day</t>
  </si>
  <si>
    <t>Quaid-e-Azam Day / Christmas</t>
  </si>
  <si>
    <t>Youm-e-Takbeer</t>
  </si>
  <si>
    <t>TEKNOSYS  ·  TELECOM DW   |   Release Tracker</t>
  </si>
  <si>
    <t>Each release is tracked independently  ·  update Current Stage and Status as it moves forward</t>
  </si>
  <si>
    <t>✎  Fill in the yellow columns (use the dropdowns for Platform, Type, Stage, Owner and Status; dates as yyyy-mm-dd).   ■  The grey-green Holiday Conflict column is automatic — do not edit.</t>
  </si>
  <si>
    <t>Release Name</t>
  </si>
  <si>
    <t>RITM</t>
  </si>
  <si>
    <t>CR</t>
  </si>
  <si>
    <t>Developer Name</t>
  </si>
  <si>
    <t>Version / Tag</t>
  </si>
  <si>
    <t>Platform</t>
  </si>
  <si>
    <t>Deployment Type</t>
  </si>
  <si>
    <t>Target Deploy</t>
  </si>
  <si>
    <t>Current Stage</t>
  </si>
  <si>
    <t>Stage Owner</t>
  </si>
  <si>
    <t>Status</t>
  </si>
  <si>
    <t>DB Objects Changed</t>
  </si>
  <si>
    <t>Notes / Blockers</t>
  </si>
  <si>
    <t>Email</t>
  </si>
  <si>
    <t>Holiday Conflict</t>
  </si>
  <si>
    <t>BVS Sales Old Age flag Core</t>
  </si>
  <si>
    <t>Rabia Qayyum</t>
  </si>
  <si>
    <t>v1</t>
  </si>
  <si>
    <t>Ops Team</t>
  </si>
  <si>
    <t>Nothing</t>
  </si>
  <si>
    <t>OMNI API table export</t>
  </si>
  <si>
    <t>Mahum Tariq</t>
  </si>
  <si>
    <t>V1</t>
  </si>
  <si>
    <t>Dev Team</t>
  </si>
  <si>
    <t>NA</t>
  </si>
  <si>
    <t>Multiplay 90 Days (Pre and Post)</t>
  </si>
  <si>
    <t>Ukasha Shafique</t>
  </si>
  <si>
    <t>None</t>
  </si>
  <si>
    <t>Addition in Universal Charging Base</t>
  </si>
  <si>
    <t>Hafsa Malik</t>
  </si>
  <si>
    <t>Dev Lead</t>
  </si>
  <si>
    <t>postpaid lifecycle hotfix</t>
  </si>
  <si>
    <t>Moeiz Bhatti</t>
  </si>
  <si>
    <t>NONE</t>
  </si>
  <si>
    <t>BVS Sales Old Age flag Semantic</t>
  </si>
  <si>
    <t>V2</t>
  </si>
  <si>
    <t>UCIP_LKP update</t>
  </si>
  <si>
    <t>Daniyal Ahmed</t>
  </si>
  <si>
    <t>Daily Kpi Report - Addition of KPIs</t>
  </si>
  <si>
    <t>Afia Abdul Rehman</t>
  </si>
  <si>
    <t>V3</t>
  </si>
  <si>
    <t>Reward Hub Ceo Category</t>
  </si>
  <si>
    <t>Abdul Wahab Malik</t>
  </si>
  <si>
    <t>Release Manager</t>
  </si>
  <si>
    <t>Daily KPI Report- Addition of App Kpis</t>
  </si>
  <si>
    <t>V10</t>
  </si>
  <si>
    <t>Postpaid lifecycle DDLS fix</t>
  </si>
  <si>
    <t>Moeiz Ali Bhatti</t>
  </si>
  <si>
    <t>Jazz Advance TPT Update</t>
  </si>
  <si>
    <t>Reward Hub - CEO addition</t>
  </si>
  <si>
    <t>none</t>
  </si>
  <si>
    <t>Simosa Parent Child Sourcing</t>
  </si>
  <si>
    <t>live app hierarchy fix</t>
  </si>
  <si>
    <t>Asfandyar Barki</t>
  </si>
  <si>
    <t>Dekho - Digital Lifecycle Snapshot Discontinuation</t>
  </si>
  <si>
    <t>Ahmad Faizan</t>
  </si>
  <si>
    <t>DFS Lifecycle new columns addition</t>
  </si>
  <si>
    <t>Muhammad Fawad Akhtar</t>
  </si>
  <si>
    <t>v4</t>
  </si>
  <si>
    <t>lifecycle view fix for sbskey</t>
  </si>
  <si>
    <t>sbscrpn_key tagging fix in 3 views of new lifecycle.</t>
  </si>
  <si>
    <t>SDS 5G Attributes Addition</t>
  </si>
  <si>
    <t>Bilal Siddiqui</t>
  </si>
  <si>
    <t>Rox Achievement Fix</t>
  </si>
  <si>
    <t>Re: Difference in Postpaid and ROX achievements in Datewise and in indivivdual reports | RM-1990</t>
  </si>
  <si>
    <t>CPS License Log &amp; Daily OFT Report</t>
  </si>
  <si>
    <t>Waqar Saeed</t>
  </si>
  <si>
    <t>NBO Lookup - New Sourcing</t>
  </si>
  <si>
    <t>Sales Fact 5G Date Addition</t>
  </si>
  <si>
    <t>postpaid live</t>
  </si>
  <si>
    <t>moeiz bhatti</t>
  </si>
  <si>
    <t>addition of KPIS in script dashboard day wise kpi</t>
  </si>
  <si>
    <t>Fawad Akhtar</t>
  </si>
  <si>
    <t>v2</t>
  </si>
  <si>
    <t>Postpaid Conversion API</t>
  </si>
  <si>
    <t>Jazz CX IVR API</t>
  </si>
  <si>
    <t>Husinah Amir</t>
  </si>
  <si>
    <t>FikrFree New Sourcing</t>
  </si>
  <si>
    <t>JLV</t>
  </si>
  <si>
    <t>MSPH COLUMN ADDITION</t>
  </si>
  <si>
    <t>Tauseef haq</t>
  </si>
  <si>
    <t>UCIP_LKP update (Gamenow Ucips)</t>
  </si>
  <si>
    <t>699 ODS – Subscriber Upgrade/Whitelisting Plan</t>
  </si>
  <si>
    <t>Tamasha IP list update</t>
  </si>
  <si>
    <t>Digital Funnel Daily and linked MP Marts - Tamasha Definition Update</t>
  </si>
  <si>
    <t>b2c sales hotfix</t>
  </si>
  <si>
    <t>TEKNOSYS  ·  TELECOM DW   |   Release Timeline 2026</t>
  </si>
  <si>
    <t>Gantt bars run from Start Date to Target Deploy on the Release Calendar sheet  ·  coloured by Status  ·  highlighted column = current month</t>
  </si>
  <si>
    <t>Status key  ▸</t>
  </si>
  <si>
    <t>★ this month</t>
  </si>
  <si>
    <t>Jan
2026</t>
  </si>
  <si>
    <t>Feb
2026</t>
  </si>
  <si>
    <t>Mar
2026</t>
  </si>
  <si>
    <t>Apr
2026</t>
  </si>
  <si>
    <t>May
2026</t>
  </si>
  <si>
    <t>Jun
2026</t>
  </si>
  <si>
    <t>Jul
2026</t>
  </si>
  <si>
    <t>Aug
2026</t>
  </si>
  <si>
    <t>Sep
2026</t>
  </si>
  <si>
    <t>Oct
2026</t>
  </si>
  <si>
    <t>Nov
2026</t>
  </si>
  <si>
    <t>Dec
2026</t>
  </si>
  <si>
    <t xml:space="preserve">  LEGEND</t>
  </si>
  <si>
    <t xml:space="preserve">  █  On Track  — on schedule</t>
  </si>
  <si>
    <t xml:space="preserve">  █  At Risk   — delays possible</t>
  </si>
  <si>
    <t xml:space="preserve">  █  Delayed   — behind schedule</t>
  </si>
  <si>
    <t xml:space="preserve">  █  Completed — deployed</t>
  </si>
  <si>
    <t xml:space="preserve">  █  On Hold   — paused</t>
  </si>
  <si>
    <t>TEKNOSYS  ·  TELECOM DW   |   Monthly Release Calendar</t>
  </si>
  <si>
    <t>Jira-style month view · chips are pulled live from the Release Calendar sheet (Start / Target Deploy)</t>
  </si>
  <si>
    <t>SUN</t>
  </si>
  <si>
    <t>MON</t>
  </si>
  <si>
    <t>TUE</t>
  </si>
  <si>
    <t>WED</t>
  </si>
  <si>
    <t>THU</t>
  </si>
  <si>
    <t>FRI</t>
  </si>
  <si>
    <t>SAT</t>
  </si>
  <si>
    <t xml:space="preserve">  STATUS LEGEND</t>
  </si>
  <si>
    <t xml:space="preserve">  ★ Highlighted date = today   |   Change Month/Year above to view any period   |   Chips &amp; colors pull live from the Release Calendar sheet — no manual updates needed.</t>
  </si>
  <si>
    <t>TEKNOSYS  ·  TELECOM DW   |   Release Calendar — Year View</t>
  </si>
  <si>
    <t>Jira-style year-at-a-glance · release names shown on their Start / Target Deploy dates, colored by Status · pulled live from the Release Calendar sheet</t>
  </si>
  <si>
    <t>◀  Year — type another year to switch the view</t>
  </si>
  <si>
    <t xml:space="preserve">  ★ Highlighted date = today   |   Change Year above to view any year   |   Release names appear directly on their Start / Target Deploy dates, colored by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</si>
</sst>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/dd/yy"/>
    <numFmt numFmtId="166" formatCode="d"/>
  </numFmts>
  <fonts count="65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i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9"/>
      <color rgb="FF1E8449"/>
      <name val="Arial"/>
      <family val="2"/>
      <charset val="1"/>
    </font>
    <font>
      <b/>
      <sz val="9"/>
      <color rgb="FF9C6500"/>
      <name val="Arial"/>
      <family val="2"/>
      <charset val="1"/>
    </font>
    <font>
      <b/>
      <sz val="9"/>
      <color rgb="FF9C0006"/>
      <name val="Arial"/>
      <family val="2"/>
      <charset val="1"/>
    </font>
    <font>
      <b/>
      <sz val="9"/>
      <color rgb="FF1B5E20"/>
      <name val="Arial"/>
      <family val="2"/>
      <charset val="1"/>
    </font>
    <font>
      <b/>
      <sz val="9"/>
      <color rgb="FF595959"/>
      <name val="Arial"/>
      <family val="2"/>
      <charset val="1"/>
    </font>
    <font>
      <b/>
      <sz val="9"/>
      <color rgb="FF856404"/>
      <name val="Arial"/>
      <family val="2"/>
      <charset val="1"/>
    </font>
    <font>
      <b/>
      <sz val="18"/>
      <color rgb="FFFFFFFF"/>
      <name val="Arial"/>
    </font>
    <font>
      <i/>
      <sz val="9"/>
      <color rgb="FFFFFFFF"/>
      <name val="Arial"/>
    </font>
    <font>
      <b/>
      <sz val="10"/>
      <color rgb="FF2D6A4F"/>
      <name val="Arial"/>
    </font>
    <font>
      <b/>
      <sz val="8"/>
      <color rgb="FF6B7A72"/>
      <name val="Arial"/>
    </font>
    <font>
      <b/>
      <sz val="26"/>
      <color rgb="FF1B5E20"/>
      <name val="Arial"/>
    </font>
    <font>
      <b/>
      <sz val="26"/>
      <color rgb="FF1F618D"/>
      <name val="Arial"/>
    </font>
    <font>
      <b/>
      <sz val="26"/>
      <color rgb="FF1E8449"/>
      <name val="Arial"/>
    </font>
    <font>
      <b/>
      <sz val="26"/>
      <color rgb="FFB9770E"/>
      <name val="Arial"/>
    </font>
    <font>
      <b/>
      <sz val="9"/>
      <color rgb="FF6B7A72"/>
      <name val="Arial"/>
    </font>
    <font>
      <sz val="10"/>
      <color rgb="FF2D6A4F"/>
      <name val="Arial"/>
    </font>
    <font>
      <b/>
      <sz val="11"/>
      <color rgb="FF1B5E20"/>
      <name val="Arial"/>
    </font>
    <font>
      <b/>
      <sz val="9"/>
      <color rgb="FFFFFFFF"/>
      <name val="Arial"/>
    </font>
    <font>
      <sz val="9"/>
      <color rgb="FF1F2A24"/>
      <name val="Arial"/>
    </font>
    <font>
      <b/>
      <sz val="10"/>
      <color rgb="FF1F2A24"/>
      <name val="Arial"/>
    </font>
    <font>
      <sz val="9"/>
      <color rgb="FF1F618D"/>
      <name val="Arial"/>
    </font>
    <font>
      <sz val="8"/>
      <color rgb="FF6B7A72"/>
      <name val="Arial"/>
    </font>
    <font>
      <sz val="9"/>
      <color rgb="FF7D5A00"/>
      <name val="Arial"/>
    </font>
    <font>
      <b/>
      <sz val="9"/>
      <color rgb="FF1E8449"/>
      <name val="Arial"/>
    </font>
    <font>
      <sz val="9"/>
      <color rgb="FF1E8449"/>
      <name val="Arial"/>
    </font>
    <font>
      <b/>
      <sz val="9"/>
      <color rgb="FF9C6500"/>
      <name val="Arial"/>
    </font>
    <font>
      <sz val="9"/>
      <color rgb="FF9C6500"/>
      <name val="Arial"/>
    </font>
    <font>
      <b/>
      <sz val="9"/>
      <color rgb="FF9C0006"/>
      <name val="Arial"/>
    </font>
    <font>
      <sz val="9"/>
      <color rgb="FF9C0006"/>
      <name val="Arial"/>
    </font>
    <font>
      <b/>
      <sz val="9"/>
      <color rgb="FF1B5E20"/>
      <name val="Arial"/>
    </font>
    <font>
      <sz val="9"/>
      <color rgb="FF1B5E20"/>
      <name val="Arial"/>
    </font>
    <font>
      <b/>
      <sz val="9"/>
      <color rgb="FF595959"/>
      <name val="Arial"/>
    </font>
    <font>
      <sz val="9"/>
      <color rgb="FF595959"/>
      <name val="Arial"/>
    </font>
    <font>
      <sz val="9"/>
      <color rgb="FF2D6A4F"/>
      <name val="Arial"/>
    </font>
    <font>
      <b/>
      <sz val="12"/>
      <color rgb="FF1B5E20"/>
      <name val="Arial"/>
    </font>
    <font>
      <b/>
      <sz val="14"/>
      <color rgb="FFFFFFFF"/>
      <name val="Arial"/>
    </font>
    <font>
      <b/>
      <sz val="9"/>
      <color rgb="FF2D6A4F"/>
      <name val="Arial"/>
    </font>
    <font>
      <sz val="9"/>
      <color rgb="FF6B7A72"/>
      <name val="Arial"/>
    </font>
    <font>
      <b/>
      <sz val="16"/>
      <color rgb="FFFFFFFF"/>
      <name val="Arial"/>
    </font>
    <font>
      <b/>
      <sz val="9"/>
      <color rgb="FF1F2A24"/>
      <name val="Arial"/>
    </font>
    <font>
      <b/>
      <sz val="8"/>
      <color rgb="FF1E8449"/>
      <name val="Arial"/>
    </font>
    <font>
      <b/>
      <sz val="8"/>
      <color rgb="FF9C6500"/>
      <name val="Arial"/>
    </font>
    <font>
      <b/>
      <sz val="8"/>
      <color rgb="FF9C0006"/>
      <name val="Arial"/>
    </font>
    <font>
      <b/>
      <sz val="8"/>
      <color rgb="FF1B5E20"/>
      <name val="Arial"/>
    </font>
    <font>
      <b/>
      <sz val="8"/>
      <color rgb="FF595959"/>
      <name val="Arial"/>
    </font>
    <font>
      <b/>
      <sz val="8"/>
      <color rgb="FF974F0C"/>
      <name val="Arial"/>
    </font>
    <font>
      <b/>
      <sz val="8"/>
      <color rgb="FFFFFFFF"/>
      <name val="Arial"/>
    </font>
    <font>
      <sz val="8"/>
      <color rgb="FF1F2A24"/>
      <name val="Arial"/>
    </font>
    <font>
      <sz val="12"/>
      <color rgb="FF2D6A4F"/>
      <name val="Arial"/>
    </font>
    <font>
      <i/>
      <sz val="8"/>
      <color rgb="FF6B7A72"/>
      <name val="Arial"/>
    </font>
    <font>
      <b/>
      <sz val="18"/>
      <color rgb="FF1B5E20"/>
      <name val="Arial"/>
    </font>
    <font>
      <b/>
      <sz val="11"/>
      <color rgb="FF1F2A24"/>
      <name val="Arial"/>
    </font>
    <font>
      <sz val="8"/>
      <color rgb="FF1B5E20"/>
      <name val="Arial"/>
    </font>
    <font>
      <b/>
      <sz val="13"/>
      <color rgb="FF1B5E20"/>
      <name val="Arial"/>
    </font>
    <font>
      <b/>
      <sz val="11"/>
      <color rgb="FFFFFFFF"/>
      <name val="Arial"/>
    </font>
    <font>
      <b/>
      <sz val="7"/>
      <color rgb="FF2D6A4F"/>
      <name val="Arial"/>
    </font>
    <font>
      <b/>
      <sz val="8"/>
      <color rgb="FF1F2A24"/>
      <name val="Arial"/>
    </font>
    <font>
      <sz val="7"/>
      <color rgb="FF1B5E20"/>
      <name val="Arial"/>
    </font>
    <font>
      <b/>
      <sz val="10"/>
      <color rgb="FF6B7A72"/>
      <name val="Arial"/>
    </font>
  </fonts>
  <fills count="30">
    <fill>
      <patternFill patternType="none"/>
    </fill>
    <fill>
      <patternFill patternType="gray125"/>
    </fill>
    <fill>
      <patternFill patternType="solid">
        <fgColor rgb="FF2D6A4F"/>
        <bgColor rgb="FF1B5E20"/>
      </patternFill>
    </fill>
    <fill>
      <patternFill patternType="solid">
        <fgColor rgb="FFE8F5E9"/>
        <bgColor rgb="FFE3FCEF"/>
      </patternFill>
    </fill>
    <fill>
      <patternFill patternType="solid">
        <fgColor rgb="FF1B5E20"/>
        <bgColor rgb="FF006540"/>
      </patternFill>
    </fill>
    <fill>
      <patternFill patternType="solid">
        <fgColor rgb="FFF2F2F2"/>
        <bgColor rgb="FFF4F5F7"/>
      </patternFill>
    </fill>
    <fill>
      <patternFill patternType="solid">
        <fgColor rgb="FFFFF9C4"/>
        <bgColor rgb="FFFFF3CD"/>
      </patternFill>
    </fill>
    <fill>
      <patternFill patternType="solid">
        <fgColor rgb="FFC6EFCE"/>
        <bgColor rgb="FFC6E7CE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8CBAD"/>
      </patternFill>
    </fill>
    <fill>
      <patternFill patternType="solid">
        <fgColor rgb="FFA9DFBF"/>
        <bgColor rgb="FFC6E7CE"/>
      </patternFill>
    </fill>
    <fill>
      <patternFill patternType="solid">
        <fgColor rgb="FFEDEDED"/>
        <bgColor rgb="FFEBECF0"/>
      </patternFill>
    </fill>
    <fill>
      <patternFill patternType="solid">
        <fgColor rgb="FFFFF3CD"/>
        <bgColor rgb="FFFFF9C4"/>
      </patternFill>
    </fill>
    <fill>
      <patternFill patternType="solid">
        <fgColor rgb="FF1B5E20"/>
      </patternFill>
    </fill>
    <fill>
      <patternFill patternType="solid">
        <fgColor rgb="FF2D6A4F"/>
      </patternFill>
    </fill>
    <fill>
      <patternFill patternType="solid">
        <fgColor rgb="FFE8F5E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A9DFBF"/>
      </patternFill>
    </fill>
    <fill>
      <patternFill patternType="solid">
        <fgColor rgb="FFEDEDED"/>
      </patternFill>
    </fill>
    <fill>
      <patternFill patternType="solid">
        <fgColor rgb="FF455A64"/>
      </patternFill>
    </fill>
    <fill>
      <patternFill patternType="solid">
        <fgColor rgb="FFFFFFFF"/>
      </patternFill>
    </fill>
    <fill>
      <patternFill patternType="solid">
        <fgColor rgb="FFFFFCEB"/>
      </patternFill>
    </fill>
    <fill>
      <patternFill patternType="solid">
        <fgColor rgb="FFF3F8F5"/>
      </patternFill>
    </fill>
    <fill>
      <patternFill patternType="solid">
        <fgColor rgb="FFF4F6F5"/>
      </patternFill>
    </fill>
    <fill>
      <patternFill patternType="solid">
        <fgColor rgb="FFFFF6D6"/>
      </patternFill>
    </fill>
    <fill>
      <patternFill patternType="solid">
        <fgColor rgb="FFE9F3ED"/>
      </patternFill>
    </fill>
    <fill>
      <patternFill patternType="solid">
        <fgColor rgb="FFFFF3CD"/>
      </patternFill>
    </fill>
    <fill>
      <patternFill patternType="solid">
        <fgColor rgb="FFF7FAF8"/>
      </patternFill>
    </fill>
  </fills>
  <borders count="34">
    <border>
      <left/>
      <right/>
      <top/>
      <bottom/>
      <diagonal/>
    </border>
    <border>
      <left style="thin">
        <color rgb="FFC6E7CE"/>
      </left>
      <right style="thin">
        <color rgb="FFC6E7CE"/>
      </right>
      <top style="thin">
        <color rgb="FFC6E7CE"/>
      </top>
      <bottom style="thin">
        <color rgb="FFC6E7CE"/>
      </bottom>
      <diagonal/>
    </border>
    <border>
      <left style="medium">
        <color rgb="FF2D6A4F"/>
      </left>
      <right style="medium">
        <color rgb="FF2D6A4F"/>
      </right>
      <top style="medium">
        <color rgb="FF2D6A4F"/>
      </top>
      <bottom style="medium">
        <color rgb="FF2D6A4F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866501"/>
      </left>
      <right style="thin">
        <color rgb="FF866501"/>
      </right>
      <top style="thin">
        <color rgb="FF866501"/>
      </top>
      <bottom style="thin">
        <color rgb="FF866501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1E8449"/>
      </top>
      <bottom style="thin">
        <color rgb="FF1E8449"/>
      </bottom>
      <diagonal/>
    </border>
    <border>
      <left/>
      <right style="thin">
        <color rgb="FF1E8449"/>
      </right>
      <top style="thin">
        <color rgb="FF1E8449"/>
      </top>
      <bottom style="thin">
        <color rgb="FF1E8449"/>
      </bottom>
      <diagonal/>
    </border>
    <border>
      <left/>
      <right/>
      <top style="thin">
        <color rgb="FF866501"/>
      </top>
      <bottom style="thin">
        <color rgb="FF866501"/>
      </bottom>
      <diagonal/>
    </border>
    <border>
      <left/>
      <right style="thin">
        <color rgb="FF866501"/>
      </right>
      <top style="thin">
        <color rgb="FF866501"/>
      </top>
      <bottom style="thin">
        <color rgb="FF866501"/>
      </bottom>
      <diagonal/>
    </border>
    <border>
      <left/>
      <right/>
      <top style="thin">
        <color rgb="FF9C0006"/>
      </top>
      <bottom style="thin">
        <color rgb="FF9C0006"/>
      </bottom>
      <diagonal/>
    </border>
    <border>
      <left/>
      <right style="thin">
        <color rgb="FF9C0006"/>
      </right>
      <top style="thin">
        <color rgb="FF9C0006"/>
      </top>
      <bottom style="thin">
        <color rgb="FF9C0006"/>
      </bottom>
      <diagonal/>
    </border>
    <border>
      <left/>
      <right/>
      <top style="thin">
        <color rgb="FF1B5E20"/>
      </top>
      <bottom style="thin">
        <color rgb="FF1B5E20"/>
      </bottom>
      <diagonal/>
    </border>
    <border>
      <left/>
      <right style="thin">
        <color rgb="FF1B5E20"/>
      </right>
      <top style="thin">
        <color rgb="FF1B5E20"/>
      </top>
      <bottom style="thin">
        <color rgb="FF1B5E20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FFFFFF"/>
      </left>
      <right style="thin">
        <color rgb="FFFFFFFF"/>
      </right>
      <top/>
      <bottom style="medium">
        <color rgb="FF1B5E20"/>
      </bottom>
      <diagonal/>
    </border>
    <border>
      <left/>
      <right style="thin">
        <color rgb="FFE2E6E3"/>
      </right>
      <top/>
      <bottom style="thin">
        <color rgb="FFE2E6E3"/>
      </bottom>
      <diagonal/>
    </border>
    <border>
      <left/>
      <right/>
      <top style="thick">
        <color rgb="FFB9770E"/>
      </top>
      <bottom/>
      <diagonal/>
    </border>
    <border>
      <left/>
      <right/>
      <top/>
      <bottom style="thin">
        <color rgb="FFD5E3DA"/>
      </bottom>
      <diagonal/>
    </border>
    <border>
      <left/>
      <right/>
      <top style="thick">
        <color rgb="FF1F618D"/>
      </top>
      <bottom/>
      <diagonal/>
    </border>
    <border>
      <left/>
      <right/>
      <top style="thick">
        <color rgb="FF1E8449"/>
      </top>
      <bottom/>
      <diagonal/>
    </border>
    <border>
      <left/>
      <right/>
      <top/>
      <bottom style="medium">
        <color rgb="FF2D6A4F"/>
      </bottom>
      <diagonal/>
    </border>
    <border>
      <left/>
      <right/>
      <top style="thick">
        <color rgb="FF1B5E20"/>
      </top>
      <bottom/>
      <diagonal/>
    </border>
    <border>
      <left style="thin">
        <color rgb="FFE0C068"/>
      </left>
      <right style="thin">
        <color rgb="FFE0C068"/>
      </right>
      <top style="thin">
        <color rgb="FFE0C068"/>
      </top>
      <bottom style="thin">
        <color rgb="FFE0C068"/>
      </bottom>
      <diagonal/>
    </border>
    <border>
      <left style="thin">
        <color rgb="FFC9D6CE"/>
      </left>
      <right style="thin">
        <color rgb="FFC9D6CE"/>
      </right>
      <top style="thin">
        <color rgb="FFC9D6CE"/>
      </top>
      <bottom/>
      <diagonal/>
    </border>
    <border>
      <left style="thin">
        <color rgb="FFC9D6CE"/>
      </left>
      <right style="thin">
        <color rgb="FFC9D6CE"/>
      </right>
      <top/>
      <bottom style="thin">
        <color rgb="FFC9D6CE"/>
      </bottom>
      <diagonal/>
    </border>
    <border>
      <left style="thin">
        <color rgb="FFE2E6E3"/>
      </left>
      <right style="thin">
        <color rgb="FFE2E6E3"/>
      </right>
      <top style="thin">
        <color rgb="FFC9D6CE"/>
      </top>
      <bottom/>
      <diagonal/>
    </border>
    <border>
      <left style="thin">
        <color rgb="FFE2E6E3"/>
      </left>
      <right style="thin">
        <color rgb="FFE2E6E3"/>
      </right>
      <top/>
      <bottom style="thin">
        <color rgb="FFE2E6E3"/>
      </bottom>
      <diagonal/>
    </border>
    <border>
      <left/>
      <right/>
      <top/>
      <bottom style="thin">
        <color rgb="FFC9D6CE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indent="1"/>
    </xf>
    <xf numFmtId="164" fontId="3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4" fillId="0" borderId="0" xfId="0" applyFont="1"/>
    <xf numFmtId="0" fontId="20" fillId="0" borderId="0" xfId="0" applyFont="1" applyAlignment="1">
      <alignment horizontal="left" vertical="center" indent="1"/>
    </xf>
    <xf numFmtId="9" fontId="22" fillId="0" borderId="0" xfId="0" applyNumberFormat="1" applyFont="1" applyAlignment="1">
      <alignment horizontal="center" vertical="center"/>
    </xf>
    <xf numFmtId="0" fontId="23" fillId="14" borderId="18" xfId="0" applyFont="1" applyFill="1" applyBorder="1" applyAlignment="1">
      <alignment horizontal="center" vertical="center" wrapText="1"/>
    </xf>
    <xf numFmtId="0" fontId="23" fillId="21" borderId="18" xfId="0" applyFont="1" applyFill="1" applyBorder="1" applyAlignment="1">
      <alignment horizontal="center" vertical="center" wrapText="1"/>
    </xf>
    <xf numFmtId="0" fontId="27" fillId="22" borderId="19" xfId="0" applyFont="1" applyFill="1" applyBorder="1" applyAlignment="1">
      <alignment horizontal="center" vertical="center"/>
    </xf>
    <xf numFmtId="0" fontId="45" fillId="23" borderId="19" xfId="0" applyFont="1" applyFill="1" applyBorder="1" applyAlignment="1" applyProtection="1">
      <alignment horizontal="left" vertical="center" wrapText="1" indent="1"/>
      <protection locked="0"/>
    </xf>
    <xf numFmtId="49" fontId="24" fillId="23" borderId="19" xfId="0" applyNumberFormat="1" applyFont="1" applyFill="1" applyBorder="1" applyAlignment="1" applyProtection="1">
      <alignment horizontal="center" vertical="center"/>
      <protection locked="0"/>
    </xf>
    <xf numFmtId="0" fontId="24" fillId="23" borderId="19" xfId="0" applyFont="1" applyFill="1" applyBorder="1" applyAlignment="1" applyProtection="1">
      <alignment horizontal="left" vertical="center" wrapText="1" indent="1"/>
      <protection locked="0"/>
    </xf>
    <xf numFmtId="0" fontId="24" fillId="23" borderId="19" xfId="0" applyFont="1" applyFill="1" applyBorder="1" applyAlignment="1" applyProtection="1">
      <alignment horizontal="center" vertical="center"/>
      <protection locked="0"/>
    </xf>
    <xf numFmtId="164" fontId="24" fillId="23" borderId="19" xfId="0" applyNumberFormat="1" applyFont="1" applyFill="1" applyBorder="1" applyAlignment="1" applyProtection="1">
      <alignment horizontal="center" vertical="center"/>
      <protection locked="0"/>
    </xf>
    <xf numFmtId="0" fontId="24" fillId="24" borderId="19" xfId="0" applyFont="1" applyFill="1" applyBorder="1" applyAlignment="1">
      <alignment horizontal="center" vertical="center"/>
    </xf>
    <xf numFmtId="0" fontId="27" fillId="25" borderId="19" xfId="0" applyFont="1" applyFill="1" applyBorder="1" applyAlignment="1">
      <alignment horizontal="center" vertical="center"/>
    </xf>
    <xf numFmtId="0" fontId="45" fillId="26" borderId="19" xfId="0" applyFont="1" applyFill="1" applyBorder="1" applyAlignment="1" applyProtection="1">
      <alignment horizontal="left" vertical="center" wrapText="1" indent="1"/>
      <protection locked="0"/>
    </xf>
    <xf numFmtId="49" fontId="24" fillId="26" borderId="19" xfId="0" applyNumberFormat="1" applyFont="1" applyFill="1" applyBorder="1" applyAlignment="1" applyProtection="1">
      <alignment horizontal="center" vertical="center"/>
      <protection locked="0"/>
    </xf>
    <xf numFmtId="0" fontId="24" fillId="26" borderId="19" xfId="0" applyFont="1" applyFill="1" applyBorder="1" applyAlignment="1" applyProtection="1">
      <alignment horizontal="left" vertical="center" wrapText="1" indent="1"/>
      <protection locked="0"/>
    </xf>
    <xf numFmtId="0" fontId="24" fillId="26" borderId="19" xfId="0" applyFont="1" applyFill="1" applyBorder="1" applyAlignment="1" applyProtection="1">
      <alignment horizontal="center" vertical="center"/>
      <protection locked="0"/>
    </xf>
    <xf numFmtId="164" fontId="24" fillId="26" borderId="19" xfId="0" applyNumberFormat="1" applyFont="1" applyFill="1" applyBorder="1" applyAlignment="1" applyProtection="1">
      <alignment horizontal="center" vertical="center"/>
      <protection locked="0"/>
    </xf>
    <xf numFmtId="0" fontId="24" fillId="27" borderId="19" xfId="0" applyFont="1" applyFill="1" applyBorder="1" applyAlignment="1">
      <alignment horizontal="center" vertical="center"/>
    </xf>
    <xf numFmtId="0" fontId="45" fillId="22" borderId="19" xfId="0" applyFont="1" applyFill="1" applyBorder="1" applyAlignment="1">
      <alignment horizontal="left" vertical="center" indent="1"/>
    </xf>
    <xf numFmtId="0" fontId="53" fillId="22" borderId="19" xfId="0" applyFont="1" applyFill="1" applyBorder="1" applyAlignment="1">
      <alignment horizontal="center" vertical="center"/>
    </xf>
    <xf numFmtId="0" fontId="54" fillId="22" borderId="19" xfId="0" applyFont="1" applyFill="1" applyBorder="1" applyAlignment="1">
      <alignment horizontal="center" vertical="center"/>
    </xf>
    <xf numFmtId="0" fontId="27" fillId="29" borderId="19" xfId="0" applyFont="1" applyFill="1" applyBorder="1" applyAlignment="1">
      <alignment horizontal="center" vertical="center"/>
    </xf>
    <xf numFmtId="0" fontId="45" fillId="29" borderId="19" xfId="0" applyFont="1" applyFill="1" applyBorder="1" applyAlignment="1">
      <alignment horizontal="left" vertical="center" indent="1"/>
    </xf>
    <xf numFmtId="0" fontId="53" fillId="29" borderId="19" xfId="0" applyFont="1" applyFill="1" applyBorder="1" applyAlignment="1">
      <alignment horizontal="center" vertical="center"/>
    </xf>
    <xf numFmtId="0" fontId="54" fillId="29" borderId="19" xfId="0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40" fillId="26" borderId="26" xfId="0" applyFont="1" applyFill="1" applyBorder="1" applyAlignment="1">
      <alignment horizontal="center" vertical="center"/>
    </xf>
    <xf numFmtId="166" fontId="57" fillId="25" borderId="27" xfId="0" applyNumberFormat="1" applyFont="1" applyFill="1" applyBorder="1" applyAlignment="1">
      <alignment horizontal="right" vertical="center" indent="1"/>
    </xf>
    <xf numFmtId="166" fontId="57" fillId="22" borderId="27" xfId="0" applyNumberFormat="1" applyFont="1" applyFill="1" applyBorder="1" applyAlignment="1">
      <alignment horizontal="right" vertical="center" indent="1"/>
    </xf>
    <xf numFmtId="0" fontId="58" fillId="25" borderId="28" xfId="0" applyFont="1" applyFill="1" applyBorder="1" applyAlignment="1">
      <alignment horizontal="left" vertical="top" wrapText="1" indent="1"/>
    </xf>
    <xf numFmtId="0" fontId="58" fillId="22" borderId="28" xfId="0" applyFont="1" applyFill="1" applyBorder="1" applyAlignment="1">
      <alignment horizontal="left" vertical="top" wrapText="1" indent="1"/>
    </xf>
    <xf numFmtId="0" fontId="59" fillId="26" borderId="26" xfId="0" applyFont="1" applyFill="1" applyBorder="1" applyAlignment="1">
      <alignment horizontal="center" vertical="center"/>
    </xf>
    <xf numFmtId="0" fontId="61" fillId="15" borderId="0" xfId="0" applyFont="1" applyFill="1" applyAlignment="1">
      <alignment horizontal="center" vertical="center"/>
    </xf>
    <xf numFmtId="166" fontId="62" fillId="25" borderId="29" xfId="0" applyNumberFormat="1" applyFont="1" applyFill="1" applyBorder="1" applyAlignment="1">
      <alignment horizontal="right" vertical="center" indent="1"/>
    </xf>
    <xf numFmtId="166" fontId="62" fillId="22" borderId="29" xfId="0" applyNumberFormat="1" applyFont="1" applyFill="1" applyBorder="1" applyAlignment="1">
      <alignment horizontal="right" vertical="center" indent="1"/>
    </xf>
    <xf numFmtId="0" fontId="63" fillId="25" borderId="30" xfId="0" applyFont="1" applyFill="1" applyBorder="1" applyAlignment="1">
      <alignment horizontal="left" vertical="top" wrapText="1"/>
    </xf>
    <xf numFmtId="0" fontId="63" fillId="22" borderId="30" xfId="0" applyFont="1" applyFill="1" applyBorder="1" applyAlignment="1">
      <alignment horizontal="left" vertical="top" wrapText="1"/>
    </xf>
    <xf numFmtId="0" fontId="55" fillId="0" borderId="0" xfId="0" applyFont="1" applyAlignment="1">
      <alignment horizontal="left" vertical="center" indent="1"/>
    </xf>
    <xf numFmtId="0" fontId="64" fillId="0" borderId="0" xfId="0" applyFont="1" applyAlignment="1">
      <alignment horizontal="right" vertical="center" indent="1"/>
    </xf>
    <xf numFmtId="0" fontId="24" fillId="0" borderId="21" xfId="0" applyFont="1" applyBorder="1" applyAlignment="1">
      <alignment horizontal="left" vertical="center" indent="1"/>
    </xf>
    <xf numFmtId="0" fontId="25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left" vertical="center"/>
    </xf>
    <xf numFmtId="9" fontId="27" fillId="0" borderId="21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left" vertical="center"/>
    </xf>
    <xf numFmtId="0" fontId="29" fillId="16" borderId="21" xfId="0" applyFont="1" applyFill="1" applyBorder="1" applyAlignment="1">
      <alignment horizontal="left" vertical="center" indent="1"/>
    </xf>
    <xf numFmtId="0" fontId="30" fillId="0" borderId="21" xfId="0" applyFont="1" applyBorder="1" applyAlignment="1">
      <alignment horizontal="left" vertical="center"/>
    </xf>
    <xf numFmtId="0" fontId="39" fillId="0" borderId="21" xfId="0" applyFont="1" applyBorder="1" applyAlignment="1">
      <alignment horizontal="left" vertical="center"/>
    </xf>
    <xf numFmtId="0" fontId="31" fillId="17" borderId="21" xfId="0" applyFont="1" applyFill="1" applyBorder="1" applyAlignment="1">
      <alignment horizontal="left" vertical="center" indent="1"/>
    </xf>
    <xf numFmtId="0" fontId="32" fillId="0" borderId="21" xfId="0" applyFont="1" applyBorder="1" applyAlignment="1">
      <alignment horizontal="left" vertical="center"/>
    </xf>
    <xf numFmtId="0" fontId="33" fillId="18" borderId="21" xfId="0" applyFont="1" applyFill="1" applyBorder="1" applyAlignment="1">
      <alignment horizontal="left" vertical="center" indent="1"/>
    </xf>
    <xf numFmtId="0" fontId="34" fillId="0" borderId="21" xfId="0" applyFont="1" applyBorder="1" applyAlignment="1">
      <alignment horizontal="left" vertical="center"/>
    </xf>
    <xf numFmtId="0" fontId="35" fillId="19" borderId="21" xfId="0" applyFont="1" applyFill="1" applyBorder="1" applyAlignment="1">
      <alignment horizontal="left" vertical="center" indent="1"/>
    </xf>
    <xf numFmtId="0" fontId="36" fillId="0" borderId="21" xfId="0" applyFont="1" applyBorder="1" applyAlignment="1">
      <alignment horizontal="left" vertical="center"/>
    </xf>
    <xf numFmtId="0" fontId="37" fillId="20" borderId="21" xfId="0" applyFont="1" applyFill="1" applyBorder="1" applyAlignment="1">
      <alignment horizontal="left" vertical="center" indent="1"/>
    </xf>
    <xf numFmtId="0" fontId="38" fillId="0" borderId="21" xfId="0" applyFont="1" applyBorder="1" applyAlignment="1">
      <alignment horizontal="left" vertical="center"/>
    </xf>
    <xf numFmtId="0" fontId="0" fillId="22" borderId="31" xfId="0" applyFill="1" applyBorder="1"/>
    <xf numFmtId="0" fontId="15" fillId="22" borderId="31" xfId="0" applyFont="1" applyFill="1" applyBorder="1" applyAlignment="1">
      <alignment horizontal="right" vertical="center"/>
    </xf>
    <xf numFmtId="0" fontId="23" fillId="14" borderId="33" xfId="0" applyFont="1" applyFill="1" applyBorder="1" applyAlignment="1">
      <alignment horizontal="center" vertical="center" wrapText="1"/>
    </xf>
    <xf numFmtId="0" fontId="52" fillId="13" borderId="33" xfId="0" applyFont="1" applyFill="1" applyBorder="1" applyAlignment="1">
      <alignment horizontal="center" vertical="center" wrapText="1"/>
    </xf>
    <xf numFmtId="0" fontId="23" fillId="13" borderId="33" xfId="0" applyFont="1" applyFill="1" applyBorder="1" applyAlignment="1">
      <alignment horizontal="center" vertical="center"/>
    </xf>
    <xf numFmtId="0" fontId="23" fillId="14" borderId="33" xfId="0" applyFont="1" applyFill="1" applyBorder="1" applyAlignment="1">
      <alignment horizontal="center" vertical="center"/>
    </xf>
    <xf numFmtId="0" fontId="29" fillId="16" borderId="33" xfId="0" applyFont="1" applyFill="1" applyBorder="1" applyAlignment="1">
      <alignment horizontal="center" vertical="center"/>
    </xf>
    <xf numFmtId="0" fontId="31" fillId="17" borderId="33" xfId="0" applyFont="1" applyFill="1" applyBorder="1" applyAlignment="1">
      <alignment horizontal="center" vertical="center"/>
    </xf>
    <xf numFmtId="0" fontId="33" fillId="18" borderId="33" xfId="0" applyFont="1" applyFill="1" applyBorder="1" applyAlignment="1">
      <alignment horizontal="center" vertical="center"/>
    </xf>
    <xf numFmtId="0" fontId="35" fillId="19" borderId="33" xfId="0" applyFont="1" applyFill="1" applyBorder="1" applyAlignment="1">
      <alignment horizontal="center" vertical="center"/>
    </xf>
    <xf numFmtId="0" fontId="37" fillId="20" borderId="33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 indent="1"/>
    </xf>
    <xf numFmtId="0" fontId="23" fillId="14" borderId="0" xfId="0" applyFont="1" applyFill="1" applyAlignment="1">
      <alignment horizontal="left" vertical="center" indent="1"/>
    </xf>
    <xf numFmtId="0" fontId="41" fillId="13" borderId="0" xfId="0" applyFont="1" applyFill="1" applyAlignment="1">
      <alignment horizontal="center" vertical="center"/>
    </xf>
    <xf numFmtId="0" fontId="15" fillId="15" borderId="22" xfId="0" applyFont="1" applyFill="1" applyBorder="1" applyAlignment="1">
      <alignment horizontal="left" indent="1"/>
    </xf>
    <xf numFmtId="0" fontId="40" fillId="0" borderId="21" xfId="0" applyFont="1" applyBorder="1" applyAlignment="1">
      <alignment horizontal="left" vertical="center" indent="1"/>
    </xf>
    <xf numFmtId="0" fontId="56" fillId="0" borderId="0" xfId="0" applyFont="1" applyAlignment="1">
      <alignment horizontal="right" vertical="center" indent="1"/>
    </xf>
    <xf numFmtId="0" fontId="18" fillId="15" borderId="21" xfId="0" applyFont="1" applyFill="1" applyBorder="1" applyAlignment="1">
      <alignment horizontal="left" vertical="center" indent="1"/>
    </xf>
    <xf numFmtId="0" fontId="15" fillId="15" borderId="20" xfId="0" applyFont="1" applyFill="1" applyBorder="1" applyAlignment="1">
      <alignment horizontal="left" indent="1"/>
    </xf>
    <xf numFmtId="0" fontId="19" fillId="15" borderId="21" xfId="0" applyFont="1" applyFill="1" applyBorder="1" applyAlignment="1">
      <alignment horizontal="left" vertical="center" indent="1"/>
    </xf>
    <xf numFmtId="0" fontId="17" fillId="15" borderId="21" xfId="0" applyFont="1" applyFill="1" applyBorder="1" applyAlignment="1">
      <alignment horizontal="left" vertical="center" indent="1"/>
    </xf>
    <xf numFmtId="0" fontId="15" fillId="15" borderId="23" xfId="0" applyFont="1" applyFill="1" applyBorder="1" applyAlignment="1">
      <alignment horizontal="left" indent="1"/>
    </xf>
    <xf numFmtId="0" fontId="15" fillId="15" borderId="25" xfId="0" applyFont="1" applyFill="1" applyBorder="1" applyAlignment="1">
      <alignment horizontal="left" indent="1"/>
    </xf>
    <xf numFmtId="0" fontId="21" fillId="0" borderId="0" xfId="0" applyFont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6" fillId="15" borderId="2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42" fillId="15" borderId="0" xfId="0" applyFont="1" applyFill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0" fontId="44" fillId="13" borderId="0" xfId="0" applyFont="1" applyFill="1" applyAlignment="1">
      <alignment horizontal="center" vertical="center" wrapText="1"/>
    </xf>
    <xf numFmtId="0" fontId="44" fillId="13" borderId="0" xfId="0" applyFont="1" applyFill="1" applyAlignment="1">
      <alignment horizontal="left" vertical="center" wrapText="1" indent="1"/>
    </xf>
    <xf numFmtId="0" fontId="55" fillId="0" borderId="0" xfId="0" applyFont="1" applyAlignment="1">
      <alignment horizontal="left" vertical="center"/>
    </xf>
    <xf numFmtId="0" fontId="49" fillId="19" borderId="33" xfId="0" applyFont="1" applyFill="1" applyBorder="1" applyAlignment="1">
      <alignment horizontal="center" vertical="center"/>
    </xf>
    <xf numFmtId="0" fontId="13" fillId="14" borderId="0" xfId="0" applyFont="1" applyFill="1" applyAlignment="1">
      <alignment horizontal="left" vertical="center" wrapText="1" indent="1"/>
    </xf>
    <xf numFmtId="0" fontId="10" fillId="11" borderId="7" xfId="0" applyFont="1" applyFill="1" applyBorder="1" applyAlignment="1">
      <alignment horizontal="left" vertical="center"/>
    </xf>
    <xf numFmtId="0" fontId="23" fillId="13" borderId="0" xfId="0" applyFont="1" applyFill="1" applyAlignment="1">
      <alignment horizontal="left" vertical="center"/>
    </xf>
    <xf numFmtId="0" fontId="11" fillId="12" borderId="4" xfId="0" applyFont="1" applyFill="1" applyBorder="1" applyAlignment="1">
      <alignment horizontal="left" vertical="center"/>
    </xf>
    <xf numFmtId="0" fontId="9" fillId="10" borderId="6" xfId="0" applyFont="1" applyFill="1" applyBorder="1" applyAlignment="1">
      <alignment horizontal="left" vertical="center"/>
    </xf>
    <xf numFmtId="0" fontId="50" fillId="20" borderId="33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47" fillId="17" borderId="33" xfId="0" applyFont="1" applyFill="1" applyBorder="1" applyAlignment="1">
      <alignment horizontal="center" vertical="center"/>
    </xf>
    <xf numFmtId="0" fontId="46" fillId="16" borderId="3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51" fillId="28" borderId="31" xfId="0" applyFont="1" applyFill="1" applyBorder="1" applyAlignment="1">
      <alignment horizontal="center" vertical="center"/>
    </xf>
    <xf numFmtId="0" fontId="48" fillId="18" borderId="33" xfId="0" applyFont="1" applyFill="1" applyBorder="1" applyAlignment="1">
      <alignment horizontal="center" vertical="center"/>
    </xf>
    <xf numFmtId="0" fontId="44" fillId="13" borderId="0" xfId="0" applyFont="1" applyFill="1" applyAlignment="1">
      <alignment horizontal="left" vertical="center" indent="1"/>
    </xf>
    <xf numFmtId="0" fontId="13" fillId="14" borderId="0" xfId="0" applyFont="1" applyFill="1" applyAlignment="1">
      <alignment horizontal="left" vertical="center" indent="1"/>
    </xf>
    <xf numFmtId="0" fontId="60" fillId="13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31" fillId="17" borderId="0" xfId="0" applyFont="1" applyFill="1" applyAlignment="1">
      <alignment horizontal="center" vertical="center"/>
    </xf>
    <xf numFmtId="0" fontId="37" fillId="20" borderId="0" xfId="0" applyFont="1" applyFill="1" applyAlignment="1">
      <alignment horizontal="center" vertical="center"/>
    </xf>
    <xf numFmtId="0" fontId="33" fillId="18" borderId="0" xfId="0" applyFont="1" applyFill="1" applyAlignment="1">
      <alignment horizontal="center" vertical="center"/>
    </xf>
    <xf numFmtId="0" fontId="29" fillId="16" borderId="0" xfId="0" applyFont="1" applyFill="1" applyAlignment="1">
      <alignment horizontal="center" vertical="center"/>
    </xf>
    <xf numFmtId="0" fontId="0" fillId="0" borderId="0" xfId="0" applyAlignment="1"/>
    <xf numFmtId="0" fontId="0" fillId="0" borderId="25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42" fillId="0" borderId="24" xfId="0" applyFont="1" applyBorder="1" applyAlignment="1"/>
    <xf numFmtId="0" fontId="0" fillId="0" borderId="24" xfId="0" applyBorder="1" applyAlignment="1"/>
    <xf numFmtId="0" fontId="0" fillId="0" borderId="32" xfId="0" applyBorder="1" applyAlignment="1"/>
    <xf numFmtId="0" fontId="0" fillId="0" borderId="31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23" fillId="13" borderId="0" xfId="0" applyFont="1" applyFill="1" applyAlignment="1"/>
    <xf numFmtId="0" fontId="55" fillId="0" borderId="0" xfId="0" applyFont="1" applyAlignment="1"/>
  </cellXfs>
  <cellStyles count="1">
    <cellStyle name="Normal" xfId="0" builtinId="0"/>
  </cellStyles>
  <dxfs count="92"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8"/>
        <color rgb="FF974F0C"/>
        <name val="Arial"/>
        <charset val="1"/>
      </font>
      <fill>
        <patternFill>
          <bgColor rgb="FFFFF3CD"/>
        </patternFill>
      </fill>
    </dxf>
    <dxf>
      <font>
        <b/>
        <sz val="10"/>
        <color rgb="FF974F0C"/>
        <name val="Arial"/>
        <charset val="1"/>
      </font>
      <fill>
        <patternFill>
          <bgColor rgb="FFFFF3CD"/>
        </patternFill>
      </fill>
    </dxf>
    <dxf>
      <font>
        <b/>
        <color rgb="FF1B5E20"/>
      </font>
      <fill>
        <patternFill patternType="solid">
          <fgColor rgb="FFF2C94C"/>
          <bgColor rgb="FFF2C94C"/>
        </patternFill>
      </fill>
    </dxf>
    <dxf>
      <fill>
        <patternFill patternType="solid">
          <fgColor rgb="FFFFF3CD"/>
          <bgColor rgb="FFFFF3CD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595959"/>
        <name val="Arial"/>
        <charset val="1"/>
      </font>
      <fill>
        <patternFill>
          <bgColor rgb="FFEDEDED"/>
        </patternFill>
      </fill>
    </dxf>
    <dxf>
      <font>
        <b/>
        <sz val="14"/>
        <color rgb="FF1B5E20"/>
        <name val="Arial"/>
        <charset val="1"/>
      </font>
      <fill>
        <patternFill>
          <bgColor rgb="FFA9DFBF"/>
        </patternFill>
      </fill>
    </dxf>
    <dxf>
      <font>
        <b/>
        <sz val="14"/>
        <color rgb="FF9C0006"/>
        <name val="Arial"/>
        <charset val="1"/>
      </font>
      <fill>
        <patternFill>
          <bgColor rgb="FFFFC7CE"/>
        </patternFill>
      </fill>
    </dxf>
    <dxf>
      <font>
        <b/>
        <sz val="14"/>
        <color rgb="FF9C6500"/>
        <name val="Arial"/>
        <charset val="1"/>
      </font>
      <fill>
        <patternFill>
          <bgColor rgb="FFFFEB9C"/>
        </patternFill>
      </fill>
    </dxf>
    <dxf>
      <font>
        <b/>
        <sz val="14"/>
        <color rgb="FF1E8449"/>
        <name val="Arial"/>
        <charset val="1"/>
      </font>
      <fill>
        <patternFill>
          <bgColor rgb="FFC6EFCE"/>
        </patternFill>
      </fill>
    </dxf>
    <dxf>
      <font>
        <b/>
        <sz val="9"/>
        <color rgb="FF1E8449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1B5E20"/>
        <name val="Arial"/>
        <charset val="1"/>
      </font>
      <fill>
        <patternFill>
          <bgColor rgb="FFA9DFBF"/>
        </patternFill>
      </fill>
    </dxf>
    <dxf>
      <font>
        <b/>
        <sz val="9"/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595959"/>
      </font>
      <fill>
        <patternFill patternType="solid">
          <fgColor rgb="FFEDEDED"/>
        </patternFill>
      </fill>
    </dxf>
    <dxf>
      <font>
        <b/>
        <color rgb="FF1B5E20"/>
      </font>
      <fill>
        <patternFill patternType="solid">
          <fgColor rgb="FFA9DFBF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1E8449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1E8449"/>
      </font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1E8449"/>
      </font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F3E0"/>
      <rgbColor rgb="FFF2F2F2"/>
      <rgbColor rgb="FF0000FF"/>
      <rgbColor rgb="FFFFEB9C"/>
      <rgbColor rgb="FFFFEBE8"/>
      <rgbColor rgb="FFE8F5E9"/>
      <rgbColor rgb="FF9C0006"/>
      <rgbColor rgb="FF006540"/>
      <rgbColor rgb="FF1B5E20"/>
      <rgbColor rgb="FF866501"/>
      <rgbColor rgb="FFF4F5F7"/>
      <rgbColor rgb="FF1A8349"/>
      <rgbColor rgb="FFCCCCCC"/>
      <rgbColor rgb="FF808080"/>
      <rgbColor rgb="FFC6E7CE"/>
      <rgbColor rgb="FFBF2600"/>
      <rgbColor rgb="FFFFF9C4"/>
      <rgbColor rgb="FFE3FCEF"/>
      <rgbColor rgb="FF595959"/>
      <rgbColor rgb="FF9C6500"/>
      <rgbColor rgb="FF2980B9"/>
      <rgbColor rgb="FFD9D9D9"/>
      <rgbColor rgb="FF000080"/>
      <rgbColor rgb="FFFFEBE6"/>
      <rgbColor rgb="FFFFE699"/>
      <rgbColor rgb="FFEBECF0"/>
      <rgbColor rgb="FFFFF9E6"/>
      <rgbColor rgb="FF856404"/>
      <rgbColor rgb="FF1B8449"/>
      <rgbColor rgb="FF0000FF"/>
      <rgbColor rgb="FFEDEDED"/>
      <rgbColor rgb="FFEDFCFC"/>
      <rgbColor rgb="FFD5F5E3"/>
      <rgbColor rgb="FFFFF0B3"/>
      <rgbColor rgb="FFA9DFBF"/>
      <rgbColor rgb="FFFFC7CE"/>
      <rgbColor rgb="FFDDDDDD"/>
      <rgbColor rgb="FFF8CBAD"/>
      <rgbColor rgb="FF2D6A4F"/>
      <rgbColor rgb="FF1BB57E"/>
      <rgbColor rgb="FFC6EFCE"/>
      <rgbColor rgb="FFFFF3CD"/>
      <rgbColor rgb="FFF18B16"/>
      <rgbColor rgb="FFE67E22"/>
      <rgbColor rgb="FF5D6D7E"/>
      <rgbColor rgb="FF999999"/>
      <rgbColor rgb="FF006644"/>
      <rgbColor rgb="FF1E8449"/>
      <rgbColor rgb="FF0B3D20"/>
      <rgbColor rgb="FF1A1A1A"/>
      <rgbColor rgb="FF974F0C"/>
      <rgbColor rgb="FFC02700"/>
      <rgbColor rgb="FF555555"/>
      <rgbColor rgb="FF2D3B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  <pageSetUpPr fitToPage="1"/>
  </sheetPr>
  <dimension ref="B1:L60"/>
  <sheetViews>
    <sheetView showGridLines="0" tabSelected="1" workbookViewId="0"/>
  </sheetViews>
  <sheetFormatPr defaultRowHeight="15"/>
  <cols>
    <col min="1" max="1" width="2" customWidth="1"/>
    <col min="2" max="2" width="24" customWidth="1"/>
    <col min="3" max="3" width="8" customWidth="1"/>
    <col min="4" max="4" width="17" customWidth="1"/>
    <col min="5" max="5" width="8" customWidth="1"/>
    <col min="6" max="6" width="3" customWidth="1"/>
    <col min="7" max="7" width="24" customWidth="1"/>
    <col min="8" max="8" width="8" customWidth="1"/>
    <col min="9" max="9" width="17" customWidth="1"/>
    <col min="10" max="10" width="7" customWidth="1"/>
    <col min="11" max="11" width="2" customWidth="1"/>
    <col min="12" max="12" width="13" hidden="1" customWidth="1"/>
  </cols>
  <sheetData>
    <row r="1" spans="2:12" ht="9.9499999999999993" customHeight="1">
      <c r="L1">
        <f ca="1">IF(ISNUMBER($C$31),$C$31,MONTH(TODAY()))</f>
        <v>10</v>
      </c>
    </row>
    <row r="2" spans="2:12" ht="39.950000000000003" customHeight="1">
      <c r="B2" s="89" t="s">
        <v>0</v>
      </c>
      <c r="C2" s="122"/>
      <c r="D2" s="122"/>
      <c r="E2" s="122"/>
      <c r="F2" s="122"/>
      <c r="G2" s="122"/>
      <c r="H2" s="122"/>
      <c r="I2" s="122"/>
      <c r="J2" s="122"/>
      <c r="L2">
        <f ca="1">IF(ISNUMBER($E$31),$E$31,YEAR(TODAY()))</f>
        <v>2026</v>
      </c>
    </row>
    <row r="3" spans="2:12" ht="20.100000000000001" customHeight="1">
      <c r="B3" s="90" t="str">
        <f ca="1">"Live from the Release Calendar sheet  ·  nothing to fill in here  ·  as of "&amp;TEXT(TODAY(),"dd mmm yyyy")</f>
        <v>Live from the Release Calendar sheet  ·  nothing to fill in here  ·  as of 14 Oct 2026</v>
      </c>
      <c r="C3" s="122"/>
      <c r="D3" s="122"/>
      <c r="E3" s="122"/>
      <c r="F3" s="122"/>
      <c r="G3" s="122"/>
      <c r="H3" s="122"/>
      <c r="I3" s="122"/>
      <c r="J3" s="122"/>
      <c r="L3" s="7">
        <f ca="1">DATE($L$2,$L$1,1)</f>
        <v>46296</v>
      </c>
    </row>
    <row r="4" spans="2:12" ht="9.9499999999999993" customHeight="1">
      <c r="L4" s="7">
        <f ca="1">EOMONTH($L$3,0)</f>
        <v>46326</v>
      </c>
    </row>
    <row r="5" spans="2:12" ht="21.95" customHeight="1">
      <c r="B5" s="9" t="s">
        <v>1</v>
      </c>
    </row>
    <row r="6" spans="2:12" ht="21.95" customHeight="1">
      <c r="B6" s="87" t="s">
        <v>2</v>
      </c>
      <c r="C6" s="123"/>
      <c r="D6" s="79" t="s">
        <v>3</v>
      </c>
      <c r="E6" s="124"/>
      <c r="G6" s="86" t="s">
        <v>4</v>
      </c>
      <c r="H6" s="125"/>
      <c r="I6" s="83" t="s">
        <v>5</v>
      </c>
      <c r="J6" s="126"/>
    </row>
    <row r="7" spans="2:12" ht="44.1" customHeight="1">
      <c r="B7" s="91">
        <f>COUNTA('Release Calendar'!B5:B504)</f>
        <v>37</v>
      </c>
      <c r="C7" s="127"/>
      <c r="D7" s="85">
        <f>SUMPRODUCT(('Release Calendar'!B5:B504&lt;&gt;"")*('Release Calendar'!M5:M504&lt;&gt;"Completed"))</f>
        <v>6</v>
      </c>
      <c r="E7" s="127"/>
      <c r="G7" s="82">
        <f>COUNTIF('Release Calendar'!M5:M504,"Completed")</f>
        <v>31</v>
      </c>
      <c r="H7" s="127"/>
      <c r="I7" s="84">
        <f ca="1">SUMPRODUCT(('Release Calendar'!B5:B504&lt;&gt;"")*('Release Calendar'!J5:J504&lt;&gt;"")*('Release Calendar'!J5:J504&gt;=TODAY())*('Release Calendar'!J5:J504&lt;=TODAY()+3)*('Release Calendar'!M5:M504&lt;&gt;"Completed"))</f>
        <v>0</v>
      </c>
      <c r="J7" s="127"/>
    </row>
    <row r="8" spans="2:12" ht="6" customHeight="1"/>
    <row r="9" spans="2:12" ht="24" customHeight="1">
      <c r="B9" s="10" t="s">
        <v>6</v>
      </c>
      <c r="C9" s="88" t="str">
        <f>IF($B$7=0,"",REPT("█",ROUND($G$7/$B$7*48,0))&amp;REPT("░",48-ROUND($G$7/$B$7*48,0)))</f>
        <v>████████████████████████████████████████░░░░░░░░</v>
      </c>
      <c r="D9" s="122"/>
      <c r="E9" s="122"/>
      <c r="F9" s="122"/>
      <c r="G9" s="122"/>
      <c r="H9" s="122"/>
      <c r="I9" s="122"/>
      <c r="J9" s="11">
        <f>IF($B$7=0,0,$G$7/$B$7)</f>
        <v>0.83783783783783783</v>
      </c>
    </row>
    <row r="10" spans="2:12" ht="12" customHeight="1"/>
    <row r="11" spans="2:12" ht="21.95" customHeight="1">
      <c r="B11" s="77" t="s">
        <v>7</v>
      </c>
      <c r="C11" s="122"/>
      <c r="D11" s="122"/>
      <c r="E11" s="122"/>
      <c r="G11" s="77" t="s">
        <v>8</v>
      </c>
      <c r="H11" s="122"/>
      <c r="I11" s="122"/>
      <c r="J11" s="122"/>
    </row>
    <row r="12" spans="2:12" ht="20.100000000000001" customHeight="1">
      <c r="B12" s="49" t="s">
        <v>9</v>
      </c>
      <c r="C12" s="50">
        <f>COUNTIF('Release Calendar'!G5:G504,"DPI")</f>
        <v>0</v>
      </c>
      <c r="D12" s="51" t="str">
        <f>IF($B$7=0,"",REPT("█",ROUND(C12/$B$7*14,0)))</f>
        <v/>
      </c>
      <c r="E12" s="52">
        <f>IF($B$7=0,0,C12/$B$7)</f>
        <v>0</v>
      </c>
      <c r="G12" s="49" t="s">
        <v>10</v>
      </c>
      <c r="H12" s="50">
        <f>COUNTIF('Release Calendar'!H5:H504,"Scheduled")</f>
        <v>32</v>
      </c>
      <c r="I12" s="53" t="str">
        <f>IF($B$7=0,"",REPT("█",ROUND(H12/$B$7*14,0)))</f>
        <v>████████████</v>
      </c>
      <c r="J12" s="52">
        <f>IF($B$7=0,0,H12/$B$7)</f>
        <v>0.86486486486486491</v>
      </c>
    </row>
    <row r="13" spans="2:12" ht="20.100000000000001" customHeight="1">
      <c r="B13" s="49" t="s">
        <v>11</v>
      </c>
      <c r="C13" s="50">
        <f>COUNTIF('Release Calendar'!G5:G504,"APIs")</f>
        <v>2</v>
      </c>
      <c r="D13" s="51" t="str">
        <f>IF($B$7=0,"",REPT("█",ROUND(C13/$B$7*14,0)))</f>
        <v>█</v>
      </c>
      <c r="E13" s="52">
        <f>IF($B$7=0,0,C13/$B$7)</f>
        <v>5.4054054054054057E-2</v>
      </c>
      <c r="G13" s="49" t="s">
        <v>12</v>
      </c>
      <c r="H13" s="50">
        <f>COUNTIF('Release Calendar'!H5:H504,"Emergency")</f>
        <v>1</v>
      </c>
      <c r="I13" s="53" t="str">
        <f>IF($B$7=0,"",REPT("█",ROUND(H13/$B$7*14,0)))</f>
        <v/>
      </c>
      <c r="J13" s="52">
        <f>IF($B$7=0,0,H13/$B$7)</f>
        <v>2.7027027027027029E-2</v>
      </c>
    </row>
    <row r="14" spans="2:12" ht="20.100000000000001" customHeight="1">
      <c r="B14" s="49" t="s">
        <v>13</v>
      </c>
      <c r="C14" s="50">
        <f>COUNTIF('Release Calendar'!G5:G504,"GSM")</f>
        <v>25</v>
      </c>
      <c r="D14" s="51" t="str">
        <f>IF($B$7=0,"",REPT("█",ROUND(C14/$B$7*14,0)))</f>
        <v>█████████</v>
      </c>
      <c r="E14" s="52">
        <f>IF($B$7=0,0,C14/$B$7)</f>
        <v>0.67567567567567566</v>
      </c>
      <c r="G14" s="49" t="s">
        <v>14</v>
      </c>
      <c r="H14" s="50">
        <f>COUNTIF('Release Calendar'!H5:H504,"Hotfix")</f>
        <v>4</v>
      </c>
      <c r="I14" s="53" t="str">
        <f>IF($B$7=0,"",REPT("█",ROUND(H14/$B$7*14,0)))</f>
        <v>██</v>
      </c>
      <c r="J14" s="52">
        <f>IF($B$7=0,0,H14/$B$7)</f>
        <v>0.10810810810810811</v>
      </c>
    </row>
    <row r="15" spans="2:12" ht="20.100000000000001" customHeight="1">
      <c r="B15" s="49" t="s">
        <v>15</v>
      </c>
      <c r="C15" s="50">
        <f>COUNTIF('Release Calendar'!G5:G504,"DFS")</f>
        <v>9</v>
      </c>
      <c r="D15" s="51" t="str">
        <f>IF($B$7=0,"",REPT("█",ROUND(C15/$B$7*14,0)))</f>
        <v>███</v>
      </c>
      <c r="E15" s="52">
        <f>IF($B$7=0,0,C15/$B$7)</f>
        <v>0.24324324324324326</v>
      </c>
    </row>
    <row r="16" spans="2:12" ht="20.100000000000001" customHeight="1">
      <c r="B16" s="49" t="s">
        <v>16</v>
      </c>
      <c r="C16" s="50">
        <f>COUNTIF('Release Calendar'!G5:G504,"BI")</f>
        <v>0</v>
      </c>
      <c r="D16" s="51" t="str">
        <f>IF($B$7=0,"",REPT("█",ROUND(C16/$B$7*14,0)))</f>
        <v/>
      </c>
      <c r="E16" s="52">
        <f>IF($B$7=0,0,C16/$B$7)</f>
        <v>0</v>
      </c>
    </row>
    <row r="17" spans="2:10" ht="12" customHeight="1"/>
    <row r="18" spans="2:10" ht="21.95" customHeight="1">
      <c r="B18" s="77" t="s">
        <v>17</v>
      </c>
      <c r="C18" s="122"/>
      <c r="D18" s="122"/>
      <c r="E18" s="122"/>
      <c r="G18" s="77" t="s">
        <v>18</v>
      </c>
      <c r="H18" s="122"/>
      <c r="I18" s="122"/>
      <c r="J18" s="122"/>
    </row>
    <row r="19" spans="2:10" ht="20.100000000000001" customHeight="1">
      <c r="B19" s="54" t="s">
        <v>19</v>
      </c>
      <c r="C19" s="50">
        <f>COUNTIF('Release Calendar'!M5:M504,"On Track")</f>
        <v>0</v>
      </c>
      <c r="D19" s="55" t="str">
        <f>IF($B$7=0,"",REPT("█",ROUND(C19/$B$7*14,0)))</f>
        <v/>
      </c>
      <c r="E19" s="52">
        <f>IF($B$7=0,0,C19/$B$7)</f>
        <v>0</v>
      </c>
      <c r="G19" s="49" t="s">
        <v>20</v>
      </c>
      <c r="H19" s="50">
        <f>COUNTIF('Release Calendar'!K5:K504,"Development")</f>
        <v>0</v>
      </c>
      <c r="I19" s="56" t="str">
        <f>IF($B$7=0,"",REPT("█",ROUND(H19/$B$7*14,0)))</f>
        <v/>
      </c>
      <c r="J19" s="52">
        <f>IF($B$7=0,0,H19/$B$7)</f>
        <v>0</v>
      </c>
    </row>
    <row r="20" spans="2:10" ht="20.100000000000001" customHeight="1">
      <c r="B20" s="57" t="s">
        <v>21</v>
      </c>
      <c r="C20" s="50">
        <f>COUNTIF('Release Calendar'!M5:M504,"At Risk")</f>
        <v>0</v>
      </c>
      <c r="D20" s="58" t="str">
        <f>IF($B$7=0,"",REPT("█",ROUND(C20/$B$7*14,0)))</f>
        <v/>
      </c>
      <c r="E20" s="52">
        <f>IF($B$7=0,0,C20/$B$7)</f>
        <v>0</v>
      </c>
      <c r="G20" s="49" t="s">
        <v>22</v>
      </c>
      <c r="H20" s="50">
        <f>COUNTIF('Release Calendar'!K5:K504,"SIT")</f>
        <v>0</v>
      </c>
      <c r="I20" s="56" t="str">
        <f>IF($B$7=0,"",REPT("█",ROUND(H20/$B$7*14,0)))</f>
        <v/>
      </c>
      <c r="J20" s="52">
        <f>IF($B$7=0,0,H20/$B$7)</f>
        <v>0</v>
      </c>
    </row>
    <row r="21" spans="2:10" ht="20.100000000000001" customHeight="1">
      <c r="B21" s="59" t="s">
        <v>23</v>
      </c>
      <c r="C21" s="50">
        <f>COUNTIF('Release Calendar'!M5:M504,"Delayed")</f>
        <v>0</v>
      </c>
      <c r="D21" s="60" t="str">
        <f>IF($B$7=0,"",REPT("█",ROUND(C21/$B$7*14,0)))</f>
        <v/>
      </c>
      <c r="E21" s="52">
        <f>IF($B$7=0,0,C21/$B$7)</f>
        <v>0</v>
      </c>
      <c r="G21" s="49" t="s">
        <v>24</v>
      </c>
      <c r="H21" s="50">
        <f>COUNTIF('Release Calendar'!K5:K504,"UAT")</f>
        <v>1</v>
      </c>
      <c r="I21" s="56" t="str">
        <f>IF($B$7=0,"",REPT("█",ROUND(H21/$B$7*14,0)))</f>
        <v/>
      </c>
      <c r="J21" s="52">
        <f>IF($B$7=0,0,H21/$B$7)</f>
        <v>2.7027027027027029E-2</v>
      </c>
    </row>
    <row r="22" spans="2:10" ht="20.100000000000001" customHeight="1">
      <c r="B22" s="61" t="s">
        <v>25</v>
      </c>
      <c r="C22" s="50">
        <f>COUNTIF('Release Calendar'!M5:M504,"Completed")</f>
        <v>31</v>
      </c>
      <c r="D22" s="62" t="str">
        <f>IF($B$7=0,"",REPT("█",ROUND(C22/$B$7*14,0)))</f>
        <v>████████████</v>
      </c>
      <c r="E22" s="52">
        <f>IF($B$7=0,0,C22/$B$7)</f>
        <v>0.83783783783783783</v>
      </c>
      <c r="G22" s="49" t="s">
        <v>26</v>
      </c>
      <c r="H22" s="50">
        <f>COUNTIF('Release Calendar'!K5:K504,"CAB / RFC")</f>
        <v>0</v>
      </c>
      <c r="I22" s="56" t="str">
        <f>IF($B$7=0,"",REPT("█",ROUND(H22/$B$7*14,0)))</f>
        <v/>
      </c>
      <c r="J22" s="52">
        <f>IF($B$7=0,0,H22/$B$7)</f>
        <v>0</v>
      </c>
    </row>
    <row r="23" spans="2:10" ht="20.100000000000001" customHeight="1">
      <c r="B23" s="63" t="s">
        <v>27</v>
      </c>
      <c r="C23" s="50">
        <f>COUNTIF('Release Calendar'!M5:M504,"On Hold")</f>
        <v>2</v>
      </c>
      <c r="D23" s="64" t="str">
        <f>IF($B$7=0,"",REPT("█",ROUND(C23/$B$7*14,0)))</f>
        <v>█</v>
      </c>
      <c r="E23" s="52">
        <f>IF($B$7=0,0,C23/$B$7)</f>
        <v>5.4054054054054057E-2</v>
      </c>
      <c r="G23" s="49" t="s">
        <v>28</v>
      </c>
      <c r="H23" s="50">
        <f>COUNTIF('Release Calendar'!K5:K504,"Code Freeze")</f>
        <v>0</v>
      </c>
      <c r="I23" s="56" t="str">
        <f>IF($B$7=0,"",REPT("█",ROUND(H23/$B$7*14,0)))</f>
        <v/>
      </c>
      <c r="J23" s="52">
        <f>IF($B$7=0,0,H23/$B$7)</f>
        <v>0</v>
      </c>
    </row>
    <row r="24" spans="2:10" ht="20.100000000000001" customHeight="1">
      <c r="G24" s="49" t="s">
        <v>29</v>
      </c>
      <c r="H24" s="50">
        <f>COUNTIF('Release Calendar'!K5:K504,"Pre-Prod")</f>
        <v>5</v>
      </c>
      <c r="I24" s="56" t="str">
        <f>IF($B$7=0,"",REPT("█",ROUND(H24/$B$7*14,0)))</f>
        <v>██</v>
      </c>
      <c r="J24" s="52">
        <f>IF($B$7=0,0,H24/$B$7)</f>
        <v>0.13513513513513514</v>
      </c>
    </row>
    <row r="25" spans="2:10" ht="21.95" customHeight="1">
      <c r="B25" s="77" t="s">
        <v>30</v>
      </c>
      <c r="C25" s="122"/>
      <c r="D25" s="122"/>
      <c r="E25" s="122"/>
      <c r="G25" s="49" t="s">
        <v>31</v>
      </c>
      <c r="H25" s="50">
        <f>COUNTIF('Release Calendar'!K5:K504,"Production")</f>
        <v>28</v>
      </c>
      <c r="I25" s="56" t="str">
        <f>IF($B$7=0,"",REPT("█",ROUND(H25/$B$7*14,0)))</f>
        <v>███████████</v>
      </c>
      <c r="J25" s="52">
        <f>IF($B$7=0,0,H25/$B$7)</f>
        <v>0.7567567567567568</v>
      </c>
    </row>
    <row r="26" spans="2:10" ht="21.95" customHeight="1">
      <c r="B26" s="49" t="s">
        <v>32</v>
      </c>
      <c r="C26" s="80">
        <f>SUMPRODUCT(('Release Calendar'!Q5:Q504&lt;&gt;"")*(LEFT('Release Calendar'!Q5:Q504,9)="Conflict:"))</f>
        <v>0</v>
      </c>
      <c r="D26" s="127"/>
      <c r="E26" s="127"/>
      <c r="G26" s="49" t="s">
        <v>25</v>
      </c>
      <c r="H26" s="50">
        <f>COUNTIF('Release Calendar'!K5:K504,"Completed")</f>
        <v>3</v>
      </c>
      <c r="I26" s="56" t="str">
        <f>IF($B$7=0,"",REPT("█",ROUND(H26/$B$7*14,0)))</f>
        <v>█</v>
      </c>
      <c r="J26" s="52">
        <f>IF($B$7=0,0,H26/$B$7)</f>
        <v>8.1081081081081086E-2</v>
      </c>
    </row>
    <row r="27" spans="2:10" ht="21.95" customHeight="1">
      <c r="B27" s="49" t="s">
        <v>33</v>
      </c>
      <c r="C27" s="80">
        <f>COUNTA(Holidays!C5:C34)</f>
        <v>21</v>
      </c>
      <c r="D27" s="127"/>
      <c r="E27" s="127"/>
      <c r="G27" s="49" t="s">
        <v>27</v>
      </c>
      <c r="H27" s="50">
        <f>COUNTIF('Release Calendar'!K5:K504,"On Hold")</f>
        <v>0</v>
      </c>
      <c r="I27" s="56" t="str">
        <f>IF($B$7=0,"",REPT("█",ROUND(H27/$B$7*14,0)))</f>
        <v/>
      </c>
      <c r="J27" s="52">
        <f>IF($B$7=0,0,H27/$B$7)</f>
        <v>0</v>
      </c>
    </row>
    <row r="28" spans="2:10" ht="18" customHeight="1"/>
    <row r="29" spans="2:10" ht="32.1" customHeight="1">
      <c r="B29" s="78" t="str">
        <f ca="1">UPPER(TEXT($L$3,"mmmm yyyy"))&amp;"  —  MONTHLY VIEW"</f>
        <v>OCTOBER 2026  —  MONTHLY VIEW</v>
      </c>
      <c r="C29" s="122"/>
      <c r="D29" s="122"/>
      <c r="E29" s="122"/>
      <c r="F29" s="122"/>
      <c r="G29" s="122"/>
      <c r="H29" s="122"/>
      <c r="I29" s="122"/>
      <c r="J29" s="122"/>
    </row>
    <row r="30" spans="2:10" ht="18" customHeight="1">
      <c r="B30" s="90" t="s">
        <v>34</v>
      </c>
      <c r="C30" s="122"/>
      <c r="D30" s="122"/>
      <c r="E30" s="122"/>
      <c r="F30" s="122"/>
      <c r="G30" s="122"/>
      <c r="H30" s="122"/>
      <c r="I30" s="122"/>
      <c r="J30" s="122"/>
    </row>
    <row r="31" spans="2:10" ht="33.950000000000003" customHeight="1">
      <c r="B31" s="48" t="s">
        <v>35</v>
      </c>
      <c r="C31" s="41">
        <f ca="1">MONTH(TODAY())</f>
        <v>10</v>
      </c>
      <c r="D31" s="48" t="s">
        <v>36</v>
      </c>
      <c r="E31" s="41">
        <f ca="1">YEAR(TODAY())</f>
        <v>2026</v>
      </c>
      <c r="G31" s="81" t="str">
        <f ca="1">TEXT($L$3,"mmmm yyyy")</f>
        <v>October 2026</v>
      </c>
      <c r="H31" s="122"/>
      <c r="I31" s="122"/>
      <c r="J31" s="122"/>
    </row>
    <row r="32" spans="2:10" ht="21.95" customHeight="1">
      <c r="B32" s="87" t="s">
        <v>2</v>
      </c>
      <c r="C32" s="123"/>
      <c r="D32" s="79" t="s">
        <v>3</v>
      </c>
      <c r="E32" s="124"/>
      <c r="G32" s="86" t="s">
        <v>4</v>
      </c>
      <c r="H32" s="125"/>
      <c r="I32" s="83" t="s">
        <v>5</v>
      </c>
      <c r="J32" s="126"/>
    </row>
    <row r="33" spans="2:10" ht="44.1" customHeight="1">
      <c r="B33" s="91">
        <f ca="1">SUMPRODUCT(('Release Calendar'!J5:J504&lt;&gt;"")*('Release Calendar'!J5:J504&gt;=$L$3)*('Release Calendar'!J5:J504&lt;=$L$4))</f>
        <v>4</v>
      </c>
      <c r="C33" s="127"/>
      <c r="D33" s="85">
        <f ca="1">SUMPRODUCT(('Release Calendar'!J5:J504&lt;&gt;"")*('Release Calendar'!J5:J504&gt;=$L$3)*('Release Calendar'!J5:J504&lt;=$L$4)*('Release Calendar'!B5:B504&lt;&gt;"")*('Release Calendar'!M5:M504&lt;&gt;"Completed"))</f>
        <v>3</v>
      </c>
      <c r="E33" s="127"/>
      <c r="G33" s="82">
        <f ca="1">SUMPRODUCT(('Release Calendar'!J5:J504&lt;&gt;"")*('Release Calendar'!J5:J504&gt;=$L$3)*('Release Calendar'!J5:J504&lt;=$L$4)*('Release Calendar'!M5:M504="Completed"))</f>
        <v>1</v>
      </c>
      <c r="H33" s="127"/>
      <c r="I33" s="84">
        <f ca="1">SUMPRODUCT(('Release Calendar'!J5:J504&lt;&gt;"")*('Release Calendar'!J5:J504&gt;=$L$3)*('Release Calendar'!J5:J504&lt;=$L$4)*('Release Calendar'!J5:J504&gt;=TODAY())*('Release Calendar'!J5:J504&lt;=TODAY()+3)*('Release Calendar'!M5:M504&lt;&gt;"Completed"))</f>
        <v>0</v>
      </c>
      <c r="J33" s="127"/>
    </row>
    <row r="34" spans="2:10" ht="6" customHeight="1"/>
    <row r="35" spans="2:10" ht="24" customHeight="1">
      <c r="B35" s="10" t="s">
        <v>6</v>
      </c>
      <c r="C35" s="88" t="str">
        <f ca="1">IF($B$33=0,"",REPT("█",ROUND($G$33/$B$33*48,0))&amp;REPT("░",48-ROUND($G$33/$B$33*48,0)))</f>
        <v>████████████░░░░░░░░░░░░░░░░░░░░░░░░░░░░░░░░░░░░</v>
      </c>
      <c r="D35" s="122"/>
      <c r="E35" s="122"/>
      <c r="F35" s="122"/>
      <c r="G35" s="122"/>
      <c r="H35" s="122"/>
      <c r="I35" s="122"/>
      <c r="J35" s="11">
        <f ca="1">IF($B$33=0,0,$G$33/$B$33)</f>
        <v>0.25</v>
      </c>
    </row>
    <row r="36" spans="2:10" ht="12" customHeight="1"/>
    <row r="37" spans="2:10" ht="21.95" customHeight="1">
      <c r="B37" s="77" t="s">
        <v>7</v>
      </c>
      <c r="C37" s="122"/>
      <c r="D37" s="122"/>
      <c r="E37" s="122"/>
      <c r="G37" s="77" t="s">
        <v>8</v>
      </c>
      <c r="H37" s="122"/>
      <c r="I37" s="122"/>
      <c r="J37" s="122"/>
    </row>
    <row r="38" spans="2:10" ht="20.100000000000001" customHeight="1">
      <c r="B38" s="49" t="s">
        <v>9</v>
      </c>
      <c r="C38" s="50">
        <f ca="1">SUMPRODUCT(('Release Calendar'!J5:J504&lt;&gt;"")*('Release Calendar'!J5:J504&gt;=$L$3)*('Release Calendar'!J5:J504&lt;=$L$4)*('Release Calendar'!G5:G504="DPI"))</f>
        <v>0</v>
      </c>
      <c r="D38" s="51" t="str">
        <f ca="1">IF($B$33=0,"",REPT("█",ROUND(C38/$B$33*14,0)))</f>
        <v/>
      </c>
      <c r="E38" s="52">
        <f ca="1">IF($B$33=0,0,C38/$B$33)</f>
        <v>0</v>
      </c>
      <c r="G38" s="49" t="s">
        <v>10</v>
      </c>
      <c r="H38" s="50">
        <f ca="1">SUMPRODUCT(('Release Calendar'!J5:J504&lt;&gt;"")*('Release Calendar'!J5:J504&gt;=$L$3)*('Release Calendar'!J5:J504&lt;=$L$4)*('Release Calendar'!H5:H504="Scheduled"))</f>
        <v>3</v>
      </c>
      <c r="I38" s="53" t="str">
        <f ca="1">IF($B$33=0,"",REPT("█",ROUND(H38/$B$33*14,0)))</f>
        <v>███████████</v>
      </c>
      <c r="J38" s="52">
        <f ca="1">IF($B$33=0,0,H38/$B$33)</f>
        <v>0.75</v>
      </c>
    </row>
    <row r="39" spans="2:10" ht="20.100000000000001" customHeight="1">
      <c r="B39" s="49" t="s">
        <v>11</v>
      </c>
      <c r="C39" s="50">
        <f ca="1">SUMPRODUCT(('Release Calendar'!J5:J504&lt;&gt;"")*('Release Calendar'!J5:J504&gt;=$L$3)*('Release Calendar'!J5:J504&lt;=$L$4)*('Release Calendar'!G5:G504="APIs"))</f>
        <v>0</v>
      </c>
      <c r="D39" s="51" t="str">
        <f ca="1">IF($B$33=0,"",REPT("█",ROUND(C39/$B$33*14,0)))</f>
        <v/>
      </c>
      <c r="E39" s="52">
        <f ca="1">IF($B$33=0,0,C39/$B$33)</f>
        <v>0</v>
      </c>
      <c r="G39" s="49" t="s">
        <v>12</v>
      </c>
      <c r="H39" s="50">
        <f ca="1">SUMPRODUCT(('Release Calendar'!J5:J504&lt;&gt;"")*('Release Calendar'!J5:J504&gt;=$L$3)*('Release Calendar'!J5:J504&lt;=$L$4)*('Release Calendar'!H5:H504="Emergency"))</f>
        <v>0</v>
      </c>
      <c r="I39" s="53" t="str">
        <f ca="1">IF($B$33=0,"",REPT("█",ROUND(H39/$B$33*14,0)))</f>
        <v/>
      </c>
      <c r="J39" s="52">
        <f ca="1">IF($B$33=0,0,H39/$B$33)</f>
        <v>0</v>
      </c>
    </row>
    <row r="40" spans="2:10" ht="20.100000000000001" customHeight="1">
      <c r="B40" s="49" t="s">
        <v>13</v>
      </c>
      <c r="C40" s="50">
        <f ca="1">SUMPRODUCT(('Release Calendar'!J5:J504&lt;&gt;"")*('Release Calendar'!J5:J504&gt;=$L$3)*('Release Calendar'!J5:J504&lt;=$L$4)*('Release Calendar'!G5:G504="GSM"))</f>
        <v>2</v>
      </c>
      <c r="D40" s="51" t="str">
        <f ca="1">IF($B$33=0,"",REPT("█",ROUND(C40/$B$33*14,0)))</f>
        <v>███████</v>
      </c>
      <c r="E40" s="52">
        <f ca="1">IF($B$33=0,0,C40/$B$33)</f>
        <v>0.5</v>
      </c>
      <c r="G40" s="49" t="s">
        <v>14</v>
      </c>
      <c r="H40" s="50">
        <f ca="1">SUMPRODUCT(('Release Calendar'!J5:J504&lt;&gt;"")*('Release Calendar'!J5:J504&gt;=$L$3)*('Release Calendar'!J5:J504&lt;=$L$4)*('Release Calendar'!H5:H504="Hotfix"))</f>
        <v>1</v>
      </c>
      <c r="I40" s="53" t="str">
        <f ca="1">IF($B$33=0,"",REPT("█",ROUND(H40/$B$33*14,0)))</f>
        <v>████</v>
      </c>
      <c r="J40" s="52">
        <f ca="1">IF($B$33=0,0,H40/$B$33)</f>
        <v>0.25</v>
      </c>
    </row>
    <row r="41" spans="2:10" ht="20.100000000000001" customHeight="1">
      <c r="B41" s="49" t="s">
        <v>15</v>
      </c>
      <c r="C41" s="50">
        <f ca="1">SUMPRODUCT(('Release Calendar'!J5:J504&lt;&gt;"")*('Release Calendar'!J5:J504&gt;=$L$3)*('Release Calendar'!J5:J504&lt;=$L$4)*('Release Calendar'!G5:G504="DFS"))</f>
        <v>2</v>
      </c>
      <c r="D41" s="51" t="str">
        <f ca="1">IF($B$33=0,"",REPT("█",ROUND(C41/$B$33*14,0)))</f>
        <v>███████</v>
      </c>
      <c r="E41" s="52">
        <f ca="1">IF($B$33=0,0,C41/$B$33)</f>
        <v>0.5</v>
      </c>
    </row>
    <row r="42" spans="2:10" ht="20.100000000000001" customHeight="1">
      <c r="B42" s="49" t="s">
        <v>16</v>
      </c>
      <c r="C42" s="50">
        <f ca="1">SUMPRODUCT(('Release Calendar'!J5:J504&lt;&gt;"")*('Release Calendar'!J5:J504&gt;=$L$3)*('Release Calendar'!J5:J504&lt;=$L$4)*('Release Calendar'!G5:G504="BI"))</f>
        <v>0</v>
      </c>
      <c r="D42" s="51" t="str">
        <f ca="1">IF($B$33=0,"",REPT("█",ROUND(C42/$B$33*14,0)))</f>
        <v/>
      </c>
      <c r="E42" s="52">
        <f ca="1">IF($B$33=0,0,C42/$B$33)</f>
        <v>0</v>
      </c>
    </row>
    <row r="43" spans="2:10" ht="12" customHeight="1"/>
    <row r="44" spans="2:10" ht="21.95" customHeight="1">
      <c r="B44" s="77" t="s">
        <v>17</v>
      </c>
      <c r="C44" s="122"/>
      <c r="D44" s="122"/>
      <c r="E44" s="122"/>
      <c r="G44" s="77" t="s">
        <v>18</v>
      </c>
      <c r="H44" s="122"/>
      <c r="I44" s="122"/>
      <c r="J44" s="122"/>
    </row>
    <row r="45" spans="2:10" ht="20.100000000000001" customHeight="1">
      <c r="B45" s="54" t="s">
        <v>19</v>
      </c>
      <c r="C45" s="50">
        <f ca="1">SUMPRODUCT(('Release Calendar'!J5:J504&lt;&gt;"")*('Release Calendar'!J5:J504&gt;=$L$3)*('Release Calendar'!J5:J504&lt;=$L$4)*('Release Calendar'!M5:M504="On Track"))</f>
        <v>0</v>
      </c>
      <c r="D45" s="55" t="str">
        <f ca="1">IF($B$33=0,"",REPT("█",ROUND(C45/$B$33*14,0)))</f>
        <v/>
      </c>
      <c r="E45" s="52">
        <f ca="1">IF($B$33=0,0,C45/$B$33)</f>
        <v>0</v>
      </c>
      <c r="G45" s="49" t="s">
        <v>20</v>
      </c>
      <c r="H45" s="50">
        <f ca="1">SUMPRODUCT(('Release Calendar'!J5:J504&lt;&gt;"")*('Release Calendar'!J5:J504&gt;=$L$3)*('Release Calendar'!J5:J504&lt;=$L$4)*('Release Calendar'!K5:K504="Development"))</f>
        <v>0</v>
      </c>
      <c r="I45" s="56" t="str">
        <f ca="1">IF($B$33=0,"",REPT("█",ROUND(H45/$B$33*14,0)))</f>
        <v/>
      </c>
      <c r="J45" s="52">
        <f ca="1">IF($B$33=0,0,H45/$B$33)</f>
        <v>0</v>
      </c>
    </row>
    <row r="46" spans="2:10" ht="20.100000000000001" customHeight="1">
      <c r="B46" s="57" t="s">
        <v>21</v>
      </c>
      <c r="C46" s="50">
        <f ca="1">SUMPRODUCT(('Release Calendar'!J5:J504&lt;&gt;"")*('Release Calendar'!J5:J504&gt;=$L$3)*('Release Calendar'!J5:J504&lt;=$L$4)*('Release Calendar'!M5:M504="At Risk"))</f>
        <v>0</v>
      </c>
      <c r="D46" s="58" t="str">
        <f ca="1">IF($B$33=0,"",REPT("█",ROUND(C46/$B$33*14,0)))</f>
        <v/>
      </c>
      <c r="E46" s="52">
        <f ca="1">IF($B$33=0,0,C46/$B$33)</f>
        <v>0</v>
      </c>
      <c r="G46" s="49" t="s">
        <v>22</v>
      </c>
      <c r="H46" s="50">
        <f ca="1">SUMPRODUCT(('Release Calendar'!J5:J504&lt;&gt;"")*('Release Calendar'!J5:J504&gt;=$L$3)*('Release Calendar'!J5:J504&lt;=$L$4)*('Release Calendar'!K5:K504="SIT"))</f>
        <v>0</v>
      </c>
      <c r="I46" s="56" t="str">
        <f ca="1">IF($B$33=0,"",REPT("█",ROUND(H46/$B$33*14,0)))</f>
        <v/>
      </c>
      <c r="J46" s="52">
        <f ca="1">IF($B$33=0,0,H46/$B$33)</f>
        <v>0</v>
      </c>
    </row>
    <row r="47" spans="2:10" ht="20.100000000000001" customHeight="1">
      <c r="B47" s="59" t="s">
        <v>23</v>
      </c>
      <c r="C47" s="50">
        <f ca="1">SUMPRODUCT(('Release Calendar'!J5:J504&lt;&gt;"")*('Release Calendar'!J5:J504&gt;=$L$3)*('Release Calendar'!J5:J504&lt;=$L$4)*('Release Calendar'!M5:M504="Delayed"))</f>
        <v>0</v>
      </c>
      <c r="D47" s="60" t="str">
        <f ca="1">IF($B$33=0,"",REPT("█",ROUND(C47/$B$33*14,0)))</f>
        <v/>
      </c>
      <c r="E47" s="52">
        <f ca="1">IF($B$33=0,0,C47/$B$33)</f>
        <v>0</v>
      </c>
      <c r="G47" s="49" t="s">
        <v>24</v>
      </c>
      <c r="H47" s="50">
        <f ca="1">SUMPRODUCT(('Release Calendar'!J5:J504&lt;&gt;"")*('Release Calendar'!J5:J504&gt;=$L$3)*('Release Calendar'!J5:J504&lt;=$L$4)*('Release Calendar'!K5:K504="UAT"))</f>
        <v>0</v>
      </c>
      <c r="I47" s="56" t="str">
        <f ca="1">IF($B$33=0,"",REPT("█",ROUND(H47/$B$33*14,0)))</f>
        <v/>
      </c>
      <c r="J47" s="52">
        <f ca="1">IF($B$33=0,0,H47/$B$33)</f>
        <v>0</v>
      </c>
    </row>
    <row r="48" spans="2:10" ht="20.100000000000001" customHeight="1">
      <c r="B48" s="61" t="s">
        <v>25</v>
      </c>
      <c r="C48" s="50">
        <f ca="1">SUMPRODUCT(('Release Calendar'!J5:J504&lt;&gt;"")*('Release Calendar'!J5:J504&gt;=$L$3)*('Release Calendar'!J5:J504&lt;=$L$4)*('Release Calendar'!M5:M504="Completed"))</f>
        <v>1</v>
      </c>
      <c r="D48" s="62" t="str">
        <f ca="1">IF($B$33=0,"",REPT("█",ROUND(C48/$B$33*14,0)))</f>
        <v>████</v>
      </c>
      <c r="E48" s="52">
        <f ca="1">IF($B$33=0,0,C48/$B$33)</f>
        <v>0.25</v>
      </c>
      <c r="G48" s="49" t="s">
        <v>26</v>
      </c>
      <c r="H48" s="50">
        <f ca="1">SUMPRODUCT(('Release Calendar'!J5:J504&lt;&gt;"")*('Release Calendar'!J5:J504&gt;=$L$3)*('Release Calendar'!J5:J504&lt;=$L$4)*('Release Calendar'!K5:K504="CAB / RFC"))</f>
        <v>0</v>
      </c>
      <c r="I48" s="56" t="str">
        <f ca="1">IF($B$33=0,"",REPT("█",ROUND(H48/$B$33*14,0)))</f>
        <v/>
      </c>
      <c r="J48" s="52">
        <f ca="1">IF($B$33=0,0,H48/$B$33)</f>
        <v>0</v>
      </c>
    </row>
    <row r="49" spans="2:10" ht="20.100000000000001" customHeight="1">
      <c r="B49" s="63" t="s">
        <v>27</v>
      </c>
      <c r="C49" s="50">
        <f ca="1">SUMPRODUCT(('Release Calendar'!J5:J504&lt;&gt;"")*('Release Calendar'!J5:J504&gt;=$L$3)*('Release Calendar'!J5:J504&lt;=$L$4)*('Release Calendar'!M5:M504="On Hold"))</f>
        <v>0</v>
      </c>
      <c r="D49" s="64" t="str">
        <f ca="1">IF($B$33=0,"",REPT("█",ROUND(C49/$B$33*14,0)))</f>
        <v/>
      </c>
      <c r="E49" s="52">
        <f ca="1">IF($B$33=0,0,C49/$B$33)</f>
        <v>0</v>
      </c>
      <c r="G49" s="49" t="s">
        <v>28</v>
      </c>
      <c r="H49" s="50">
        <f ca="1">SUMPRODUCT(('Release Calendar'!J5:J504&lt;&gt;"")*('Release Calendar'!J5:J504&gt;=$L$3)*('Release Calendar'!J5:J504&lt;=$L$4)*('Release Calendar'!K5:K504="Code Freeze"))</f>
        <v>0</v>
      </c>
      <c r="I49" s="56" t="str">
        <f ca="1">IF($B$33=0,"",REPT("█",ROUND(H49/$B$33*14,0)))</f>
        <v/>
      </c>
      <c r="J49" s="52">
        <f ca="1">IF($B$33=0,0,H49/$B$33)</f>
        <v>0</v>
      </c>
    </row>
    <row r="50" spans="2:10" ht="20.100000000000001" customHeight="1">
      <c r="G50" s="49" t="s">
        <v>29</v>
      </c>
      <c r="H50" s="50">
        <f ca="1">SUMPRODUCT(('Release Calendar'!J5:J504&lt;&gt;"")*('Release Calendar'!J5:J504&gt;=$L$3)*('Release Calendar'!J5:J504&lt;=$L$4)*('Release Calendar'!K5:K504="Pre-Prod"))</f>
        <v>1</v>
      </c>
      <c r="I50" s="56" t="str">
        <f ca="1">IF($B$33=0,"",REPT("█",ROUND(H50/$B$33*14,0)))</f>
        <v>████</v>
      </c>
      <c r="J50" s="52">
        <f ca="1">IF($B$33=0,0,H50/$B$33)</f>
        <v>0.25</v>
      </c>
    </row>
    <row r="51" spans="2:10" ht="21.95" customHeight="1">
      <c r="B51" s="77" t="s">
        <v>30</v>
      </c>
      <c r="C51" s="122"/>
      <c r="D51" s="122"/>
      <c r="E51" s="122"/>
      <c r="G51" s="49" t="s">
        <v>31</v>
      </c>
      <c r="H51" s="50">
        <f ca="1">SUMPRODUCT(('Release Calendar'!J5:J504&lt;&gt;"")*('Release Calendar'!J5:J504&gt;=$L$3)*('Release Calendar'!J5:J504&lt;=$L$4)*('Release Calendar'!K5:K504="Production"))</f>
        <v>3</v>
      </c>
      <c r="I51" s="56" t="str">
        <f ca="1">IF($B$33=0,"",REPT("█",ROUND(H51/$B$33*14,0)))</f>
        <v>███████████</v>
      </c>
      <c r="J51" s="52">
        <f ca="1">IF($B$33=0,0,H51/$B$33)</f>
        <v>0.75</v>
      </c>
    </row>
    <row r="52" spans="2:10" ht="21.95" customHeight="1">
      <c r="B52" s="49" t="s">
        <v>32</v>
      </c>
      <c r="C52" s="80">
        <f ca="1">SUMPRODUCT(('Release Calendar'!J5:J504&lt;&gt;"")*('Release Calendar'!J5:J504&gt;=$L$3)*('Release Calendar'!J5:J504&lt;=$L$4)*('Release Calendar'!Q5:Q504&lt;&gt;"")*(LEFT('Release Calendar'!Q5:Q504,9)="Conflict:"))</f>
        <v>0</v>
      </c>
      <c r="D52" s="127"/>
      <c r="E52" s="127"/>
      <c r="G52" s="49" t="s">
        <v>25</v>
      </c>
      <c r="H52" s="50">
        <f ca="1">SUMPRODUCT(('Release Calendar'!J5:J504&lt;&gt;"")*('Release Calendar'!J5:J504&gt;=$L$3)*('Release Calendar'!J5:J504&lt;=$L$4)*('Release Calendar'!K5:K504="Completed"))</f>
        <v>0</v>
      </c>
      <c r="I52" s="56" t="str">
        <f ca="1">IF($B$33=0,"",REPT("█",ROUND(H52/$B$33*14,0)))</f>
        <v/>
      </c>
      <c r="J52" s="52">
        <f ca="1">IF($B$33=0,0,H52/$B$33)</f>
        <v>0</v>
      </c>
    </row>
    <row r="53" spans="2:10" ht="20.100000000000001" customHeight="1">
      <c r="G53" s="49" t="s">
        <v>27</v>
      </c>
      <c r="H53" s="50">
        <f ca="1">SUMPRODUCT(('Release Calendar'!J5:J504&lt;&gt;"")*('Release Calendar'!J5:J504&gt;=$L$3)*('Release Calendar'!J5:J504&lt;=$L$4)*('Release Calendar'!K5:K504="On Hold"))</f>
        <v>0</v>
      </c>
      <c r="I53" s="56" t="str">
        <f ca="1">IF($B$33=0,"",REPT("█",ROUND(H53/$B$33*14,0)))</f>
        <v/>
      </c>
      <c r="J53" s="52">
        <f ca="1">IF($B$33=0,0,H53/$B$33)</f>
        <v>0</v>
      </c>
    </row>
    <row r="54" spans="2:10" ht="18" customHeight="1"/>
    <row r="55" spans="2:10" ht="20.100000000000001" customHeight="1">
      <c r="B55" s="128" t="s">
        <v>37</v>
      </c>
      <c r="C55" s="129"/>
      <c r="D55" s="129"/>
      <c r="E55" s="129"/>
      <c r="F55" s="129"/>
      <c r="G55" s="129"/>
      <c r="H55" s="129"/>
      <c r="I55" s="129"/>
      <c r="J55" s="129"/>
    </row>
    <row r="56" spans="2:10" ht="18" customHeight="1">
      <c r="B56" s="76" t="s">
        <v>38</v>
      </c>
      <c r="C56" s="122"/>
      <c r="D56" s="122"/>
      <c r="E56" s="122"/>
      <c r="F56" s="122"/>
      <c r="G56" s="122"/>
      <c r="H56" s="122"/>
      <c r="I56" s="122"/>
      <c r="J56" s="122"/>
    </row>
    <row r="57" spans="2:10" ht="18" customHeight="1">
      <c r="B57" s="76" t="s">
        <v>39</v>
      </c>
      <c r="C57" s="122"/>
      <c r="D57" s="122"/>
      <c r="E57" s="122"/>
      <c r="F57" s="122"/>
      <c r="G57" s="122"/>
      <c r="H57" s="122"/>
      <c r="I57" s="122"/>
      <c r="J57" s="122"/>
    </row>
    <row r="58" spans="2:10" ht="18" customHeight="1">
      <c r="B58" s="76" t="s">
        <v>40</v>
      </c>
      <c r="C58" s="122"/>
      <c r="D58" s="122"/>
      <c r="E58" s="122"/>
      <c r="F58" s="122"/>
      <c r="G58" s="122"/>
      <c r="H58" s="122"/>
      <c r="I58" s="122"/>
      <c r="J58" s="122"/>
    </row>
    <row r="59" spans="2:10" ht="18" customHeight="1">
      <c r="B59" s="76" t="s">
        <v>41</v>
      </c>
      <c r="C59" s="122"/>
      <c r="D59" s="122"/>
      <c r="E59" s="122"/>
      <c r="F59" s="122"/>
      <c r="G59" s="122"/>
      <c r="H59" s="122"/>
      <c r="I59" s="122"/>
      <c r="J59" s="122"/>
    </row>
    <row r="60" spans="2:10" ht="18" customHeight="1">
      <c r="B60" s="76" t="s">
        <v>42</v>
      </c>
      <c r="C60" s="122"/>
      <c r="D60" s="122"/>
      <c r="E60" s="122"/>
      <c r="F60" s="122"/>
      <c r="G60" s="122"/>
      <c r="H60" s="122"/>
      <c r="I60" s="122"/>
      <c r="J60" s="122"/>
    </row>
  </sheetData>
  <mergeCells count="42">
    <mergeCell ref="B2:J2"/>
    <mergeCell ref="B3:J3"/>
    <mergeCell ref="G18:J18"/>
    <mergeCell ref="C9:I9"/>
    <mergeCell ref="B33:C33"/>
    <mergeCell ref="C26:E26"/>
    <mergeCell ref="G6:H6"/>
    <mergeCell ref="G11:J11"/>
    <mergeCell ref="B30:J30"/>
    <mergeCell ref="B18:E18"/>
    <mergeCell ref="D7:E7"/>
    <mergeCell ref="B11:E11"/>
    <mergeCell ref="B6:C6"/>
    <mergeCell ref="I6:J6"/>
    <mergeCell ref="B7:C7"/>
    <mergeCell ref="B58:J58"/>
    <mergeCell ref="B55:J55"/>
    <mergeCell ref="G33:H33"/>
    <mergeCell ref="C35:I35"/>
    <mergeCell ref="I33:J33"/>
    <mergeCell ref="G37:J37"/>
    <mergeCell ref="G32:H32"/>
    <mergeCell ref="B44:E44"/>
    <mergeCell ref="B56:J56"/>
    <mergeCell ref="B32:C32"/>
    <mergeCell ref="B37:E37"/>
    <mergeCell ref="B60:J60"/>
    <mergeCell ref="B57:J57"/>
    <mergeCell ref="B51:E51"/>
    <mergeCell ref="B29:J29"/>
    <mergeCell ref="D6:E6"/>
    <mergeCell ref="G44:J44"/>
    <mergeCell ref="C27:E27"/>
    <mergeCell ref="G31:J31"/>
    <mergeCell ref="G7:H7"/>
    <mergeCell ref="C52:E52"/>
    <mergeCell ref="I32:J32"/>
    <mergeCell ref="I7:J7"/>
    <mergeCell ref="B25:E25"/>
    <mergeCell ref="D32:E32"/>
    <mergeCell ref="B59:J59"/>
    <mergeCell ref="D33:E33"/>
  </mergeCells>
  <conditionalFormatting sqref="B26:E26">
    <cfRule type="expression" dxfId="91" priority="1">
      <formula>$C$26&gt;0</formula>
    </cfRule>
  </conditionalFormatting>
  <conditionalFormatting sqref="C26">
    <cfRule type="cellIs" dxfId="90" priority="2" operator="equal">
      <formula>0</formula>
    </cfRule>
  </conditionalFormatting>
  <conditionalFormatting sqref="B52:E52">
    <cfRule type="expression" dxfId="89" priority="3">
      <formula>$C$52&gt;0</formula>
    </cfRule>
  </conditionalFormatting>
  <conditionalFormatting sqref="C52">
    <cfRule type="cellIs" dxfId="88" priority="4" operator="equal">
      <formula>0</formula>
    </cfRule>
  </conditionalFormatting>
  <dataValidations count="2">
    <dataValidation type="whole" allowBlank="1" showInputMessage="1" showErrorMessage="1" errorTitle="Month" error="Enter a month number from 1 to 12." promptTitle="Month" prompt="Type 1-12 to view that month. Clear the cell to go back to the current month." sqref="C31" xr:uid="{00000000-0002-0000-0000-000000000000}">
      <formula1>1</formula1>
      <formula2>12</formula2>
    </dataValidation>
    <dataValidation type="whole" allowBlank="1" showInputMessage="1" showErrorMessage="1" errorTitle="Year" error="Enter a 4-digit year (2020-2035)." promptTitle="Year" prompt="Type a year to view. Clear the cell to go back to the current year." sqref="E31" xr:uid="{00000000-0002-0000-0000-000001000000}">
      <formula1>2020</formula1>
      <formula2>2035</formula2>
    </dataValidation>
  </dataValidations>
  <pageMargins left="0.75" right="0.75" top="1" bottom="1" header="0.5" footer="0.5"/>
  <pageSetup fitToHeight="0" orientation="portrait"/>
  <rowBreaks count="1" manualBreakCount="1">
    <brk id="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showGridLines="0" zoomScaleNormal="100" workbookViewId="0">
      <selection activeCell="C12" sqref="C12"/>
    </sheetView>
  </sheetViews>
  <sheetFormatPr defaultColWidth="8.7109375" defaultRowHeight="15"/>
  <cols>
    <col min="1" max="1" width="5" customWidth="1"/>
    <col min="2" max="2" width="30" customWidth="1"/>
    <col min="3" max="4" width="16" customWidth="1"/>
    <col min="5" max="5" width="40" customWidth="1"/>
    <col min="6" max="6" width="28" customWidth="1"/>
  </cols>
  <sheetData>
    <row r="1" spans="1:6" ht="33.75" customHeight="1">
      <c r="A1" s="93" t="s">
        <v>43</v>
      </c>
      <c r="B1" s="122"/>
      <c r="C1" s="122"/>
      <c r="D1" s="122"/>
      <c r="E1" s="122"/>
    </row>
    <row r="2" spans="1:6" ht="15" customHeight="1">
      <c r="A2" s="92" t="s">
        <v>44</v>
      </c>
      <c r="B2" s="122"/>
      <c r="C2" s="122"/>
      <c r="D2" s="122"/>
      <c r="E2" s="122"/>
    </row>
    <row r="3" spans="1:6" ht="27.75" customHeight="1">
      <c r="A3" s="94" t="s">
        <v>45</v>
      </c>
      <c r="B3" s="122"/>
      <c r="C3" s="122"/>
      <c r="D3" s="122"/>
      <c r="E3" s="122"/>
    </row>
    <row r="4" spans="1:6" ht="15" customHeight="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2" t="s">
        <v>51</v>
      </c>
    </row>
    <row r="5" spans="1:6" ht="15" customHeight="1">
      <c r="A5" s="3">
        <v>1</v>
      </c>
      <c r="B5" s="4" t="s">
        <v>52</v>
      </c>
      <c r="C5" s="5">
        <v>46058</v>
      </c>
      <c r="D5" s="5">
        <v>46058</v>
      </c>
      <c r="E5" s="4" t="s">
        <v>53</v>
      </c>
      <c r="F5" s="6" t="str">
        <f>IF(AND(B5="",C5="",D5="",E5=""),"",IF(AND(B5="",OR(C5&lt;&gt;"",D5&lt;&gt;"")),"Missing name",IF(AND(C5&lt;&gt;"",D5=""),"Missing end date",IF(AND(D5&lt;&gt;"",C5=""),"Missing start date",IF(AND(C5&lt;&gt;"",D5&lt;&gt;"",D5&lt;C5),"End before Start",IF(AND(C5&lt;&gt;"",D5&lt;&gt;"",D5-C5&gt;31),"Range too long (&gt;31d)","OK"))))))</f>
        <v>OK</v>
      </c>
    </row>
    <row r="6" spans="1:6" ht="15" customHeight="1">
      <c r="A6" s="3">
        <v>2</v>
      </c>
      <c r="B6" s="4" t="s">
        <v>54</v>
      </c>
      <c r="C6" s="5">
        <v>46101</v>
      </c>
      <c r="D6" s="5">
        <v>46102</v>
      </c>
      <c r="E6" s="4" t="s">
        <v>55</v>
      </c>
      <c r="F6" s="6" t="str">
        <f>IF(AND(B6="",C6="",D6="",E6=""),"",IF(AND(B6="",OR(C6&lt;&gt;"",D6&lt;&gt;"")),"Missing name",IF(AND(C6&lt;&gt;"",D6=""),"Missing end date",IF(AND(D6&lt;&gt;"",C6=""),"Missing start date",IF(AND(C6&lt;&gt;"",D6&lt;&gt;"",D6&lt;C6),"End before Start",IF(AND(C6&lt;&gt;"",D6&lt;&gt;"",D6-C6&gt;31),"Range too long (&gt;31d)","OK"))))))</f>
        <v>OK</v>
      </c>
    </row>
    <row r="7" spans="1:6" ht="15" customHeight="1">
      <c r="A7" s="3">
        <v>3</v>
      </c>
      <c r="B7" s="4" t="s">
        <v>56</v>
      </c>
      <c r="C7" s="5">
        <v>46104</v>
      </c>
      <c r="D7" s="5">
        <v>46104</v>
      </c>
      <c r="E7" s="4" t="s">
        <v>53</v>
      </c>
      <c r="F7" s="6" t="str">
        <f>IF(AND(B7="",C7="",D7="",E7=""),"",IF(AND(B7="",OR(C7&lt;&gt;"",D7&lt;&gt;"")),"Missing name",IF(AND(C7&lt;&gt;"",D7=""),"Missing end date",IF(AND(D7&lt;&gt;"",C7=""),"Missing start date",IF(AND(C7&lt;&gt;"",D7&lt;&gt;"",D7&lt;C7),"End before Start",IF(AND(C7&lt;&gt;"",D7&lt;&gt;"",D7-C7&gt;31),"Range too long (&gt;31d)","OK"))))))</f>
        <v>OK</v>
      </c>
    </row>
    <row r="8" spans="1:6" ht="15" customHeight="1">
      <c r="A8" s="3">
        <v>4</v>
      </c>
      <c r="B8" s="4" t="s">
        <v>57</v>
      </c>
      <c r="C8" s="5">
        <v>46143</v>
      </c>
      <c r="D8" s="5">
        <v>46143</v>
      </c>
      <c r="E8" s="4" t="s">
        <v>53</v>
      </c>
      <c r="F8" s="6" t="str">
        <f>IF(AND(B8="",C8="",D8="",E8=""),"",IF(AND(B8="",OR(C8&lt;&gt;"",D8&lt;&gt;"")),"Missing name",IF(AND(C8&lt;&gt;"",D8=""),"Missing end date",IF(AND(D8&lt;&gt;"",C8=""),"Missing start date",IF(AND(C8&lt;&gt;"",D8&lt;&gt;"",D8&lt;C8),"End before Start",IF(AND(C8&lt;&gt;"",D8&lt;&gt;"",D8-C8&gt;31),"Range too long (&gt;31d)","OK"))))))</f>
        <v>OK</v>
      </c>
    </row>
    <row r="9" spans="1:6" ht="15" customHeight="1">
      <c r="A9" s="3">
        <v>5</v>
      </c>
      <c r="B9" s="4" t="s">
        <v>58</v>
      </c>
      <c r="C9" s="5">
        <v>46169</v>
      </c>
      <c r="D9" s="5">
        <v>46171</v>
      </c>
      <c r="E9" s="4" t="s">
        <v>55</v>
      </c>
      <c r="F9" s="6" t="str">
        <f>IF(AND(B9="",C9="",D9="",E9=""),"",IF(AND(B9="",OR(C9&lt;&gt;"",D9&lt;&gt;"")),"Missing name",IF(AND(C9&lt;&gt;"",D9=""),"Missing end date",IF(AND(D9&lt;&gt;"",C9=""),"Missing start date",IF(AND(C9&lt;&gt;"",D9&lt;&gt;"",D9&lt;C9),"End before Start",IF(AND(C9&lt;&gt;"",D9&lt;&gt;"",D9-C9&gt;31),"Range too long (&gt;31d)","OK"))))))</f>
        <v>OK</v>
      </c>
    </row>
    <row r="10" spans="1:6" ht="15" customHeight="1">
      <c r="A10" s="3">
        <v>6</v>
      </c>
      <c r="B10" s="4" t="s">
        <v>59</v>
      </c>
      <c r="C10" s="5">
        <v>46197</v>
      </c>
      <c r="D10" s="5">
        <v>46198</v>
      </c>
      <c r="E10" s="4" t="s">
        <v>60</v>
      </c>
      <c r="F10" s="6" t="str">
        <f>IF(AND(B10="",C10="",D10="",E10=""),"",IF(AND(B10="",OR(C10&lt;&gt;"",D10&lt;&gt;"")),"Missing name",IF(AND(C10&lt;&gt;"",D10=""),"Missing end date",IF(AND(D10&lt;&gt;"",C10=""),"Missing start date",IF(AND(C10&lt;&gt;"",D10&lt;&gt;"",D10&lt;C10),"End before Start",IF(AND(C10&lt;&gt;"",D10&lt;&gt;"",D10-C10&gt;31),"Range too long (&gt;31d)","OK"))))))</f>
        <v>OK</v>
      </c>
    </row>
    <row r="11" spans="1:6" ht="15" customHeight="1">
      <c r="A11" s="3">
        <v>7</v>
      </c>
      <c r="B11" s="4" t="s">
        <v>61</v>
      </c>
      <c r="C11" s="5">
        <v>46248</v>
      </c>
      <c r="D11" s="5">
        <v>46248</v>
      </c>
      <c r="E11" s="4" t="s">
        <v>53</v>
      </c>
      <c r="F11" s="6" t="str">
        <f>IF(AND(B11="",C11="",D11="",E11=""),"",IF(AND(B11="",OR(C11&lt;&gt;"",D11&lt;&gt;"")),"Missing name",IF(AND(C11&lt;&gt;"",D11=""),"Missing end date",IF(AND(D11&lt;&gt;"",C11=""),"Missing start date",IF(AND(C11&lt;&gt;"",D11&lt;&gt;"",D11&lt;C11),"End before Start",IF(AND(C11&lt;&gt;"",D11&lt;&gt;"",D11-C11&gt;31),"Range too long (&gt;31d)","OK"))))))</f>
        <v>OK</v>
      </c>
    </row>
    <row r="12" spans="1:6" ht="15" customHeight="1">
      <c r="A12" s="3">
        <v>8</v>
      </c>
      <c r="B12" s="4" t="s">
        <v>62</v>
      </c>
      <c r="C12" s="5">
        <v>46259</v>
      </c>
      <c r="D12" s="5">
        <v>46259</v>
      </c>
      <c r="E12" s="4" t="s">
        <v>55</v>
      </c>
      <c r="F12" s="6" t="str">
        <f>IF(AND(B12="",C12="",D12="",E12=""),"",IF(AND(B12="",OR(C12&lt;&gt;"",D12&lt;&gt;"")),"Missing name",IF(AND(C12&lt;&gt;"",D12=""),"Missing end date",IF(AND(D12&lt;&gt;"",C12=""),"Missing start date",IF(AND(C12&lt;&gt;"",D12&lt;&gt;"",D12&lt;C12),"End before Start",IF(AND(C12&lt;&gt;"",D12&lt;&gt;"",D12-C12&gt;31),"Range too long (&gt;31d)","OK"))))))</f>
        <v>OK</v>
      </c>
    </row>
    <row r="13" spans="1:6" ht="15" customHeight="1">
      <c r="A13" s="3">
        <v>9</v>
      </c>
      <c r="B13" s="4" t="s">
        <v>63</v>
      </c>
      <c r="C13" s="5">
        <v>46335</v>
      </c>
      <c r="D13" s="5">
        <v>46335</v>
      </c>
      <c r="E13" s="4" t="s">
        <v>53</v>
      </c>
      <c r="F13" s="6" t="str">
        <f>IF(AND(B13="",C13="",D13="",E13=""),"",IF(AND(B13="",OR(C13&lt;&gt;"",D13&lt;&gt;"")),"Missing name",IF(AND(C13&lt;&gt;"",D13=""),"Missing end date",IF(AND(D13&lt;&gt;"",C13=""),"Missing start date",IF(AND(C13&lt;&gt;"",D13&lt;&gt;"",D13&lt;C13),"End before Start",IF(AND(C13&lt;&gt;"",D13&lt;&gt;"",D13-C13&gt;31),"Range too long (&gt;31d)","OK"))))))</f>
        <v>OK</v>
      </c>
    </row>
    <row r="14" spans="1:6" ht="15" customHeight="1">
      <c r="A14" s="3">
        <v>10</v>
      </c>
      <c r="B14" s="4" t="s">
        <v>64</v>
      </c>
      <c r="C14" s="5">
        <v>46381</v>
      </c>
      <c r="D14" s="5">
        <v>46381</v>
      </c>
      <c r="E14" s="4" t="s">
        <v>53</v>
      </c>
      <c r="F14" s="6" t="str">
        <f>IF(AND(B14="",C14="",D14="",E14=""),"",IF(AND(B14="",OR(C14&lt;&gt;"",D14&lt;&gt;"")),"Missing name",IF(AND(C14&lt;&gt;"",D14=""),"Missing end date",IF(AND(D14&lt;&gt;"",C14=""),"Missing start date",IF(AND(C14&lt;&gt;"",D14&lt;&gt;"",D14&lt;C14),"End before Start",IF(AND(C14&lt;&gt;"",D14&lt;&gt;"",D14-C14&gt;31),"Range too long (&gt;31d)","OK"))))))</f>
        <v>OK</v>
      </c>
    </row>
    <row r="15" spans="1:6" ht="15" customHeight="1">
      <c r="A15" s="3">
        <v>11</v>
      </c>
      <c r="B15" s="4" t="s">
        <v>52</v>
      </c>
      <c r="C15" s="5">
        <v>46423</v>
      </c>
      <c r="D15" s="5">
        <v>46423</v>
      </c>
      <c r="E15" s="4" t="s">
        <v>53</v>
      </c>
      <c r="F15" s="6" t="str">
        <f>IF(AND(B15="",C15="",D15="",E15=""),"",IF(AND(B15="",OR(C15&lt;&gt;"",D15&lt;&gt;"")),"Missing name",IF(AND(C15&lt;&gt;"",D15=""),"Missing end date",IF(AND(D15&lt;&gt;"",C15=""),"Missing start date",IF(AND(C15&lt;&gt;"",D15&lt;&gt;"",D15&lt;C15),"End before Start",IF(AND(C15&lt;&gt;"",D15&lt;&gt;"",D15-C15&gt;31),"Range too long (&gt;31d)","OK"))))))</f>
        <v>OK</v>
      </c>
    </row>
    <row r="16" spans="1:6" ht="15" customHeight="1">
      <c r="A16" s="3">
        <v>12</v>
      </c>
      <c r="B16" s="4" t="s">
        <v>54</v>
      </c>
      <c r="C16" s="5">
        <v>46456</v>
      </c>
      <c r="D16" s="5">
        <v>46458</v>
      </c>
      <c r="E16" s="4" t="s">
        <v>55</v>
      </c>
      <c r="F16" s="6" t="str">
        <f>IF(AND(B16="",C16="",D16="",E16=""),"",IF(AND(B16="",OR(C16&lt;&gt;"",D16&lt;&gt;"")),"Missing name",IF(AND(C16&lt;&gt;"",D16=""),"Missing end date",IF(AND(D16&lt;&gt;"",C16=""),"Missing start date",IF(AND(C16&lt;&gt;"",D16&lt;&gt;"",D16&lt;C16),"End before Start",IF(AND(C16&lt;&gt;"",D16&lt;&gt;"",D16-C16&gt;31),"Range too long (&gt;31d)","OK"))))))</f>
        <v>OK</v>
      </c>
    </row>
    <row r="17" spans="1:6" ht="15" customHeight="1">
      <c r="A17" s="3">
        <v>13</v>
      </c>
      <c r="B17" s="4" t="s">
        <v>56</v>
      </c>
      <c r="C17" s="5">
        <v>46469</v>
      </c>
      <c r="D17" s="5">
        <v>46469</v>
      </c>
      <c r="E17" s="4" t="s">
        <v>53</v>
      </c>
      <c r="F17" s="6" t="str">
        <f>IF(AND(B17="",C17="",D17="",E17=""),"",IF(AND(B17="",OR(C17&lt;&gt;"",D17&lt;&gt;"")),"Missing name",IF(AND(C17&lt;&gt;"",D17=""),"Missing end date",IF(AND(D17&lt;&gt;"",C17=""),"Missing start date",IF(AND(C17&lt;&gt;"",D17&lt;&gt;"",D17&lt;C17),"End before Start",IF(AND(C17&lt;&gt;"",D17&lt;&gt;"",D17-C17&gt;31),"Range too long (&gt;31d)","OK"))))))</f>
        <v>OK</v>
      </c>
    </row>
    <row r="18" spans="1:6" ht="15" customHeight="1">
      <c r="A18" s="3">
        <v>14</v>
      </c>
      <c r="B18" s="4" t="s">
        <v>57</v>
      </c>
      <c r="C18" s="5">
        <v>46508</v>
      </c>
      <c r="D18" s="5">
        <v>46508</v>
      </c>
      <c r="E18" s="4" t="s">
        <v>53</v>
      </c>
      <c r="F18" s="6" t="str">
        <f>IF(AND(B18="",C18="",D18="",E18=""),"",IF(AND(B18="",OR(C18&lt;&gt;"",D18&lt;&gt;"")),"Missing name",IF(AND(C18&lt;&gt;"",D18=""),"Missing end date",IF(AND(D18&lt;&gt;"",C18=""),"Missing start date",IF(AND(C18&lt;&gt;"",D18&lt;&gt;"",D18&lt;C18),"End before Start",IF(AND(C18&lt;&gt;"",D18&lt;&gt;"",D18-C18&gt;31),"Range too long (&gt;31d)","OK"))))))</f>
        <v>OK</v>
      </c>
    </row>
    <row r="19" spans="1:6" ht="15" customHeight="1">
      <c r="A19" s="3">
        <v>15</v>
      </c>
      <c r="B19" s="4" t="s">
        <v>58</v>
      </c>
      <c r="C19" s="5">
        <v>46524</v>
      </c>
      <c r="D19" s="5">
        <v>46525</v>
      </c>
      <c r="E19" s="4" t="s">
        <v>55</v>
      </c>
      <c r="F19" s="6" t="str">
        <f>IF(AND(B19="",C19="",D19="",E19=""),"",IF(AND(B19="",OR(C19&lt;&gt;"",D19&lt;&gt;"")),"Missing name",IF(AND(C19&lt;&gt;"",D19=""),"Missing end date",IF(AND(D19&lt;&gt;"",C19=""),"Missing start date",IF(AND(C19&lt;&gt;"",D19&lt;&gt;"",D19&lt;C19),"End before Start",IF(AND(C19&lt;&gt;"",D19&lt;&gt;"",D19-C19&gt;31),"Range too long (&gt;31d)","OK"))))))</f>
        <v>OK</v>
      </c>
    </row>
    <row r="20" spans="1:6" ht="15" customHeight="1">
      <c r="A20" s="3">
        <v>16</v>
      </c>
      <c r="B20" s="4" t="s">
        <v>65</v>
      </c>
      <c r="C20" s="5">
        <v>46535</v>
      </c>
      <c r="D20" s="5">
        <v>46535</v>
      </c>
      <c r="E20" s="4" t="s">
        <v>53</v>
      </c>
      <c r="F20" s="6" t="str">
        <f>IF(AND(B20="",C20="",D20="",E20=""),"",IF(AND(B20="",OR(C20&lt;&gt;"",D20&lt;&gt;"")),"Missing name",IF(AND(C20&lt;&gt;"",D20=""),"Missing end date",IF(AND(D20&lt;&gt;"",C20=""),"Missing start date",IF(AND(C20&lt;&gt;"",D20&lt;&gt;"",D20&lt;C20),"End before Start",IF(AND(C20&lt;&gt;"",D20&lt;&gt;"",D20-C20&gt;31),"Range too long (&gt;31d)","OK"))))))</f>
        <v>OK</v>
      </c>
    </row>
    <row r="21" spans="1:6" ht="15" customHeight="1">
      <c r="A21" s="3">
        <v>17</v>
      </c>
      <c r="B21" s="4" t="s">
        <v>59</v>
      </c>
      <c r="C21" s="5">
        <v>46552</v>
      </c>
      <c r="D21" s="5">
        <v>46553</v>
      </c>
      <c r="E21" s="4" t="s">
        <v>60</v>
      </c>
      <c r="F21" s="6" t="str">
        <f>IF(AND(B21="",C21="",D21="",E21=""),"",IF(AND(B21="",OR(C21&lt;&gt;"",D21&lt;&gt;"")),"Missing name",IF(AND(C21&lt;&gt;"",D21=""),"Missing end date",IF(AND(D21&lt;&gt;"",C21=""),"Missing start date",IF(AND(C21&lt;&gt;"",D21&lt;&gt;"",D21&lt;C21),"End before Start",IF(AND(C21&lt;&gt;"",D21&lt;&gt;"",D21-C21&gt;31),"Range too long (&gt;31d)","OK"))))))</f>
        <v>OK</v>
      </c>
    </row>
    <row r="22" spans="1:6" ht="15" customHeight="1">
      <c r="A22" s="3">
        <v>18</v>
      </c>
      <c r="B22" s="4" t="s">
        <v>61</v>
      </c>
      <c r="C22" s="5">
        <v>46613</v>
      </c>
      <c r="D22" s="5">
        <v>46613</v>
      </c>
      <c r="E22" s="4" t="s">
        <v>53</v>
      </c>
      <c r="F22" s="6" t="str">
        <f>IF(AND(B22="",C22="",D22="",E22=""),"",IF(AND(B22="",OR(C22&lt;&gt;"",D22&lt;&gt;"")),"Missing name",IF(AND(C22&lt;&gt;"",D22=""),"Missing end date",IF(AND(D22&lt;&gt;"",C22=""),"Missing start date",IF(AND(C22&lt;&gt;"",D22&lt;&gt;"",D22&lt;C22),"End before Start",IF(AND(C22&lt;&gt;"",D22&lt;&gt;"",D22-C22&gt;31),"Range too long (&gt;31d)","OK"))))))</f>
        <v>OK</v>
      </c>
    </row>
    <row r="23" spans="1:6" ht="15" customHeight="1">
      <c r="A23" s="3">
        <v>19</v>
      </c>
      <c r="B23" s="4" t="s">
        <v>62</v>
      </c>
      <c r="C23" s="5">
        <v>46614</v>
      </c>
      <c r="D23" s="5">
        <v>46614</v>
      </c>
      <c r="E23" s="4" t="s">
        <v>55</v>
      </c>
      <c r="F23" s="6" t="str">
        <f>IF(AND(B23="",C23="",D23="",E23=""),"",IF(AND(B23="",OR(C23&lt;&gt;"",D23&lt;&gt;"")),"Missing name",IF(AND(C23&lt;&gt;"",D23=""),"Missing end date",IF(AND(D23&lt;&gt;"",C23=""),"Missing start date",IF(AND(C23&lt;&gt;"",D23&lt;&gt;"",D23&lt;C23),"End before Start",IF(AND(C23&lt;&gt;"",D23&lt;&gt;"",D23-C23&gt;31),"Range too long (&gt;31d)","OK"))))))</f>
        <v>OK</v>
      </c>
    </row>
    <row r="24" spans="1:6" ht="15" customHeight="1">
      <c r="A24" s="3">
        <v>20</v>
      </c>
      <c r="B24" s="4" t="s">
        <v>63</v>
      </c>
      <c r="C24" s="5">
        <v>46700</v>
      </c>
      <c r="D24" s="5">
        <v>46700</v>
      </c>
      <c r="E24" s="4" t="s">
        <v>53</v>
      </c>
      <c r="F24" s="6" t="str">
        <f>IF(AND(B24="",C24="",D24="",E24=""),"",IF(AND(B24="",OR(C24&lt;&gt;"",D24&lt;&gt;"")),"Missing name",IF(AND(C24&lt;&gt;"",D24=""),"Missing end date",IF(AND(D24&lt;&gt;"",C24=""),"Missing start date",IF(AND(C24&lt;&gt;"",D24&lt;&gt;"",D24&lt;C24),"End before Start",IF(AND(C24&lt;&gt;"",D24&lt;&gt;"",D24-C24&gt;31),"Range too long (&gt;31d)","OK"))))))</f>
        <v>OK</v>
      </c>
    </row>
    <row r="25" spans="1:6" ht="15" customHeight="1">
      <c r="A25" s="3">
        <v>21</v>
      </c>
      <c r="B25" s="4" t="s">
        <v>64</v>
      </c>
      <c r="C25" s="5">
        <v>46746</v>
      </c>
      <c r="D25" s="5">
        <v>46746</v>
      </c>
      <c r="E25" s="4" t="s">
        <v>53</v>
      </c>
      <c r="F25" s="6" t="str">
        <f>IF(AND(B25="",C25="",D25="",E25=""),"",IF(AND(B25="",OR(C25&lt;&gt;"",D25&lt;&gt;"")),"Missing name",IF(AND(C25&lt;&gt;"",D25=""),"Missing end date",IF(AND(D25&lt;&gt;"",C25=""),"Missing start date",IF(AND(C25&lt;&gt;"",D25&lt;&gt;"",D25&lt;C25),"End before Start",IF(AND(C25&lt;&gt;"",D25&lt;&gt;"",D25-C25&gt;31),"Range too long (&gt;31d)","OK"))))))</f>
        <v>OK</v>
      </c>
    </row>
    <row r="26" spans="1:6" ht="15" customHeight="1">
      <c r="A26" s="3">
        <v>22</v>
      </c>
      <c r="B26" s="4"/>
      <c r="C26" s="5"/>
      <c r="D26" s="5"/>
      <c r="E26" s="4"/>
      <c r="F26" s="6" t="str">
        <f>IF(AND(B26="",C26="",D26="",E26=""),"",IF(AND(B26="",OR(C26&lt;&gt;"",D26&lt;&gt;"")),"Missing name",IF(AND(C26&lt;&gt;"",D26=""),"Missing end date",IF(AND(D26&lt;&gt;"",C26=""),"Missing start date",IF(AND(C26&lt;&gt;"",D26&lt;&gt;"",D26&lt;C26),"End before Start",IF(AND(C26&lt;&gt;"",D26&lt;&gt;"",D26-C26&gt;31),"Range too long (&gt;31d)","OK"))))))</f>
        <v/>
      </c>
    </row>
    <row r="27" spans="1:6" ht="15" customHeight="1">
      <c r="A27" s="3">
        <v>23</v>
      </c>
      <c r="B27" s="4"/>
      <c r="C27" s="5"/>
      <c r="D27" s="5"/>
      <c r="E27" s="4"/>
      <c r="F27" s="6" t="str">
        <f>IF(AND(B27="",C27="",D27="",E27=""),"",IF(AND(B27="",OR(C27&lt;&gt;"",D27&lt;&gt;"")),"Missing name",IF(AND(C27&lt;&gt;"",D27=""),"Missing end date",IF(AND(D27&lt;&gt;"",C27=""),"Missing start date",IF(AND(C27&lt;&gt;"",D27&lt;&gt;"",D27&lt;C27),"End before Start",IF(AND(C27&lt;&gt;"",D27&lt;&gt;"",D27-C27&gt;31),"Range too long (&gt;31d)","OK"))))))</f>
        <v/>
      </c>
    </row>
    <row r="28" spans="1:6" ht="15" customHeight="1">
      <c r="A28" s="3">
        <v>24</v>
      </c>
      <c r="B28" s="4"/>
      <c r="C28" s="5"/>
      <c r="D28" s="5"/>
      <c r="E28" s="4"/>
      <c r="F28" s="6" t="str">
        <f>IF(AND(B28="",C28="",D28="",E28=""),"",IF(AND(B28="",OR(C28&lt;&gt;"",D28&lt;&gt;"")),"Missing name",IF(AND(C28&lt;&gt;"",D28=""),"Missing end date",IF(AND(D28&lt;&gt;"",C28=""),"Missing start date",IF(AND(C28&lt;&gt;"",D28&lt;&gt;"",D28&lt;C28),"End before Start",IF(AND(C28&lt;&gt;"",D28&lt;&gt;"",D28-C28&gt;31),"Range too long (&gt;31d)","OK"))))))</f>
        <v/>
      </c>
    </row>
    <row r="29" spans="1:6" ht="15" customHeight="1">
      <c r="A29" s="3">
        <v>25</v>
      </c>
      <c r="B29" s="4"/>
      <c r="C29" s="5"/>
      <c r="D29" s="5"/>
      <c r="E29" s="4"/>
      <c r="F29" s="6" t="str">
        <f>IF(AND(B29="",C29="",D29="",E29=""),"",IF(AND(B29="",OR(C29&lt;&gt;"",D29&lt;&gt;"")),"Missing name",IF(AND(C29&lt;&gt;"",D29=""),"Missing end date",IF(AND(D29&lt;&gt;"",C29=""),"Missing start date",IF(AND(C29&lt;&gt;"",D29&lt;&gt;"",D29&lt;C29),"End before Start",IF(AND(C29&lt;&gt;"",D29&lt;&gt;"",D29-C29&gt;31),"Range too long (&gt;31d)","OK"))))))</f>
        <v/>
      </c>
    </row>
    <row r="30" spans="1:6" ht="15" customHeight="1">
      <c r="A30" s="3">
        <v>26</v>
      </c>
      <c r="B30" s="4"/>
      <c r="C30" s="5"/>
      <c r="D30" s="5"/>
      <c r="E30" s="4"/>
      <c r="F30" s="6" t="str">
        <f>IF(AND(B30="",C30="",D30="",E30=""),"",IF(AND(B30="",OR(C30&lt;&gt;"",D30&lt;&gt;"")),"Missing name",IF(AND(C30&lt;&gt;"",D30=""),"Missing end date",IF(AND(D30&lt;&gt;"",C30=""),"Missing start date",IF(AND(C30&lt;&gt;"",D30&lt;&gt;"",D30&lt;C30),"End before Start",IF(AND(C30&lt;&gt;"",D30&lt;&gt;"",D30-C30&gt;31),"Range too long (&gt;31d)","OK"))))))</f>
        <v/>
      </c>
    </row>
    <row r="31" spans="1:6" ht="15" customHeight="1">
      <c r="A31" s="3">
        <v>27</v>
      </c>
      <c r="B31" s="4"/>
      <c r="C31" s="5"/>
      <c r="D31" s="5"/>
      <c r="E31" s="4"/>
      <c r="F31" s="6" t="str">
        <f>IF(AND(B31="",C31="",D31="",E31=""),"",IF(AND(B31="",OR(C31&lt;&gt;"",D31&lt;&gt;"")),"Missing name",IF(AND(C31&lt;&gt;"",D31=""),"Missing end date",IF(AND(D31&lt;&gt;"",C31=""),"Missing start date",IF(AND(C31&lt;&gt;"",D31&lt;&gt;"",D31&lt;C31),"End before Start",IF(AND(C31&lt;&gt;"",D31&lt;&gt;"",D31-C31&gt;31),"Range too long (&gt;31d)","OK"))))))</f>
        <v/>
      </c>
    </row>
    <row r="32" spans="1:6" ht="15" customHeight="1">
      <c r="A32" s="3">
        <v>28</v>
      </c>
      <c r="B32" s="4"/>
      <c r="C32" s="5"/>
      <c r="D32" s="5"/>
      <c r="E32" s="4"/>
      <c r="F32" s="6" t="str">
        <f>IF(AND(B32="",C32="",D32="",E32=""),"",IF(AND(B32="",OR(C32&lt;&gt;"",D32&lt;&gt;"")),"Missing name",IF(AND(C32&lt;&gt;"",D32=""),"Missing end date",IF(AND(D32&lt;&gt;"",C32=""),"Missing start date",IF(AND(C32&lt;&gt;"",D32&lt;&gt;"",D32&lt;C32),"End before Start",IF(AND(C32&lt;&gt;"",D32&lt;&gt;"",D32-C32&gt;31),"Range too long (&gt;31d)","OK"))))))</f>
        <v/>
      </c>
    </row>
    <row r="33" spans="1:6" ht="15" customHeight="1">
      <c r="A33" s="3">
        <v>29</v>
      </c>
      <c r="B33" s="4"/>
      <c r="C33" s="5"/>
      <c r="D33" s="5"/>
      <c r="E33" s="4"/>
      <c r="F33" s="6" t="str">
        <f>IF(AND(B33="",C33="",D33="",E33=""),"",IF(AND(B33="",OR(C33&lt;&gt;"",D33&lt;&gt;"")),"Missing name",IF(AND(C33&lt;&gt;"",D33=""),"Missing end date",IF(AND(D33&lt;&gt;"",C33=""),"Missing start date",IF(AND(C33&lt;&gt;"",D33&lt;&gt;"",D33&lt;C33),"End before Start",IF(AND(C33&lt;&gt;"",D33&lt;&gt;"",D33-C33&gt;31),"Range too long (&gt;31d)","OK"))))))</f>
        <v/>
      </c>
    </row>
    <row r="34" spans="1:6" ht="15" customHeight="1">
      <c r="A34" s="3">
        <v>30</v>
      </c>
      <c r="B34" s="4"/>
      <c r="C34" s="5"/>
      <c r="D34" s="5"/>
      <c r="E34" s="4"/>
      <c r="F34" s="6" t="str">
        <f>IF(AND(B34="",C34="",D34="",E34=""),"",IF(AND(B34="",OR(C34&lt;&gt;"",D34&lt;&gt;"")),"Missing name",IF(AND(C34&lt;&gt;"",D34=""),"Missing end date",IF(AND(D34&lt;&gt;"",C34=""),"Missing start date",IF(AND(C34&lt;&gt;"",D34&lt;&gt;"",D34&lt;C34),"End before Start",IF(AND(C34&lt;&gt;"",D34&lt;&gt;"",D34-C34&gt;31),"Range too long (&gt;31d)","OK"))))))</f>
        <v/>
      </c>
    </row>
  </sheetData>
  <sheetProtection password="B04E" sheet="1"/>
  <mergeCells count="3">
    <mergeCell ref="A2:E2"/>
    <mergeCell ref="A1:E1"/>
    <mergeCell ref="A3:E3"/>
  </mergeCells>
  <conditionalFormatting sqref="F5:F34">
    <cfRule type="expression" dxfId="87" priority="2">
      <formula>AND(F5&lt;&gt;"",F5&lt;&gt;"OK")</formula>
    </cfRule>
    <cfRule type="expression" dxfId="86" priority="3">
      <formula>F5="OK"</formula>
    </cfRule>
  </conditionalFormatting>
  <dataValidations count="4">
    <dataValidation type="textLength" operator="lessThanOrEqual" allowBlank="1" showErrorMessage="1" errorTitle="Too long" error="Keep holiday name under 100 characters." sqref="B5:B34" xr:uid="{00000000-0002-0000-0100-000000000000}">
      <formula1>100</formula1>
      <formula2>0</formula2>
    </dataValidation>
    <dataValidation type="date" allowBlank="1" showErrorMessage="1" errorTitle="Invalid start date" error="Start Date must be between 2026-01-01 and 2030-12-31 (yyyy-mm-dd)." sqref="C5:C34" xr:uid="{00000000-0002-0000-0100-000001000000}">
      <formula1>DATE(2026,1,1)</formula1>
      <formula2>DATE(2030,12,31)</formula2>
    </dataValidation>
    <dataValidation type="custom" allowBlank="1" showErrorMessage="1" errorTitle="Invalid end date" error="End Date must be a valid date between 2026-01-01 and 2030-12-31, on or after Start Date, and no more than 31 days after Start Date." sqref="D5:D34" xr:uid="{00000000-0002-0000-0100-000002000000}">
      <formula1>OR(D5="",AND(ISNUMBER(D5),D5&gt;=DATE(2026,1,1),D5&lt;=DATE(2030,12,31),OR(C5="",D5&gt;=C5),OR(C5="",D5-C5&lt;=31)))</formula1>
      <formula2>0</formula2>
    </dataValidation>
    <dataValidation type="textLength" operator="lessThanOrEqual" allowBlank="1" showErrorMessage="1" errorTitle="Too long" error="Keep notes under 200 characters." sqref="E5:E34" xr:uid="{00000000-0002-0000-0100-000003000000}">
      <formula1>200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C94C"/>
  </sheetPr>
  <dimension ref="A1:Q504"/>
  <sheetViews>
    <sheetView showGridLines="0" zoomScale="78" zoomScaleNormal="100" workbookViewId="0">
      <pane xSplit="4" ySplit="4" topLeftCell="N5" activePane="bottomRight" state="frozen"/>
      <selection pane="bottomRight" activeCell="L18" sqref="L18"/>
      <selection pane="bottomLeft"/>
      <selection pane="topRight"/>
    </sheetView>
  </sheetViews>
  <sheetFormatPr defaultColWidth="8.7109375" defaultRowHeight="15"/>
  <cols>
    <col min="1" max="1" width="5" customWidth="1"/>
    <col min="2" max="2" width="40" customWidth="1"/>
    <col min="3" max="4" width="15" customWidth="1"/>
    <col min="5" max="5" width="20" customWidth="1"/>
    <col min="6" max="7" width="11" customWidth="1"/>
    <col min="8" max="8" width="14" customWidth="1"/>
    <col min="9" max="10" width="12" customWidth="1"/>
    <col min="11" max="11" width="13" customWidth="1"/>
    <col min="12" max="12" width="16" customWidth="1"/>
    <col min="13" max="13" width="13" customWidth="1"/>
    <col min="14" max="14" width="30" customWidth="1"/>
    <col min="15" max="15" width="28" customWidth="1"/>
    <col min="16" max="16" width="40" customWidth="1"/>
    <col min="17" max="17" width="26" customWidth="1"/>
  </cols>
  <sheetData>
    <row r="1" spans="1:17" ht="36" customHeight="1">
      <c r="A1" s="97" t="s">
        <v>66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spans="1:17" ht="20.100000000000001" customHeight="1">
      <c r="A2" s="96" t="s">
        <v>67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pans="1:17" ht="24" customHeight="1">
      <c r="A3" s="95" t="s">
        <v>68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1:17" ht="33.950000000000003" customHeight="1">
      <c r="A4" s="12" t="s">
        <v>46</v>
      </c>
      <c r="B4" s="12" t="s">
        <v>69</v>
      </c>
      <c r="C4" s="12" t="s">
        <v>70</v>
      </c>
      <c r="D4" s="12" t="s">
        <v>71</v>
      </c>
      <c r="E4" s="12" t="s">
        <v>72</v>
      </c>
      <c r="F4" s="12" t="s">
        <v>73</v>
      </c>
      <c r="G4" s="12" t="s">
        <v>74</v>
      </c>
      <c r="H4" s="12" t="s">
        <v>75</v>
      </c>
      <c r="I4" s="12" t="s">
        <v>48</v>
      </c>
      <c r="J4" s="12" t="s">
        <v>76</v>
      </c>
      <c r="K4" s="12" t="s">
        <v>77</v>
      </c>
      <c r="L4" s="12" t="s">
        <v>78</v>
      </c>
      <c r="M4" s="12" t="s">
        <v>79</v>
      </c>
      <c r="N4" s="12" t="s">
        <v>80</v>
      </c>
      <c r="O4" s="12" t="s">
        <v>81</v>
      </c>
      <c r="P4" s="12" t="s">
        <v>82</v>
      </c>
      <c r="Q4" s="13" t="s">
        <v>83</v>
      </c>
    </row>
    <row r="5" spans="1:17" ht="24" customHeight="1">
      <c r="A5" s="14">
        <v>1</v>
      </c>
      <c r="B5" s="15" t="s">
        <v>84</v>
      </c>
      <c r="C5" s="16"/>
      <c r="D5" s="16"/>
      <c r="E5" s="17" t="s">
        <v>85</v>
      </c>
      <c r="F5" s="18" t="s">
        <v>86</v>
      </c>
      <c r="G5" s="18" t="s">
        <v>13</v>
      </c>
      <c r="H5" s="18" t="s">
        <v>10</v>
      </c>
      <c r="I5" s="19">
        <v>46238</v>
      </c>
      <c r="J5" s="19">
        <v>46246</v>
      </c>
      <c r="K5" s="18" t="s">
        <v>31</v>
      </c>
      <c r="L5" s="18" t="s">
        <v>87</v>
      </c>
      <c r="M5" s="18" t="s">
        <v>25</v>
      </c>
      <c r="N5" s="17"/>
      <c r="O5" s="17" t="s">
        <v>88</v>
      </c>
      <c r="P5" s="17"/>
      <c r="Q5" s="20" t="str">
        <f>IF(OR(B5="",J5=""),"",IF(SUMPRODUCT((J5&gt;=HolidayStart)*(J5&lt;=HolidayEnd)*(HolidayStart&lt;&gt;""))&gt;0,"Conflict: "&amp;INDEX(HolidayName,SUMPRODUCT((J5&gt;=HolidayStart)*(J5&lt;=HolidayEnd)*(HolidayStart&lt;&gt;"")*ROW(HolidayStart))-ROW(INDEX(HolidayStart,1,1))+1),""))</f>
        <v/>
      </c>
    </row>
    <row r="6" spans="1:17" ht="24" customHeight="1">
      <c r="A6" s="21">
        <v>2</v>
      </c>
      <c r="B6" s="22" t="s">
        <v>89</v>
      </c>
      <c r="C6" s="23"/>
      <c r="D6" s="23"/>
      <c r="E6" s="24" t="s">
        <v>90</v>
      </c>
      <c r="F6" s="25" t="s">
        <v>91</v>
      </c>
      <c r="G6" s="25" t="s">
        <v>11</v>
      </c>
      <c r="H6" s="25" t="s">
        <v>10</v>
      </c>
      <c r="I6" s="26">
        <v>46244</v>
      </c>
      <c r="J6" s="26">
        <v>46246</v>
      </c>
      <c r="K6" s="25" t="s">
        <v>31</v>
      </c>
      <c r="L6" s="25" t="s">
        <v>92</v>
      </c>
      <c r="M6" s="25" t="s">
        <v>25</v>
      </c>
      <c r="N6" s="24"/>
      <c r="O6" s="24" t="s">
        <v>93</v>
      </c>
      <c r="P6" s="24"/>
      <c r="Q6" s="27" t="str">
        <f>IF(OR(B6="",J6=""),"",IF(SUMPRODUCT((J6&gt;=HolidayStart)*(J6&lt;=HolidayEnd)*(HolidayStart&lt;&gt;""))&gt;0,"Conflict: "&amp;INDEX(HolidayName,SUMPRODUCT((J6&gt;=HolidayStart)*(J6&lt;=HolidayEnd)*(HolidayStart&lt;&gt;"")*ROW(HolidayStart))-ROW(INDEX(HolidayStart,1,1))+1),""))</f>
        <v/>
      </c>
    </row>
    <row r="7" spans="1:17" ht="24" customHeight="1">
      <c r="A7" s="14">
        <v>3</v>
      </c>
      <c r="B7" s="15" t="s">
        <v>94</v>
      </c>
      <c r="C7" s="16"/>
      <c r="D7" s="16"/>
      <c r="E7" s="17" t="s">
        <v>95</v>
      </c>
      <c r="F7" s="18" t="s">
        <v>91</v>
      </c>
      <c r="G7" s="18" t="s">
        <v>13</v>
      </c>
      <c r="H7" s="18" t="s">
        <v>10</v>
      </c>
      <c r="I7" s="19">
        <v>46237</v>
      </c>
      <c r="J7" s="19">
        <v>46252</v>
      </c>
      <c r="K7" s="18" t="s">
        <v>31</v>
      </c>
      <c r="L7" s="18" t="s">
        <v>92</v>
      </c>
      <c r="M7" s="18" t="s">
        <v>25</v>
      </c>
      <c r="N7" s="17"/>
      <c r="O7" s="17" t="s">
        <v>96</v>
      </c>
      <c r="P7" s="17"/>
      <c r="Q7" s="20" t="str">
        <f>IF(OR(B7="",J7=""),"",IF(SUMPRODUCT((J7&gt;=HolidayStart)*(J7&lt;=HolidayEnd)*(HolidayStart&lt;&gt;""))&gt;0,"Conflict: "&amp;INDEX(HolidayName,SUMPRODUCT((J7&gt;=HolidayStart)*(J7&lt;=HolidayEnd)*(HolidayStart&lt;&gt;"")*ROW(HolidayStart))-ROW(INDEX(HolidayStart,1,1))+1),""))</f>
        <v/>
      </c>
    </row>
    <row r="8" spans="1:17" ht="24" customHeight="1">
      <c r="A8" s="21">
        <v>4</v>
      </c>
      <c r="B8" s="22" t="s">
        <v>97</v>
      </c>
      <c r="C8" s="23"/>
      <c r="D8" s="23"/>
      <c r="E8" s="24" t="s">
        <v>98</v>
      </c>
      <c r="F8" s="25" t="s">
        <v>91</v>
      </c>
      <c r="G8" s="25" t="s">
        <v>13</v>
      </c>
      <c r="H8" s="25" t="s">
        <v>10</v>
      </c>
      <c r="I8" s="26">
        <v>46251</v>
      </c>
      <c r="J8" s="26">
        <v>46253</v>
      </c>
      <c r="K8" s="25" t="s">
        <v>31</v>
      </c>
      <c r="L8" s="25" t="s">
        <v>99</v>
      </c>
      <c r="M8" s="25" t="s">
        <v>25</v>
      </c>
      <c r="N8" s="24"/>
      <c r="O8" s="24" t="s">
        <v>96</v>
      </c>
      <c r="P8" s="24"/>
      <c r="Q8" s="27" t="str">
        <f>IF(OR(B8="",J8=""),"",IF(SUMPRODUCT((J8&gt;=HolidayStart)*(J8&lt;=HolidayEnd)*(HolidayStart&lt;&gt;""))&gt;0,"Conflict: "&amp;INDEX(HolidayName,SUMPRODUCT((J8&gt;=HolidayStart)*(J8&lt;=HolidayEnd)*(HolidayStart&lt;&gt;"")*ROW(HolidayStart))-ROW(INDEX(HolidayStart,1,1))+1),""))</f>
        <v/>
      </c>
    </row>
    <row r="9" spans="1:17" ht="24" customHeight="1">
      <c r="A9" s="14">
        <v>5</v>
      </c>
      <c r="B9" s="15" t="s">
        <v>100</v>
      </c>
      <c r="C9" s="16"/>
      <c r="D9" s="16"/>
      <c r="E9" s="17" t="s">
        <v>101</v>
      </c>
      <c r="F9" s="18" t="s">
        <v>91</v>
      </c>
      <c r="G9" s="18" t="s">
        <v>13</v>
      </c>
      <c r="H9" s="18" t="s">
        <v>14</v>
      </c>
      <c r="I9" s="19">
        <v>46251</v>
      </c>
      <c r="J9" s="19">
        <v>46251</v>
      </c>
      <c r="K9" s="18" t="s">
        <v>31</v>
      </c>
      <c r="L9" s="18" t="s">
        <v>92</v>
      </c>
      <c r="M9" s="18" t="s">
        <v>25</v>
      </c>
      <c r="N9" s="17"/>
      <c r="O9" s="17" t="s">
        <v>102</v>
      </c>
      <c r="P9" s="17"/>
      <c r="Q9" s="20" t="str">
        <f>IF(OR(B9="",J9=""),"",IF(SUMPRODUCT((J9&gt;=HolidayStart)*(J9&lt;=HolidayEnd)*(HolidayStart&lt;&gt;""))&gt;0,"Conflict: "&amp;INDEX(HolidayName,SUMPRODUCT((J9&gt;=HolidayStart)*(J9&lt;=HolidayEnd)*(HolidayStart&lt;&gt;"")*ROW(HolidayStart))-ROW(INDEX(HolidayStart,1,1))+1),""))</f>
        <v/>
      </c>
    </row>
    <row r="10" spans="1:17" ht="24" customHeight="1">
      <c r="A10" s="21">
        <v>6</v>
      </c>
      <c r="B10" s="22" t="s">
        <v>103</v>
      </c>
      <c r="C10" s="23"/>
      <c r="D10" s="23"/>
      <c r="E10" s="24" t="s">
        <v>85</v>
      </c>
      <c r="F10" s="25" t="s">
        <v>104</v>
      </c>
      <c r="G10" s="25" t="s">
        <v>13</v>
      </c>
      <c r="H10" s="25" t="s">
        <v>10</v>
      </c>
      <c r="I10" s="26">
        <v>46246</v>
      </c>
      <c r="J10" s="26">
        <v>46253</v>
      </c>
      <c r="K10" s="25" t="s">
        <v>31</v>
      </c>
      <c r="L10" s="25" t="s">
        <v>92</v>
      </c>
      <c r="M10" s="25" t="s">
        <v>25</v>
      </c>
      <c r="N10" s="24"/>
      <c r="O10" s="24" t="s">
        <v>96</v>
      </c>
      <c r="P10" s="24"/>
      <c r="Q10" s="27" t="str">
        <f>IF(OR(B10="",J10=""),"",IF(SUMPRODUCT((J10&gt;=HolidayStart)*(J10&lt;=HolidayEnd)*(HolidayStart&lt;&gt;""))&gt;0,"Conflict: "&amp;INDEX(HolidayName,SUMPRODUCT((J10&gt;=HolidayStart)*(J10&lt;=HolidayEnd)*(HolidayStart&lt;&gt;"")*ROW(HolidayStart))-ROW(INDEX(HolidayStart,1,1))+1),""))</f>
        <v/>
      </c>
    </row>
    <row r="11" spans="1:17" ht="24" customHeight="1">
      <c r="A11" s="14">
        <v>7</v>
      </c>
      <c r="B11" s="15" t="s">
        <v>105</v>
      </c>
      <c r="C11" s="16"/>
      <c r="D11" s="16"/>
      <c r="E11" s="17" t="s">
        <v>106</v>
      </c>
      <c r="F11" s="18" t="s">
        <v>91</v>
      </c>
      <c r="G11" s="18" t="s">
        <v>13</v>
      </c>
      <c r="H11" s="18" t="s">
        <v>10</v>
      </c>
      <c r="I11" s="19">
        <v>46252</v>
      </c>
      <c r="J11" s="19">
        <v>46253</v>
      </c>
      <c r="K11" s="18" t="s">
        <v>31</v>
      </c>
      <c r="L11" s="18" t="s">
        <v>87</v>
      </c>
      <c r="M11" s="18" t="s">
        <v>25</v>
      </c>
      <c r="N11" s="17"/>
      <c r="O11" s="17" t="s">
        <v>96</v>
      </c>
      <c r="P11" s="17"/>
      <c r="Q11" s="20" t="str">
        <f>IF(OR(B11="",J11=""),"",IF(SUMPRODUCT((J11&gt;=HolidayStart)*(J11&lt;=HolidayEnd)*(HolidayStart&lt;&gt;""))&gt;0,"Conflict: "&amp;INDEX(HolidayName,SUMPRODUCT((J11&gt;=HolidayStart)*(J11&lt;=HolidayEnd)*(HolidayStart&lt;&gt;"")*ROW(HolidayStart))-ROW(INDEX(HolidayStart,1,1))+1),""))</f>
        <v/>
      </c>
    </row>
    <row r="12" spans="1:17" ht="24" customHeight="1">
      <c r="A12" s="21">
        <v>8</v>
      </c>
      <c r="B12" s="22" t="s">
        <v>107</v>
      </c>
      <c r="C12" s="23"/>
      <c r="D12" s="23"/>
      <c r="E12" s="24" t="s">
        <v>108</v>
      </c>
      <c r="F12" s="25" t="s">
        <v>109</v>
      </c>
      <c r="G12" s="25" t="s">
        <v>15</v>
      </c>
      <c r="H12" s="25" t="s">
        <v>10</v>
      </c>
      <c r="I12" s="26">
        <v>46267</v>
      </c>
      <c r="J12" s="26">
        <v>46267</v>
      </c>
      <c r="K12" s="25" t="s">
        <v>31</v>
      </c>
      <c r="L12" s="25" t="s">
        <v>87</v>
      </c>
      <c r="M12" s="25" t="s">
        <v>25</v>
      </c>
      <c r="N12" s="24"/>
      <c r="O12" s="24" t="s">
        <v>96</v>
      </c>
      <c r="P12" s="24"/>
      <c r="Q12" s="27" t="str">
        <f>IF(OR(B12="",J12=""),"",IF(SUMPRODUCT((J12&gt;=HolidayStart)*(J12&lt;=HolidayEnd)*(HolidayStart&lt;&gt;""))&gt;0,"Conflict: "&amp;INDEX(HolidayName,SUMPRODUCT((J12&gt;=HolidayStart)*(J12&lt;=HolidayEnd)*(HolidayStart&lt;&gt;"")*ROW(HolidayStart))-ROW(INDEX(HolidayStart,1,1))+1),""))</f>
        <v/>
      </c>
    </row>
    <row r="13" spans="1:17" ht="24" customHeight="1">
      <c r="A13" s="14">
        <v>9</v>
      </c>
      <c r="B13" s="15" t="s">
        <v>110</v>
      </c>
      <c r="C13" s="16"/>
      <c r="D13" s="16"/>
      <c r="E13" s="17" t="s">
        <v>111</v>
      </c>
      <c r="F13" s="18" t="s">
        <v>91</v>
      </c>
      <c r="G13" s="18" t="s">
        <v>15</v>
      </c>
      <c r="H13" s="18" t="s">
        <v>12</v>
      </c>
      <c r="I13" s="19">
        <v>46266</v>
      </c>
      <c r="J13" s="19">
        <v>46269</v>
      </c>
      <c r="K13" s="18" t="s">
        <v>31</v>
      </c>
      <c r="L13" s="18" t="s">
        <v>112</v>
      </c>
      <c r="M13" s="18" t="s">
        <v>25</v>
      </c>
      <c r="N13" s="17"/>
      <c r="O13" s="17" t="s">
        <v>96</v>
      </c>
      <c r="P13" s="17"/>
      <c r="Q13" s="20" t="str">
        <f>IF(OR(B13="",J13=""),"",IF(SUMPRODUCT((J13&gt;=HolidayStart)*(J13&lt;=HolidayEnd)*(HolidayStart&lt;&gt;""))&gt;0,"Conflict: "&amp;INDEX(HolidayName,SUMPRODUCT((J13&gt;=HolidayStart)*(J13&lt;=HolidayEnd)*(HolidayStart&lt;&gt;"")*ROW(HolidayStart))-ROW(INDEX(HolidayStart,1,1))+1),""))</f>
        <v/>
      </c>
    </row>
    <row r="14" spans="1:17" ht="24" customHeight="1">
      <c r="A14" s="21">
        <v>10</v>
      </c>
      <c r="B14" s="22" t="s">
        <v>113</v>
      </c>
      <c r="C14" s="23"/>
      <c r="D14" s="23"/>
      <c r="E14" s="24" t="s">
        <v>108</v>
      </c>
      <c r="F14" s="25" t="s">
        <v>114</v>
      </c>
      <c r="G14" s="25" t="s">
        <v>15</v>
      </c>
      <c r="H14" s="25" t="s">
        <v>10</v>
      </c>
      <c r="I14" s="26">
        <v>46274</v>
      </c>
      <c r="J14" s="26">
        <v>46274</v>
      </c>
      <c r="K14" s="25" t="s">
        <v>25</v>
      </c>
      <c r="L14" s="25" t="s">
        <v>112</v>
      </c>
      <c r="M14" s="25" t="s">
        <v>25</v>
      </c>
      <c r="N14" s="24"/>
      <c r="O14" s="24" t="s">
        <v>96</v>
      </c>
      <c r="P14" s="24"/>
      <c r="Q14" s="27" t="str">
        <f>IF(OR(B14="",J14=""),"",IF(SUMPRODUCT((J14&gt;=HolidayStart)*(J14&lt;=HolidayEnd)*(HolidayStart&lt;&gt;""))&gt;0,"Conflict: "&amp;INDEX(HolidayName,SUMPRODUCT((J14&gt;=HolidayStart)*(J14&lt;=HolidayEnd)*(HolidayStart&lt;&gt;"")*ROW(HolidayStart))-ROW(INDEX(HolidayStart,1,1))+1),""))</f>
        <v/>
      </c>
    </row>
    <row r="15" spans="1:17" ht="24" customHeight="1">
      <c r="A15" s="14">
        <v>11</v>
      </c>
      <c r="B15" s="15" t="s">
        <v>115</v>
      </c>
      <c r="C15" s="16"/>
      <c r="D15" s="16"/>
      <c r="E15" s="17" t="s">
        <v>116</v>
      </c>
      <c r="F15" s="18" t="s">
        <v>86</v>
      </c>
      <c r="G15" s="18" t="s">
        <v>13</v>
      </c>
      <c r="H15" s="18" t="s">
        <v>10</v>
      </c>
      <c r="I15" s="19">
        <v>46274</v>
      </c>
      <c r="J15" s="19">
        <v>46274</v>
      </c>
      <c r="K15" s="18" t="s">
        <v>31</v>
      </c>
      <c r="L15" s="18" t="s">
        <v>112</v>
      </c>
      <c r="M15" s="18" t="s">
        <v>25</v>
      </c>
      <c r="N15" s="17"/>
      <c r="O15" s="17" t="s">
        <v>96</v>
      </c>
      <c r="P15" s="17"/>
      <c r="Q15" s="20" t="str">
        <f>IF(OR(B15="",J15=""),"",IF(SUMPRODUCT((J15&gt;=HolidayStart)*(J15&lt;=HolidayEnd)*(HolidayStart&lt;&gt;""))&gt;0,"Conflict: "&amp;INDEX(HolidayName,SUMPRODUCT((J15&gt;=HolidayStart)*(J15&lt;=HolidayEnd)*(HolidayStart&lt;&gt;"")*ROW(HolidayStart))-ROW(INDEX(HolidayStart,1,1))+1),""))</f>
        <v/>
      </c>
    </row>
    <row r="16" spans="1:17" ht="24" customHeight="1">
      <c r="A16" s="21">
        <v>12</v>
      </c>
      <c r="B16" s="22" t="s">
        <v>117</v>
      </c>
      <c r="C16" s="23"/>
      <c r="D16" s="23"/>
      <c r="E16" s="24" t="s">
        <v>98</v>
      </c>
      <c r="F16" s="25" t="s">
        <v>91</v>
      </c>
      <c r="G16" s="25" t="s">
        <v>11</v>
      </c>
      <c r="H16" s="25" t="s">
        <v>10</v>
      </c>
      <c r="I16" s="26">
        <v>46265</v>
      </c>
      <c r="J16" s="26">
        <v>46265</v>
      </c>
      <c r="K16" s="25" t="s">
        <v>25</v>
      </c>
      <c r="L16" s="25" t="s">
        <v>87</v>
      </c>
      <c r="M16" s="25" t="s">
        <v>25</v>
      </c>
      <c r="N16" s="24"/>
      <c r="O16" s="24" t="s">
        <v>96</v>
      </c>
      <c r="P16" s="24"/>
      <c r="Q16" s="27" t="str">
        <f>IF(OR(B16="",J16=""),"",IF(SUMPRODUCT((J16&gt;=HolidayStart)*(J16&lt;=HolidayEnd)*(HolidayStart&lt;&gt;""))&gt;0,"Conflict: "&amp;INDEX(HolidayName,SUMPRODUCT((J16&gt;=HolidayStart)*(J16&lt;=HolidayEnd)*(HolidayStart&lt;&gt;"")*ROW(HolidayStart))-ROW(INDEX(HolidayStart,1,1))+1),""))</f>
        <v/>
      </c>
    </row>
    <row r="17" spans="1:17" ht="24" customHeight="1">
      <c r="A17" s="14">
        <v>13</v>
      </c>
      <c r="B17" s="15" t="s">
        <v>118</v>
      </c>
      <c r="C17" s="16"/>
      <c r="D17" s="16"/>
      <c r="E17" s="17" t="s">
        <v>111</v>
      </c>
      <c r="F17" s="18" t="s">
        <v>91</v>
      </c>
      <c r="G17" s="18" t="s">
        <v>15</v>
      </c>
      <c r="H17" s="18" t="s">
        <v>10</v>
      </c>
      <c r="I17" s="19">
        <v>46272</v>
      </c>
      <c r="J17" s="19">
        <v>46275</v>
      </c>
      <c r="K17" s="18" t="s">
        <v>25</v>
      </c>
      <c r="L17" s="18" t="s">
        <v>92</v>
      </c>
      <c r="M17" s="18" t="s">
        <v>25</v>
      </c>
      <c r="N17" s="17"/>
      <c r="O17" s="17" t="s">
        <v>119</v>
      </c>
      <c r="P17" s="17"/>
      <c r="Q17" s="20" t="str">
        <f>IF(OR(B17="",J17=""),"",IF(SUMPRODUCT((J17&gt;=HolidayStart)*(J17&lt;=HolidayEnd)*(HolidayStart&lt;&gt;""))&gt;0,"Conflict: "&amp;INDEX(HolidayName,SUMPRODUCT((J17&gt;=HolidayStart)*(J17&lt;=HolidayEnd)*(HolidayStart&lt;&gt;"")*ROW(HolidayStart))-ROW(INDEX(HolidayStart,1,1))+1),""))</f>
        <v/>
      </c>
    </row>
    <row r="18" spans="1:17" ht="24" customHeight="1">
      <c r="A18" s="21">
        <v>14</v>
      </c>
      <c r="B18" s="22" t="s">
        <v>120</v>
      </c>
      <c r="C18" s="23"/>
      <c r="D18" s="23"/>
      <c r="E18" s="24" t="s">
        <v>106</v>
      </c>
      <c r="F18" s="25" t="s">
        <v>91</v>
      </c>
      <c r="G18" s="25" t="s">
        <v>13</v>
      </c>
      <c r="H18" s="25" t="s">
        <v>10</v>
      </c>
      <c r="I18" s="26">
        <v>46273</v>
      </c>
      <c r="J18" s="26">
        <v>46274</v>
      </c>
      <c r="K18" s="25" t="s">
        <v>31</v>
      </c>
      <c r="L18" s="25" t="s">
        <v>92</v>
      </c>
      <c r="M18" s="25" t="s">
        <v>25</v>
      </c>
      <c r="N18" s="24"/>
      <c r="O18" s="24" t="s">
        <v>96</v>
      </c>
      <c r="P18" s="24"/>
      <c r="Q18" s="27" t="str">
        <f>IF(OR(B18="",J18=""),"",IF(SUMPRODUCT((J18&gt;=HolidayStart)*(J18&lt;=HolidayEnd)*(HolidayStart&lt;&gt;""))&gt;0,"Conflict: "&amp;INDEX(HolidayName,SUMPRODUCT((J18&gt;=HolidayStart)*(J18&lt;=HolidayEnd)*(HolidayStart&lt;&gt;"")*ROW(HolidayStart))-ROW(INDEX(HolidayStart,1,1))+1),""))</f>
        <v/>
      </c>
    </row>
    <row r="19" spans="1:17" ht="24" customHeight="1">
      <c r="A19" s="14">
        <v>15</v>
      </c>
      <c r="B19" s="15" t="s">
        <v>121</v>
      </c>
      <c r="C19" s="16"/>
      <c r="D19" s="16"/>
      <c r="E19" s="17" t="s">
        <v>122</v>
      </c>
      <c r="F19" s="18" t="s">
        <v>86</v>
      </c>
      <c r="G19" s="18" t="s">
        <v>13</v>
      </c>
      <c r="H19" s="18" t="s">
        <v>14</v>
      </c>
      <c r="I19" s="19">
        <v>46243</v>
      </c>
      <c r="J19" s="19">
        <v>46243</v>
      </c>
      <c r="K19" s="18" t="s">
        <v>31</v>
      </c>
      <c r="L19" s="18" t="s">
        <v>92</v>
      </c>
      <c r="M19" s="18" t="s">
        <v>25</v>
      </c>
      <c r="N19" s="17"/>
      <c r="O19" s="17"/>
      <c r="P19" s="17"/>
      <c r="Q19" s="20" t="str">
        <f>IF(OR(B19="",J19=""),"",IF(SUMPRODUCT((J19&gt;=HolidayStart)*(J19&lt;=HolidayEnd)*(HolidayStart&lt;&gt;""))&gt;0,"Conflict: "&amp;INDEX(HolidayName,SUMPRODUCT((J19&gt;=HolidayStart)*(J19&lt;=HolidayEnd)*(HolidayStart&lt;&gt;"")*ROW(HolidayStart))-ROW(INDEX(HolidayStart,1,1))+1),""))</f>
        <v/>
      </c>
    </row>
    <row r="20" spans="1:17" ht="24" customHeight="1">
      <c r="A20" s="21">
        <v>16</v>
      </c>
      <c r="B20" s="22" t="s">
        <v>123</v>
      </c>
      <c r="C20" s="23"/>
      <c r="D20" s="23"/>
      <c r="E20" s="24" t="s">
        <v>124</v>
      </c>
      <c r="F20" s="25" t="s">
        <v>86</v>
      </c>
      <c r="G20" s="25" t="s">
        <v>13</v>
      </c>
      <c r="H20" s="25" t="s">
        <v>10</v>
      </c>
      <c r="I20" s="26">
        <v>46273</v>
      </c>
      <c r="J20" s="26">
        <v>46274</v>
      </c>
      <c r="K20" s="25" t="s">
        <v>31</v>
      </c>
      <c r="L20" s="25" t="s">
        <v>92</v>
      </c>
      <c r="M20" s="25" t="s">
        <v>25</v>
      </c>
      <c r="N20" s="24"/>
      <c r="O20" s="24" t="s">
        <v>96</v>
      </c>
      <c r="P20" s="24"/>
      <c r="Q20" s="27" t="str">
        <f>IF(OR(B20="",J20=""),"",IF(SUMPRODUCT((J20&gt;=HolidayStart)*(J20&lt;=HolidayEnd)*(HolidayStart&lt;&gt;""))&gt;0,"Conflict: "&amp;INDEX(HolidayName,SUMPRODUCT((J20&gt;=HolidayStart)*(J20&lt;=HolidayEnd)*(HolidayStart&lt;&gt;"")*ROW(HolidayStart))-ROW(INDEX(HolidayStart,1,1))+1),""))</f>
        <v/>
      </c>
    </row>
    <row r="21" spans="1:17" ht="24" customHeight="1">
      <c r="A21" s="14">
        <v>17</v>
      </c>
      <c r="B21" s="15" t="s">
        <v>125</v>
      </c>
      <c r="C21" s="16"/>
      <c r="D21" s="16"/>
      <c r="E21" s="17" t="s">
        <v>126</v>
      </c>
      <c r="F21" s="18" t="s">
        <v>127</v>
      </c>
      <c r="G21" s="18" t="s">
        <v>15</v>
      </c>
      <c r="H21" s="18" t="s">
        <v>10</v>
      </c>
      <c r="I21" s="19">
        <v>46281</v>
      </c>
      <c r="J21" s="19">
        <v>46281</v>
      </c>
      <c r="K21" s="18" t="s">
        <v>31</v>
      </c>
      <c r="L21" s="18" t="s">
        <v>92</v>
      </c>
      <c r="M21" s="18" t="s">
        <v>25</v>
      </c>
      <c r="N21" s="17"/>
      <c r="O21" s="17"/>
      <c r="P21" s="17"/>
      <c r="Q21" s="20" t="str">
        <f>IF(OR(B21="",J21=""),"",IF(SUMPRODUCT((J21&gt;=HolidayStart)*(J21&lt;=HolidayEnd)*(HolidayStart&lt;&gt;""))&gt;0,"Conflict: "&amp;INDEX(HolidayName,SUMPRODUCT((J21&gt;=HolidayStart)*(J21&lt;=HolidayEnd)*(HolidayStart&lt;&gt;"")*ROW(HolidayStart))-ROW(INDEX(HolidayStart,1,1))+1),""))</f>
        <v/>
      </c>
    </row>
    <row r="22" spans="1:17" ht="24" customHeight="1">
      <c r="A22" s="21">
        <v>18</v>
      </c>
      <c r="B22" s="22" t="s">
        <v>128</v>
      </c>
      <c r="C22" s="23"/>
      <c r="D22" s="23"/>
      <c r="E22" s="24" t="s">
        <v>101</v>
      </c>
      <c r="F22" s="25" t="s">
        <v>86</v>
      </c>
      <c r="G22" s="25" t="s">
        <v>13</v>
      </c>
      <c r="H22" s="25" t="s">
        <v>10</v>
      </c>
      <c r="I22" s="26">
        <v>46281</v>
      </c>
      <c r="J22" s="26">
        <v>46281</v>
      </c>
      <c r="K22" s="25" t="s">
        <v>31</v>
      </c>
      <c r="L22" s="25" t="s">
        <v>92</v>
      </c>
      <c r="M22" s="25" t="s">
        <v>25</v>
      </c>
      <c r="N22" s="24"/>
      <c r="O22" s="24"/>
      <c r="P22" s="24" t="s">
        <v>129</v>
      </c>
      <c r="Q22" s="27" t="str">
        <f>IF(OR(B22="",J22=""),"",IF(SUMPRODUCT((J22&gt;=HolidayStart)*(J22&lt;=HolidayEnd)*(HolidayStart&lt;&gt;""))&gt;0,"Conflict: "&amp;INDEX(HolidayName,SUMPRODUCT((J22&gt;=HolidayStart)*(J22&lt;=HolidayEnd)*(HolidayStart&lt;&gt;"")*ROW(HolidayStart))-ROW(INDEX(HolidayStart,1,1))+1),""))</f>
        <v/>
      </c>
    </row>
    <row r="23" spans="1:17" ht="24" customHeight="1">
      <c r="A23" s="14">
        <v>19</v>
      </c>
      <c r="B23" s="15" t="s">
        <v>130</v>
      </c>
      <c r="C23" s="16"/>
      <c r="D23" s="16"/>
      <c r="E23" s="17" t="s">
        <v>131</v>
      </c>
      <c r="F23" s="18" t="s">
        <v>86</v>
      </c>
      <c r="G23" s="18" t="s">
        <v>13</v>
      </c>
      <c r="H23" s="18" t="s">
        <v>10</v>
      </c>
      <c r="I23" s="19">
        <v>46281</v>
      </c>
      <c r="J23" s="19">
        <v>46281</v>
      </c>
      <c r="K23" s="18" t="s">
        <v>31</v>
      </c>
      <c r="L23" s="18" t="s">
        <v>87</v>
      </c>
      <c r="M23" s="18" t="s">
        <v>25</v>
      </c>
      <c r="N23" s="17"/>
      <c r="O23" s="17"/>
      <c r="P23" s="17"/>
      <c r="Q23" s="20" t="str">
        <f>IF(OR(B23="",J23=""),"",IF(SUMPRODUCT((J23&gt;=HolidayStart)*(J23&lt;=HolidayEnd)*(HolidayStart&lt;&gt;""))&gt;0,"Conflict: "&amp;INDEX(HolidayName,SUMPRODUCT((J23&gt;=HolidayStart)*(J23&lt;=HolidayEnd)*(HolidayStart&lt;&gt;"")*ROW(HolidayStart))-ROW(INDEX(HolidayStart,1,1))+1),""))</f>
        <v/>
      </c>
    </row>
    <row r="24" spans="1:17" ht="24" customHeight="1">
      <c r="A24" s="21">
        <v>20</v>
      </c>
      <c r="B24" s="22" t="s">
        <v>132</v>
      </c>
      <c r="C24" s="23"/>
      <c r="D24" s="23"/>
      <c r="E24" s="24" t="s">
        <v>122</v>
      </c>
      <c r="F24" s="25" t="s">
        <v>86</v>
      </c>
      <c r="G24" s="25" t="s">
        <v>13</v>
      </c>
      <c r="H24" s="25" t="s">
        <v>14</v>
      </c>
      <c r="I24" s="26">
        <v>46286</v>
      </c>
      <c r="J24" s="26">
        <v>46286</v>
      </c>
      <c r="K24" s="25" t="s">
        <v>31</v>
      </c>
      <c r="L24" s="25" t="s">
        <v>92</v>
      </c>
      <c r="M24" s="25" t="s">
        <v>25</v>
      </c>
      <c r="N24" s="24"/>
      <c r="O24" s="24"/>
      <c r="P24" s="24" t="s">
        <v>133</v>
      </c>
      <c r="Q24" s="27" t="str">
        <f>IF(OR(B24="",J24=""),"",IF(SUMPRODUCT((J24&gt;=HolidayStart)*(J24&lt;=HolidayEnd)*(HolidayStart&lt;&gt;""))&gt;0,"Conflict: "&amp;INDEX(HolidayName,SUMPRODUCT((J24&gt;=HolidayStart)*(J24&lt;=HolidayEnd)*(HolidayStart&lt;&gt;"")*ROW(HolidayStart))-ROW(INDEX(HolidayStart,1,1))+1),""))</f>
        <v/>
      </c>
    </row>
    <row r="25" spans="1:17" ht="24" customHeight="1">
      <c r="A25" s="14">
        <v>21</v>
      </c>
      <c r="B25" s="15" t="s">
        <v>134</v>
      </c>
      <c r="C25" s="16"/>
      <c r="D25" s="16"/>
      <c r="E25" s="17" t="s">
        <v>135</v>
      </c>
      <c r="F25" s="18" t="s">
        <v>86</v>
      </c>
      <c r="G25" s="18" t="s">
        <v>15</v>
      </c>
      <c r="H25" s="18" t="s">
        <v>10</v>
      </c>
      <c r="I25" s="19">
        <v>46275</v>
      </c>
      <c r="J25" s="19">
        <v>46287</v>
      </c>
      <c r="K25" s="18" t="s">
        <v>24</v>
      </c>
      <c r="L25" s="18" t="s">
        <v>92</v>
      </c>
      <c r="M25" s="18" t="s">
        <v>25</v>
      </c>
      <c r="N25" s="17"/>
      <c r="O25" s="17"/>
      <c r="P25" s="17"/>
      <c r="Q25" s="20" t="str">
        <f>IF(OR(B25="",J25=""),"",IF(SUMPRODUCT((J25&gt;=HolidayStart)*(J25&lt;=HolidayEnd)*(HolidayStart&lt;&gt;""))&gt;0,"Conflict: "&amp;INDEX(HolidayName,SUMPRODUCT((J25&gt;=HolidayStart)*(J25&lt;=HolidayEnd)*(HolidayStart&lt;&gt;"")*ROW(HolidayStart))-ROW(INDEX(HolidayStart,1,1))+1),""))</f>
        <v/>
      </c>
    </row>
    <row r="26" spans="1:17" ht="24" customHeight="1">
      <c r="A26" s="21">
        <v>22</v>
      </c>
      <c r="B26" s="22" t="s">
        <v>136</v>
      </c>
      <c r="C26" s="23"/>
      <c r="D26" s="23"/>
      <c r="E26" s="24" t="s">
        <v>122</v>
      </c>
      <c r="F26" s="25" t="s">
        <v>86</v>
      </c>
      <c r="G26" s="25" t="s">
        <v>13</v>
      </c>
      <c r="H26" s="25" t="s">
        <v>10</v>
      </c>
      <c r="I26" s="26">
        <v>46288</v>
      </c>
      <c r="J26" s="26">
        <v>46288</v>
      </c>
      <c r="K26" s="25" t="s">
        <v>31</v>
      </c>
      <c r="L26" s="25" t="s">
        <v>92</v>
      </c>
      <c r="M26" s="25" t="s">
        <v>25</v>
      </c>
      <c r="N26" s="24"/>
      <c r="O26" s="24"/>
      <c r="P26" s="24"/>
      <c r="Q26" s="27" t="str">
        <f>IF(OR(B26="",J26=""),"",IF(SUMPRODUCT((J26&gt;=HolidayStart)*(J26&lt;=HolidayEnd)*(HolidayStart&lt;&gt;""))&gt;0,"Conflict: "&amp;INDEX(HolidayName,SUMPRODUCT((J26&gt;=HolidayStart)*(J26&lt;=HolidayEnd)*(HolidayStart&lt;&gt;"")*ROW(HolidayStart))-ROW(INDEX(HolidayStart,1,1))+1),""))</f>
        <v/>
      </c>
    </row>
    <row r="27" spans="1:17" ht="24" customHeight="1">
      <c r="A27" s="14">
        <v>23</v>
      </c>
      <c r="B27" s="15" t="s">
        <v>137</v>
      </c>
      <c r="C27" s="16"/>
      <c r="D27" s="16"/>
      <c r="E27" s="17" t="s">
        <v>131</v>
      </c>
      <c r="F27" s="18" t="s">
        <v>86</v>
      </c>
      <c r="G27" s="18" t="s">
        <v>13</v>
      </c>
      <c r="H27" s="18" t="s">
        <v>10</v>
      </c>
      <c r="I27" s="19">
        <v>46290</v>
      </c>
      <c r="J27" s="19">
        <v>46295</v>
      </c>
      <c r="K27" s="18" t="s">
        <v>31</v>
      </c>
      <c r="L27" s="18" t="s">
        <v>92</v>
      </c>
      <c r="M27" s="18" t="s">
        <v>25</v>
      </c>
      <c r="N27" s="17"/>
      <c r="O27" s="17"/>
      <c r="P27" s="17"/>
      <c r="Q27" s="20" t="str">
        <f>IF(OR(B27="",J27=""),"",IF(SUMPRODUCT((J27&gt;=HolidayStart)*(J27&lt;=HolidayEnd)*(HolidayStart&lt;&gt;""))&gt;0,"Conflict: "&amp;INDEX(HolidayName,SUMPRODUCT((J27&gt;=HolidayStart)*(J27&lt;=HolidayEnd)*(HolidayStart&lt;&gt;"")*ROW(HolidayStart))-ROW(INDEX(HolidayStart,1,1))+1),""))</f>
        <v/>
      </c>
    </row>
    <row r="28" spans="1:17" ht="24" customHeight="1">
      <c r="A28" s="21">
        <v>24</v>
      </c>
      <c r="B28" s="22" t="s">
        <v>138</v>
      </c>
      <c r="C28" s="23"/>
      <c r="D28" s="23"/>
      <c r="E28" s="24" t="s">
        <v>139</v>
      </c>
      <c r="F28" s="25" t="s">
        <v>86</v>
      </c>
      <c r="G28" s="25" t="s">
        <v>13</v>
      </c>
      <c r="H28" s="25" t="s">
        <v>10</v>
      </c>
      <c r="I28" s="26">
        <v>46295</v>
      </c>
      <c r="J28" s="26">
        <v>46295</v>
      </c>
      <c r="K28" s="25" t="s">
        <v>31</v>
      </c>
      <c r="L28" s="25" t="s">
        <v>92</v>
      </c>
      <c r="M28" s="25" t="s">
        <v>25</v>
      </c>
      <c r="N28" s="24"/>
      <c r="O28" s="24"/>
      <c r="P28" s="24"/>
      <c r="Q28" s="27" t="str">
        <f>IF(OR(B28="",J28=""),"",IF(SUMPRODUCT((J28&gt;=HolidayStart)*(J28&lt;=HolidayEnd)*(HolidayStart&lt;&gt;""))&gt;0,"Conflict: "&amp;INDEX(HolidayName,SUMPRODUCT((J28&gt;=HolidayStart)*(J28&lt;=HolidayEnd)*(HolidayStart&lt;&gt;"")*ROW(HolidayStart))-ROW(INDEX(HolidayStart,1,1))+1),""))</f>
        <v/>
      </c>
    </row>
    <row r="29" spans="1:17" ht="24" customHeight="1">
      <c r="A29" s="14">
        <v>25</v>
      </c>
      <c r="B29" s="15" t="s">
        <v>140</v>
      </c>
      <c r="C29" s="16"/>
      <c r="D29" s="16"/>
      <c r="E29" s="17" t="s">
        <v>141</v>
      </c>
      <c r="F29" s="18" t="s">
        <v>142</v>
      </c>
      <c r="G29" s="18" t="s">
        <v>15</v>
      </c>
      <c r="H29" s="18" t="s">
        <v>10</v>
      </c>
      <c r="I29" s="19">
        <v>46295</v>
      </c>
      <c r="J29" s="19">
        <v>46295</v>
      </c>
      <c r="K29" s="18" t="s">
        <v>31</v>
      </c>
      <c r="L29" s="18" t="s">
        <v>87</v>
      </c>
      <c r="M29" s="18" t="s">
        <v>25</v>
      </c>
      <c r="N29" s="17"/>
      <c r="O29" s="17"/>
      <c r="P29" s="17"/>
      <c r="Q29" s="20" t="str">
        <f>IF(OR(B29="",J29=""),"",IF(SUMPRODUCT((J29&gt;=HolidayStart)*(J29&lt;=HolidayEnd)*(HolidayStart&lt;&gt;""))&gt;0,"Conflict: "&amp;INDEX(HolidayName,SUMPRODUCT((J29&gt;=HolidayStart)*(J29&lt;=HolidayEnd)*(HolidayStart&lt;&gt;"")*ROW(HolidayStart))-ROW(INDEX(HolidayStart,1,1))+1),""))</f>
        <v/>
      </c>
    </row>
    <row r="30" spans="1:17" ht="24" customHeight="1">
      <c r="A30" s="21">
        <v>26</v>
      </c>
      <c r="B30" s="22" t="s">
        <v>143</v>
      </c>
      <c r="C30" s="23"/>
      <c r="D30" s="23"/>
      <c r="E30" s="24" t="s">
        <v>98</v>
      </c>
      <c r="F30" s="25" t="s">
        <v>86</v>
      </c>
      <c r="G30" s="25" t="s">
        <v>13</v>
      </c>
      <c r="H30" s="25" t="s">
        <v>10</v>
      </c>
      <c r="I30" s="26">
        <v>46293</v>
      </c>
      <c r="J30" s="26">
        <v>46295</v>
      </c>
      <c r="K30" s="25" t="s">
        <v>29</v>
      </c>
      <c r="L30" s="25" t="s">
        <v>92</v>
      </c>
      <c r="M30" s="25" t="s">
        <v>25</v>
      </c>
      <c r="N30" s="24"/>
      <c r="O30" s="24"/>
      <c r="P30" s="24"/>
      <c r="Q30" s="27" t="str">
        <f>IF(OR(B30="",J30=""),"",IF(SUMPRODUCT((J30&gt;=HolidayStart)*(J30&lt;=HolidayEnd)*(HolidayStart&lt;&gt;""))&gt;0,"Conflict: "&amp;INDEX(HolidayName,SUMPRODUCT((J30&gt;=HolidayStart)*(J30&lt;=HolidayEnd)*(HolidayStart&lt;&gt;"")*ROW(HolidayStart))-ROW(INDEX(HolidayStart,1,1))+1),""))</f>
        <v/>
      </c>
    </row>
    <row r="31" spans="1:17" ht="24" customHeight="1">
      <c r="A31" s="14">
        <v>27</v>
      </c>
      <c r="B31" s="15" t="s">
        <v>117</v>
      </c>
      <c r="C31" s="16"/>
      <c r="D31" s="16"/>
      <c r="E31" s="17" t="s">
        <v>98</v>
      </c>
      <c r="F31" s="18" t="s">
        <v>91</v>
      </c>
      <c r="G31" s="18" t="s">
        <v>13</v>
      </c>
      <c r="H31" s="18" t="s">
        <v>10</v>
      </c>
      <c r="I31" s="19">
        <v>46293</v>
      </c>
      <c r="J31" s="19">
        <v>46295</v>
      </c>
      <c r="K31" s="18" t="s">
        <v>29</v>
      </c>
      <c r="L31" s="18" t="s">
        <v>92</v>
      </c>
      <c r="M31" s="18" t="s">
        <v>25</v>
      </c>
      <c r="N31" s="17"/>
      <c r="O31" s="17"/>
      <c r="P31" s="17"/>
      <c r="Q31" s="20" t="str">
        <f>IF(OR(B31="",J31=""),"",IF(SUMPRODUCT((J31&gt;=HolidayStart)*(J31&lt;=HolidayEnd)*(HolidayStart&lt;&gt;""))&gt;0,"Conflict: "&amp;INDEX(HolidayName,SUMPRODUCT((J31&gt;=HolidayStart)*(J31&lt;=HolidayEnd)*(HolidayStart&lt;&gt;"")*ROW(HolidayStart))-ROW(INDEX(HolidayStart,1,1))+1),""))</f>
        <v/>
      </c>
    </row>
    <row r="32" spans="1:17" ht="24" customHeight="1">
      <c r="A32" s="21">
        <v>28</v>
      </c>
      <c r="B32" s="22" t="s">
        <v>144</v>
      </c>
      <c r="C32" s="23"/>
      <c r="D32" s="23"/>
      <c r="E32" s="24" t="s">
        <v>145</v>
      </c>
      <c r="F32" s="25" t="s">
        <v>91</v>
      </c>
      <c r="G32" s="25" t="s">
        <v>13</v>
      </c>
      <c r="H32" s="25" t="s">
        <v>10</v>
      </c>
      <c r="I32" s="26">
        <v>46293</v>
      </c>
      <c r="J32" s="26">
        <v>46295</v>
      </c>
      <c r="K32" s="25" t="s">
        <v>31</v>
      </c>
      <c r="L32" s="25" t="s">
        <v>92</v>
      </c>
      <c r="M32" s="25" t="s">
        <v>27</v>
      </c>
      <c r="N32" s="24"/>
      <c r="O32" s="24"/>
      <c r="P32" s="24"/>
      <c r="Q32" s="27" t="str">
        <f>IF(OR(B32="",J32=""),"",IF(SUMPRODUCT((J32&gt;=HolidayStart)*(J32&lt;=HolidayEnd)*(HolidayStart&lt;&gt;""))&gt;0,"Conflict: "&amp;INDEX(HolidayName,SUMPRODUCT((J32&gt;=HolidayStart)*(J32&lt;=HolidayEnd)*(HolidayStart&lt;&gt;"")*ROW(HolidayStart))-ROW(INDEX(HolidayStart,1,1))+1),""))</f>
        <v/>
      </c>
    </row>
    <row r="33" spans="1:17" ht="24" customHeight="1">
      <c r="A33" s="14">
        <v>29</v>
      </c>
      <c r="B33" s="15" t="s">
        <v>146</v>
      </c>
      <c r="C33" s="16"/>
      <c r="D33" s="16"/>
      <c r="E33" s="17" t="s">
        <v>124</v>
      </c>
      <c r="F33" s="18" t="s">
        <v>91</v>
      </c>
      <c r="G33" s="18" t="s">
        <v>147</v>
      </c>
      <c r="H33" s="18" t="s">
        <v>10</v>
      </c>
      <c r="I33" s="19">
        <v>46294</v>
      </c>
      <c r="J33" s="19">
        <v>46295</v>
      </c>
      <c r="K33" s="18" t="s">
        <v>31</v>
      </c>
      <c r="L33" s="18" t="s">
        <v>92</v>
      </c>
      <c r="M33" s="18" t="s">
        <v>27</v>
      </c>
      <c r="N33" s="17"/>
      <c r="O33" s="17"/>
      <c r="P33" s="17"/>
      <c r="Q33" s="20" t="str">
        <f>IF(OR(B33="",J33=""),"",IF(SUMPRODUCT((J33&gt;=HolidayStart)*(J33&lt;=HolidayEnd)*(HolidayStart&lt;&gt;""))&gt;0,"Conflict: "&amp;INDEX(HolidayName,SUMPRODUCT((J33&gt;=HolidayStart)*(J33&lt;=HolidayEnd)*(HolidayStart&lt;&gt;"")*ROW(HolidayStart))-ROW(INDEX(HolidayStart,1,1))+1),""))</f>
        <v/>
      </c>
    </row>
    <row r="34" spans="1:17" ht="24" customHeight="1">
      <c r="A34" s="21">
        <v>30</v>
      </c>
      <c r="B34" s="22" t="s">
        <v>148</v>
      </c>
      <c r="C34" s="23"/>
      <c r="D34" s="23"/>
      <c r="E34" s="24" t="s">
        <v>149</v>
      </c>
      <c r="F34" s="25" t="s">
        <v>91</v>
      </c>
      <c r="G34" s="25" t="s">
        <v>13</v>
      </c>
      <c r="H34" s="25" t="s">
        <v>10</v>
      </c>
      <c r="I34" s="26">
        <v>46295</v>
      </c>
      <c r="J34" s="26">
        <v>46295</v>
      </c>
      <c r="K34" s="25" t="s">
        <v>31</v>
      </c>
      <c r="L34" s="25" t="s">
        <v>92</v>
      </c>
      <c r="M34" s="25" t="s">
        <v>25</v>
      </c>
      <c r="N34" s="24"/>
      <c r="O34" s="24"/>
      <c r="P34" s="24"/>
      <c r="Q34" s="27" t="str">
        <f>IF(OR(B34="",J34=""),"",IF(SUMPRODUCT((J34&gt;=HolidayStart)*(J34&lt;=HolidayEnd)*(HolidayStart&lt;&gt;""))&gt;0,"Conflict: "&amp;INDEX(HolidayName,SUMPRODUCT((J34&gt;=HolidayStart)*(J34&lt;=HolidayEnd)*(HolidayStart&lt;&gt;"")*ROW(HolidayStart))-ROW(INDEX(HolidayStart,1,1))+1),""))</f>
        <v/>
      </c>
    </row>
    <row r="35" spans="1:17" ht="24" customHeight="1">
      <c r="A35" s="14">
        <v>31</v>
      </c>
      <c r="B35" s="15" t="s">
        <v>150</v>
      </c>
      <c r="C35" s="16"/>
      <c r="D35" s="16"/>
      <c r="E35" s="17" t="s">
        <v>106</v>
      </c>
      <c r="F35" s="18" t="s">
        <v>91</v>
      </c>
      <c r="G35" s="18" t="s">
        <v>13</v>
      </c>
      <c r="H35" s="18" t="s">
        <v>10</v>
      </c>
      <c r="I35" s="19">
        <v>46295</v>
      </c>
      <c r="J35" s="19">
        <v>46295</v>
      </c>
      <c r="K35" s="18" t="s">
        <v>29</v>
      </c>
      <c r="L35" s="18" t="s">
        <v>92</v>
      </c>
      <c r="M35" s="18" t="s">
        <v>25</v>
      </c>
      <c r="N35" s="17"/>
      <c r="O35" s="17"/>
      <c r="P35" s="17"/>
      <c r="Q35" s="20" t="str">
        <f>IF(OR(B35="",J35=""),"",IF(SUMPRODUCT((J35&gt;=HolidayStart)*(J35&lt;=HolidayEnd)*(HolidayStart&lt;&gt;""))&gt;0,"Conflict: "&amp;INDEX(HolidayName,SUMPRODUCT((J35&gt;=HolidayStart)*(J35&lt;=HolidayEnd)*(HolidayStart&lt;&gt;"")*ROW(HolidayStart))-ROW(INDEX(HolidayStart,1,1))+1),""))</f>
        <v/>
      </c>
    </row>
    <row r="36" spans="1:17" ht="24" customHeight="1">
      <c r="A36" s="21">
        <v>32</v>
      </c>
      <c r="B36" s="22" t="s">
        <v>151</v>
      </c>
      <c r="C36" s="23"/>
      <c r="D36" s="23"/>
      <c r="E36" s="24" t="s">
        <v>122</v>
      </c>
      <c r="F36" s="25" t="s">
        <v>86</v>
      </c>
      <c r="G36" s="25" t="s">
        <v>13</v>
      </c>
      <c r="H36" s="25" t="s">
        <v>10</v>
      </c>
      <c r="I36" s="26">
        <v>46295</v>
      </c>
      <c r="J36" s="26">
        <v>46295</v>
      </c>
      <c r="K36" s="25" t="s">
        <v>31</v>
      </c>
      <c r="L36" s="25" t="s">
        <v>92</v>
      </c>
      <c r="M36" s="25" t="s">
        <v>25</v>
      </c>
      <c r="N36" s="24"/>
      <c r="O36" s="24"/>
      <c r="P36" s="24"/>
      <c r="Q36" s="27" t="str">
        <f>IF(OR(B36="",J36=""),"",IF(SUMPRODUCT((J36&gt;=HolidayStart)*(J36&lt;=HolidayEnd)*(HolidayStart&lt;&gt;""))&gt;0,"Conflict: "&amp;INDEX(HolidayName,SUMPRODUCT((J36&gt;=HolidayStart)*(J36&lt;=HolidayEnd)*(HolidayStart&lt;&gt;"")*ROW(HolidayStart))-ROW(INDEX(HolidayStart,1,1))+1),""))</f>
        <v/>
      </c>
    </row>
    <row r="37" spans="1:17" ht="24" customHeight="1">
      <c r="A37" s="14">
        <v>33</v>
      </c>
      <c r="B37" s="15" t="s">
        <v>152</v>
      </c>
      <c r="C37" s="16"/>
      <c r="D37" s="16"/>
      <c r="E37" s="17" t="s">
        <v>124</v>
      </c>
      <c r="F37" s="18" t="s">
        <v>91</v>
      </c>
      <c r="G37" s="18" t="s">
        <v>13</v>
      </c>
      <c r="H37" s="18" t="s">
        <v>10</v>
      </c>
      <c r="I37" s="19">
        <v>46302</v>
      </c>
      <c r="J37" s="19">
        <v>46302</v>
      </c>
      <c r="K37" s="18" t="s">
        <v>29</v>
      </c>
      <c r="L37" s="18" t="s">
        <v>92</v>
      </c>
      <c r="M37" s="18"/>
      <c r="N37" s="17"/>
      <c r="O37" s="17"/>
      <c r="P37" s="17"/>
      <c r="Q37" s="20" t="str">
        <f>IF(OR(B37="",J37=""),"",IF(SUMPRODUCT((J37&gt;=HolidayStart)*(J37&lt;=HolidayEnd)*(HolidayStart&lt;&gt;""))&gt;0,"Conflict: "&amp;INDEX(HolidayName,SUMPRODUCT((J37&gt;=HolidayStart)*(J37&lt;=HolidayEnd)*(HolidayStart&lt;&gt;"")*ROW(HolidayStart))-ROW(INDEX(HolidayStart,1,1))+1),""))</f>
        <v/>
      </c>
    </row>
    <row r="38" spans="1:17" ht="24" customHeight="1">
      <c r="A38" s="21">
        <v>34</v>
      </c>
      <c r="B38" s="22" t="s">
        <v>110</v>
      </c>
      <c r="C38" s="23"/>
      <c r="D38" s="23"/>
      <c r="E38" s="24" t="s">
        <v>108</v>
      </c>
      <c r="F38" s="25" t="s">
        <v>91</v>
      </c>
      <c r="G38" s="25" t="s">
        <v>15</v>
      </c>
      <c r="H38" s="25" t="s">
        <v>10</v>
      </c>
      <c r="I38" s="26">
        <v>46302</v>
      </c>
      <c r="J38" s="26">
        <v>46302</v>
      </c>
      <c r="K38" s="25" t="s">
        <v>31</v>
      </c>
      <c r="L38" s="25"/>
      <c r="M38" s="25" t="s">
        <v>25</v>
      </c>
      <c r="N38" s="24"/>
      <c r="O38" s="24"/>
      <c r="P38" s="24"/>
      <c r="Q38" s="27" t="str">
        <f>IF(OR(B38="",J38=""),"",IF(SUMPRODUCT((J38&gt;=HolidayStart)*(J38&lt;=HolidayEnd)*(HolidayStart&lt;&gt;""))&gt;0,"Conflict: "&amp;INDEX(HolidayName,SUMPRODUCT((J38&gt;=HolidayStart)*(J38&lt;=HolidayEnd)*(HolidayStart&lt;&gt;"")*ROW(HolidayStart))-ROW(INDEX(HolidayStart,1,1))+1),""))</f>
        <v/>
      </c>
    </row>
    <row r="39" spans="1:17" ht="24" customHeight="1">
      <c r="A39" s="14">
        <v>35</v>
      </c>
      <c r="B39" s="15" t="s">
        <v>153</v>
      </c>
      <c r="C39" s="16"/>
      <c r="D39" s="16"/>
      <c r="E39" s="17" t="s">
        <v>106</v>
      </c>
      <c r="F39" s="18"/>
      <c r="G39" s="18" t="s">
        <v>13</v>
      </c>
      <c r="H39" s="18" t="s">
        <v>10</v>
      </c>
      <c r="I39" s="19">
        <v>46302</v>
      </c>
      <c r="J39" s="19"/>
      <c r="K39" s="18" t="s">
        <v>29</v>
      </c>
      <c r="L39" s="18" t="s">
        <v>92</v>
      </c>
      <c r="M39" s="18"/>
      <c r="N39" s="17"/>
      <c r="O39" s="17"/>
      <c r="P39" s="17"/>
      <c r="Q39" s="20" t="str">
        <f>IF(OR(B39="",J39=""),"",IF(SUMPRODUCT((J39&gt;=HolidayStart)*(J39&lt;=HolidayEnd)*(HolidayStart&lt;&gt;""))&gt;0,"Conflict: "&amp;INDEX(HolidayName,SUMPRODUCT((J39&gt;=HolidayStart)*(J39&lt;=HolidayEnd)*(HolidayStart&lt;&gt;"")*ROW(HolidayStart))-ROW(INDEX(HolidayStart,1,1))+1),""))</f>
        <v/>
      </c>
    </row>
    <row r="40" spans="1:17" ht="24" customHeight="1">
      <c r="A40" s="21">
        <v>36</v>
      </c>
      <c r="B40" s="22" t="s">
        <v>125</v>
      </c>
      <c r="C40" s="23"/>
      <c r="D40" s="23"/>
      <c r="E40" s="24" t="s">
        <v>141</v>
      </c>
      <c r="F40" s="25" t="s">
        <v>127</v>
      </c>
      <c r="G40" s="25" t="s">
        <v>15</v>
      </c>
      <c r="H40" s="25" t="s">
        <v>10</v>
      </c>
      <c r="I40" s="26">
        <v>46307</v>
      </c>
      <c r="J40" s="26">
        <v>46307</v>
      </c>
      <c r="K40" s="25" t="s">
        <v>31</v>
      </c>
      <c r="L40" s="25"/>
      <c r="M40" s="25"/>
      <c r="N40" s="24"/>
      <c r="O40" s="24"/>
      <c r="P40" s="24"/>
      <c r="Q40" s="27" t="str">
        <f>IF(OR(B40="",J40=""),"",IF(SUMPRODUCT((J40&gt;=HolidayStart)*(J40&lt;=HolidayEnd)*(HolidayStart&lt;&gt;""))&gt;0,"Conflict: "&amp;INDEX(HolidayName,SUMPRODUCT((J40&gt;=HolidayStart)*(J40&lt;=HolidayEnd)*(HolidayStart&lt;&gt;"")*ROW(HolidayStart))-ROW(INDEX(HolidayStart,1,1))+1),""))</f>
        <v/>
      </c>
    </row>
    <row r="41" spans="1:17" ht="24" customHeight="1">
      <c r="A41" s="14">
        <v>37</v>
      </c>
      <c r="B41" s="15" t="s">
        <v>154</v>
      </c>
      <c r="C41" s="16"/>
      <c r="D41" s="16"/>
      <c r="E41" s="17" t="s">
        <v>101</v>
      </c>
      <c r="F41" s="18" t="s">
        <v>86</v>
      </c>
      <c r="G41" s="18" t="s">
        <v>13</v>
      </c>
      <c r="H41" s="18" t="s">
        <v>14</v>
      </c>
      <c r="I41" s="19">
        <v>46308</v>
      </c>
      <c r="J41" s="19">
        <v>46308</v>
      </c>
      <c r="K41" s="18" t="s">
        <v>31</v>
      </c>
      <c r="L41" s="18" t="s">
        <v>92</v>
      </c>
      <c r="M41" s="18"/>
      <c r="N41" s="17"/>
      <c r="O41" s="17"/>
      <c r="P41" s="17"/>
      <c r="Q41" s="20" t="str">
        <f>IF(OR(B41="",J41=""),"",IF(SUMPRODUCT((J41&gt;=HolidayStart)*(J41&lt;=HolidayEnd)*(HolidayStart&lt;&gt;""))&gt;0,"Conflict: "&amp;INDEX(HolidayName,SUMPRODUCT((J41&gt;=HolidayStart)*(J41&lt;=HolidayEnd)*(HolidayStart&lt;&gt;"")*ROW(HolidayStart))-ROW(INDEX(HolidayStart,1,1))+1),""))</f>
        <v/>
      </c>
    </row>
    <row r="42" spans="1:17" ht="24" customHeight="1">
      <c r="A42" s="21">
        <v>38</v>
      </c>
      <c r="B42" s="22"/>
      <c r="C42" s="23"/>
      <c r="D42" s="23"/>
      <c r="E42" s="24"/>
      <c r="F42" s="25"/>
      <c r="G42" s="25"/>
      <c r="H42" s="25"/>
      <c r="I42" s="26"/>
      <c r="J42" s="26"/>
      <c r="K42" s="25"/>
      <c r="L42" s="25"/>
      <c r="M42" s="25"/>
      <c r="N42" s="24"/>
      <c r="O42" s="24"/>
      <c r="P42" s="24"/>
      <c r="Q42" s="27" t="str">
        <f>IF(OR(B42="",J42=""),"",IF(SUMPRODUCT((J42&gt;=HolidayStart)*(J42&lt;=HolidayEnd)*(HolidayStart&lt;&gt;""))&gt;0,"Conflict: "&amp;INDEX(HolidayName,SUMPRODUCT((J42&gt;=HolidayStart)*(J42&lt;=HolidayEnd)*(HolidayStart&lt;&gt;"")*ROW(HolidayStart))-ROW(INDEX(HolidayStart,1,1))+1),""))</f>
        <v/>
      </c>
    </row>
    <row r="43" spans="1:17" ht="24" customHeight="1">
      <c r="A43" s="14">
        <v>39</v>
      </c>
      <c r="B43" s="15"/>
      <c r="C43" s="16"/>
      <c r="D43" s="16"/>
      <c r="E43" s="17"/>
      <c r="F43" s="18"/>
      <c r="G43" s="18"/>
      <c r="H43" s="18"/>
      <c r="I43" s="19"/>
      <c r="J43" s="19"/>
      <c r="K43" s="18"/>
      <c r="L43" s="18"/>
      <c r="M43" s="18"/>
      <c r="N43" s="17"/>
      <c r="O43" s="17"/>
      <c r="P43" s="17"/>
      <c r="Q43" s="20" t="str">
        <f>IF(OR(B43="",J43=""),"",IF(SUMPRODUCT((J43&gt;=HolidayStart)*(J43&lt;=HolidayEnd)*(HolidayStart&lt;&gt;""))&gt;0,"Conflict: "&amp;INDEX(HolidayName,SUMPRODUCT((J43&gt;=HolidayStart)*(J43&lt;=HolidayEnd)*(HolidayStart&lt;&gt;"")*ROW(HolidayStart))-ROW(INDEX(HolidayStart,1,1))+1),""))</f>
        <v/>
      </c>
    </row>
    <row r="44" spans="1:17" ht="24" customHeight="1">
      <c r="A44" s="21">
        <v>40</v>
      </c>
      <c r="B44" s="22"/>
      <c r="C44" s="23"/>
      <c r="D44" s="23"/>
      <c r="E44" s="24"/>
      <c r="F44" s="25"/>
      <c r="G44" s="25"/>
      <c r="H44" s="25"/>
      <c r="I44" s="26"/>
      <c r="J44" s="26"/>
      <c r="K44" s="25"/>
      <c r="L44" s="25"/>
      <c r="M44" s="25"/>
      <c r="N44" s="24"/>
      <c r="O44" s="24"/>
      <c r="P44" s="24"/>
      <c r="Q44" s="27" t="str">
        <f>IF(OR(B44="",J44=""),"",IF(SUMPRODUCT((J44&gt;=HolidayStart)*(J44&lt;=HolidayEnd)*(HolidayStart&lt;&gt;""))&gt;0,"Conflict: "&amp;INDEX(HolidayName,SUMPRODUCT((J44&gt;=HolidayStart)*(J44&lt;=HolidayEnd)*(HolidayStart&lt;&gt;"")*ROW(HolidayStart))-ROW(INDEX(HolidayStart,1,1))+1),""))</f>
        <v/>
      </c>
    </row>
    <row r="45" spans="1:17" ht="24" customHeight="1">
      <c r="A45" s="14">
        <v>41</v>
      </c>
      <c r="B45" s="15"/>
      <c r="C45" s="16"/>
      <c r="D45" s="16"/>
      <c r="E45" s="17"/>
      <c r="F45" s="18"/>
      <c r="G45" s="18"/>
      <c r="H45" s="18"/>
      <c r="I45" s="19"/>
      <c r="J45" s="19"/>
      <c r="K45" s="18"/>
      <c r="L45" s="18"/>
      <c r="M45" s="18"/>
      <c r="N45" s="17"/>
      <c r="O45" s="17"/>
      <c r="P45" s="17"/>
      <c r="Q45" s="20" t="str">
        <f>IF(OR(B45="",J45=""),"",IF(SUMPRODUCT((J45&gt;=HolidayStart)*(J45&lt;=HolidayEnd)*(HolidayStart&lt;&gt;""))&gt;0,"Conflict: "&amp;INDEX(HolidayName,SUMPRODUCT((J45&gt;=HolidayStart)*(J45&lt;=HolidayEnd)*(HolidayStart&lt;&gt;"")*ROW(HolidayStart))-ROW(INDEX(HolidayStart,1,1))+1),""))</f>
        <v/>
      </c>
    </row>
    <row r="46" spans="1:17" ht="24" customHeight="1">
      <c r="A46" s="21">
        <v>42</v>
      </c>
      <c r="B46" s="22"/>
      <c r="C46" s="23"/>
      <c r="D46" s="23"/>
      <c r="E46" s="24"/>
      <c r="F46" s="25"/>
      <c r="G46" s="25"/>
      <c r="H46" s="25"/>
      <c r="I46" s="26"/>
      <c r="J46" s="26"/>
      <c r="K46" s="25"/>
      <c r="L46" s="25"/>
      <c r="M46" s="25"/>
      <c r="N46" s="24"/>
      <c r="O46" s="24"/>
      <c r="P46" s="24"/>
      <c r="Q46" s="27" t="str">
        <f>IF(OR(B46="",J46=""),"",IF(SUMPRODUCT((J46&gt;=HolidayStart)*(J46&lt;=HolidayEnd)*(HolidayStart&lt;&gt;""))&gt;0,"Conflict: "&amp;INDEX(HolidayName,SUMPRODUCT((J46&gt;=HolidayStart)*(J46&lt;=HolidayEnd)*(HolidayStart&lt;&gt;"")*ROW(HolidayStart))-ROW(INDEX(HolidayStart,1,1))+1),""))</f>
        <v/>
      </c>
    </row>
    <row r="47" spans="1:17" ht="24" customHeight="1">
      <c r="A47" s="14">
        <v>43</v>
      </c>
      <c r="B47" s="15"/>
      <c r="C47" s="16"/>
      <c r="D47" s="16"/>
      <c r="E47" s="17"/>
      <c r="F47" s="18"/>
      <c r="G47" s="18"/>
      <c r="H47" s="18"/>
      <c r="I47" s="19"/>
      <c r="J47" s="19"/>
      <c r="K47" s="18"/>
      <c r="L47" s="18"/>
      <c r="M47" s="18"/>
      <c r="N47" s="17"/>
      <c r="O47" s="17"/>
      <c r="P47" s="17"/>
      <c r="Q47" s="20" t="str">
        <f>IF(OR(B47="",J47=""),"",IF(SUMPRODUCT((J47&gt;=HolidayStart)*(J47&lt;=HolidayEnd)*(HolidayStart&lt;&gt;""))&gt;0,"Conflict: "&amp;INDEX(HolidayName,SUMPRODUCT((J47&gt;=HolidayStart)*(J47&lt;=HolidayEnd)*(HolidayStart&lt;&gt;"")*ROW(HolidayStart))-ROW(INDEX(HolidayStart,1,1))+1),""))</f>
        <v/>
      </c>
    </row>
    <row r="48" spans="1:17" ht="24" customHeight="1">
      <c r="A48" s="21">
        <v>44</v>
      </c>
      <c r="B48" s="22"/>
      <c r="C48" s="23"/>
      <c r="D48" s="23"/>
      <c r="E48" s="24"/>
      <c r="F48" s="25"/>
      <c r="G48" s="25"/>
      <c r="H48" s="25"/>
      <c r="I48" s="26"/>
      <c r="J48" s="26"/>
      <c r="K48" s="25"/>
      <c r="L48" s="25"/>
      <c r="M48" s="25"/>
      <c r="N48" s="24"/>
      <c r="O48" s="24"/>
      <c r="P48" s="24"/>
      <c r="Q48" s="27" t="str">
        <f>IF(OR(B48="",J48=""),"",IF(SUMPRODUCT((J48&gt;=HolidayStart)*(J48&lt;=HolidayEnd)*(HolidayStart&lt;&gt;""))&gt;0,"Conflict: "&amp;INDEX(HolidayName,SUMPRODUCT((J48&gt;=HolidayStart)*(J48&lt;=HolidayEnd)*(HolidayStart&lt;&gt;"")*ROW(HolidayStart))-ROW(INDEX(HolidayStart,1,1))+1),""))</f>
        <v/>
      </c>
    </row>
    <row r="49" spans="1:17" ht="24" customHeight="1">
      <c r="A49" s="14">
        <v>45</v>
      </c>
      <c r="B49" s="15"/>
      <c r="C49" s="16"/>
      <c r="D49" s="16"/>
      <c r="E49" s="17"/>
      <c r="F49" s="18"/>
      <c r="G49" s="18"/>
      <c r="H49" s="18"/>
      <c r="I49" s="19"/>
      <c r="J49" s="19"/>
      <c r="K49" s="18"/>
      <c r="L49" s="18"/>
      <c r="M49" s="18"/>
      <c r="N49" s="17"/>
      <c r="O49" s="17"/>
      <c r="P49" s="17"/>
      <c r="Q49" s="20" t="str">
        <f>IF(OR(B49="",J49=""),"",IF(SUMPRODUCT((J49&gt;=HolidayStart)*(J49&lt;=HolidayEnd)*(HolidayStart&lt;&gt;""))&gt;0,"Conflict: "&amp;INDEX(HolidayName,SUMPRODUCT((J49&gt;=HolidayStart)*(J49&lt;=HolidayEnd)*(HolidayStart&lt;&gt;"")*ROW(HolidayStart))-ROW(INDEX(HolidayStart,1,1))+1),""))</f>
        <v/>
      </c>
    </row>
    <row r="50" spans="1:17" ht="24" customHeight="1">
      <c r="A50" s="21">
        <v>46</v>
      </c>
      <c r="B50" s="22"/>
      <c r="C50" s="23"/>
      <c r="D50" s="23"/>
      <c r="E50" s="24"/>
      <c r="F50" s="25"/>
      <c r="G50" s="25"/>
      <c r="H50" s="25"/>
      <c r="I50" s="26"/>
      <c r="J50" s="26"/>
      <c r="K50" s="25"/>
      <c r="L50" s="25"/>
      <c r="M50" s="25"/>
      <c r="N50" s="24"/>
      <c r="O50" s="24"/>
      <c r="P50" s="24"/>
      <c r="Q50" s="27" t="str">
        <f>IF(OR(B50="",J50=""),"",IF(SUMPRODUCT((J50&gt;=HolidayStart)*(J50&lt;=HolidayEnd)*(HolidayStart&lt;&gt;""))&gt;0,"Conflict: "&amp;INDEX(HolidayName,SUMPRODUCT((J50&gt;=HolidayStart)*(J50&lt;=HolidayEnd)*(HolidayStart&lt;&gt;"")*ROW(HolidayStart))-ROW(INDEX(HolidayStart,1,1))+1),""))</f>
        <v/>
      </c>
    </row>
    <row r="51" spans="1:17" ht="24" customHeight="1">
      <c r="A51" s="14">
        <v>47</v>
      </c>
      <c r="B51" s="15"/>
      <c r="C51" s="16"/>
      <c r="D51" s="16"/>
      <c r="E51" s="17"/>
      <c r="F51" s="18"/>
      <c r="G51" s="18"/>
      <c r="H51" s="18"/>
      <c r="I51" s="19"/>
      <c r="J51" s="19"/>
      <c r="K51" s="18"/>
      <c r="L51" s="18"/>
      <c r="M51" s="18"/>
      <c r="N51" s="17"/>
      <c r="O51" s="17"/>
      <c r="P51" s="17"/>
      <c r="Q51" s="20" t="str">
        <f>IF(OR(B51="",J51=""),"",IF(SUMPRODUCT((J51&gt;=HolidayStart)*(J51&lt;=HolidayEnd)*(HolidayStart&lt;&gt;""))&gt;0,"Conflict: "&amp;INDEX(HolidayName,SUMPRODUCT((J51&gt;=HolidayStart)*(J51&lt;=HolidayEnd)*(HolidayStart&lt;&gt;"")*ROW(HolidayStart))-ROW(INDEX(HolidayStart,1,1))+1),""))</f>
        <v/>
      </c>
    </row>
    <row r="52" spans="1:17" ht="24" customHeight="1">
      <c r="A52" s="21">
        <v>48</v>
      </c>
      <c r="B52" s="22"/>
      <c r="C52" s="23"/>
      <c r="D52" s="23"/>
      <c r="E52" s="24"/>
      <c r="F52" s="25"/>
      <c r="G52" s="25"/>
      <c r="H52" s="25"/>
      <c r="I52" s="26"/>
      <c r="J52" s="26"/>
      <c r="K52" s="25"/>
      <c r="L52" s="25"/>
      <c r="M52" s="25"/>
      <c r="N52" s="24"/>
      <c r="O52" s="24"/>
      <c r="P52" s="24"/>
      <c r="Q52" s="27" t="str">
        <f>IF(OR(B52="",J52=""),"",IF(SUMPRODUCT((J52&gt;=HolidayStart)*(J52&lt;=HolidayEnd)*(HolidayStart&lt;&gt;""))&gt;0,"Conflict: "&amp;INDEX(HolidayName,SUMPRODUCT((J52&gt;=HolidayStart)*(J52&lt;=HolidayEnd)*(HolidayStart&lt;&gt;"")*ROW(HolidayStart))-ROW(INDEX(HolidayStart,1,1))+1),""))</f>
        <v/>
      </c>
    </row>
    <row r="53" spans="1:17" ht="24" customHeight="1">
      <c r="A53" s="14">
        <v>49</v>
      </c>
      <c r="B53" s="15"/>
      <c r="C53" s="16"/>
      <c r="D53" s="16"/>
      <c r="E53" s="17"/>
      <c r="F53" s="18"/>
      <c r="G53" s="18"/>
      <c r="H53" s="18"/>
      <c r="I53" s="19"/>
      <c r="J53" s="19"/>
      <c r="K53" s="18"/>
      <c r="L53" s="18"/>
      <c r="M53" s="18"/>
      <c r="N53" s="17"/>
      <c r="O53" s="17"/>
      <c r="P53" s="17"/>
      <c r="Q53" s="20" t="str">
        <f>IF(OR(B53="",J53=""),"",IF(SUMPRODUCT((J53&gt;=HolidayStart)*(J53&lt;=HolidayEnd)*(HolidayStart&lt;&gt;""))&gt;0,"Conflict: "&amp;INDEX(HolidayName,SUMPRODUCT((J53&gt;=HolidayStart)*(J53&lt;=HolidayEnd)*(HolidayStart&lt;&gt;"")*ROW(HolidayStart))-ROW(INDEX(HolidayStart,1,1))+1),""))</f>
        <v/>
      </c>
    </row>
    <row r="54" spans="1:17" ht="24" customHeight="1">
      <c r="A54" s="21">
        <v>50</v>
      </c>
      <c r="B54" s="22"/>
      <c r="C54" s="23"/>
      <c r="D54" s="23"/>
      <c r="E54" s="24"/>
      <c r="F54" s="25"/>
      <c r="G54" s="25"/>
      <c r="H54" s="25"/>
      <c r="I54" s="26"/>
      <c r="J54" s="26"/>
      <c r="K54" s="25"/>
      <c r="L54" s="25"/>
      <c r="M54" s="25"/>
      <c r="N54" s="24"/>
      <c r="O54" s="24"/>
      <c r="P54" s="24"/>
      <c r="Q54" s="27" t="str">
        <f>IF(OR(B54="",J54=""),"",IF(SUMPRODUCT((J54&gt;=HolidayStart)*(J54&lt;=HolidayEnd)*(HolidayStart&lt;&gt;""))&gt;0,"Conflict: "&amp;INDEX(HolidayName,SUMPRODUCT((J54&gt;=HolidayStart)*(J54&lt;=HolidayEnd)*(HolidayStart&lt;&gt;"")*ROW(HolidayStart))-ROW(INDEX(HolidayStart,1,1))+1),""))</f>
        <v/>
      </c>
    </row>
    <row r="55" spans="1:17" ht="24" customHeight="1">
      <c r="A55" s="14">
        <v>51</v>
      </c>
      <c r="B55" s="15"/>
      <c r="C55" s="16"/>
      <c r="D55" s="16"/>
      <c r="E55" s="17"/>
      <c r="F55" s="18"/>
      <c r="G55" s="18"/>
      <c r="H55" s="18"/>
      <c r="I55" s="19"/>
      <c r="J55" s="19"/>
      <c r="K55" s="18"/>
      <c r="L55" s="18"/>
      <c r="M55" s="18"/>
      <c r="N55" s="17"/>
      <c r="O55" s="17"/>
      <c r="P55" s="17"/>
      <c r="Q55" s="20" t="str">
        <f>IF(OR(B55="",J55=""),"",IF(SUMPRODUCT((J55&gt;=HolidayStart)*(J55&lt;=HolidayEnd)*(HolidayStart&lt;&gt;""))&gt;0,"Conflict: "&amp;INDEX(HolidayName,SUMPRODUCT((J55&gt;=HolidayStart)*(J55&lt;=HolidayEnd)*(HolidayStart&lt;&gt;"")*ROW(HolidayStart))-ROW(INDEX(HolidayStart,1,1))+1),""))</f>
        <v/>
      </c>
    </row>
    <row r="56" spans="1:17" ht="24" customHeight="1">
      <c r="A56" s="21">
        <v>52</v>
      </c>
      <c r="B56" s="22"/>
      <c r="C56" s="23"/>
      <c r="D56" s="23"/>
      <c r="E56" s="24"/>
      <c r="F56" s="25"/>
      <c r="G56" s="25"/>
      <c r="H56" s="25"/>
      <c r="I56" s="26"/>
      <c r="J56" s="26"/>
      <c r="K56" s="25"/>
      <c r="L56" s="25"/>
      <c r="M56" s="25"/>
      <c r="N56" s="24"/>
      <c r="O56" s="24"/>
      <c r="P56" s="24"/>
      <c r="Q56" s="27" t="str">
        <f>IF(OR(B56="",J56=""),"",IF(SUMPRODUCT((J56&gt;=HolidayStart)*(J56&lt;=HolidayEnd)*(HolidayStart&lt;&gt;""))&gt;0,"Conflict: "&amp;INDEX(HolidayName,SUMPRODUCT((J56&gt;=HolidayStart)*(J56&lt;=HolidayEnd)*(HolidayStart&lt;&gt;"")*ROW(HolidayStart))-ROW(INDEX(HolidayStart,1,1))+1),""))</f>
        <v/>
      </c>
    </row>
    <row r="57" spans="1:17" ht="24" customHeight="1">
      <c r="A57" s="14">
        <v>53</v>
      </c>
      <c r="B57" s="15"/>
      <c r="C57" s="16"/>
      <c r="D57" s="16"/>
      <c r="E57" s="17"/>
      <c r="F57" s="18"/>
      <c r="G57" s="18"/>
      <c r="H57" s="18"/>
      <c r="I57" s="19"/>
      <c r="J57" s="19"/>
      <c r="K57" s="18"/>
      <c r="L57" s="18"/>
      <c r="M57" s="18"/>
      <c r="N57" s="17"/>
      <c r="O57" s="17"/>
      <c r="P57" s="17"/>
      <c r="Q57" s="20" t="str">
        <f>IF(OR(B57="",J57=""),"",IF(SUMPRODUCT((J57&gt;=HolidayStart)*(J57&lt;=HolidayEnd)*(HolidayStart&lt;&gt;""))&gt;0,"Conflict: "&amp;INDEX(HolidayName,SUMPRODUCT((J57&gt;=HolidayStart)*(J57&lt;=HolidayEnd)*(HolidayStart&lt;&gt;"")*ROW(HolidayStart))-ROW(INDEX(HolidayStart,1,1))+1),""))</f>
        <v/>
      </c>
    </row>
    <row r="58" spans="1:17" ht="24" customHeight="1">
      <c r="A58" s="21">
        <v>54</v>
      </c>
      <c r="B58" s="22"/>
      <c r="C58" s="23"/>
      <c r="D58" s="23"/>
      <c r="E58" s="24"/>
      <c r="F58" s="25"/>
      <c r="G58" s="25"/>
      <c r="H58" s="25"/>
      <c r="I58" s="26"/>
      <c r="J58" s="26"/>
      <c r="K58" s="25"/>
      <c r="L58" s="25"/>
      <c r="M58" s="25"/>
      <c r="N58" s="24"/>
      <c r="O58" s="24"/>
      <c r="P58" s="24"/>
      <c r="Q58" s="27" t="str">
        <f>IF(OR(B58="",J58=""),"",IF(SUMPRODUCT((J58&gt;=HolidayStart)*(J58&lt;=HolidayEnd)*(HolidayStart&lt;&gt;""))&gt;0,"Conflict: "&amp;INDEX(HolidayName,SUMPRODUCT((J58&gt;=HolidayStart)*(J58&lt;=HolidayEnd)*(HolidayStart&lt;&gt;"")*ROW(HolidayStart))-ROW(INDEX(HolidayStart,1,1))+1),""))</f>
        <v/>
      </c>
    </row>
    <row r="59" spans="1:17" ht="24" customHeight="1">
      <c r="A59" s="14">
        <v>55</v>
      </c>
      <c r="B59" s="15"/>
      <c r="C59" s="16"/>
      <c r="D59" s="16"/>
      <c r="E59" s="17"/>
      <c r="F59" s="18"/>
      <c r="G59" s="18"/>
      <c r="H59" s="18"/>
      <c r="I59" s="19"/>
      <c r="J59" s="19"/>
      <c r="K59" s="18"/>
      <c r="L59" s="18"/>
      <c r="M59" s="18"/>
      <c r="N59" s="17"/>
      <c r="O59" s="17"/>
      <c r="P59" s="17"/>
      <c r="Q59" s="20" t="str">
        <f>IF(OR(B59="",J59=""),"",IF(SUMPRODUCT((J59&gt;=HolidayStart)*(J59&lt;=HolidayEnd)*(HolidayStart&lt;&gt;""))&gt;0,"Conflict: "&amp;INDEX(HolidayName,SUMPRODUCT((J59&gt;=HolidayStart)*(J59&lt;=HolidayEnd)*(HolidayStart&lt;&gt;"")*ROW(HolidayStart))-ROW(INDEX(HolidayStart,1,1))+1),""))</f>
        <v/>
      </c>
    </row>
    <row r="60" spans="1:17" ht="24" customHeight="1">
      <c r="A60" s="21">
        <v>56</v>
      </c>
      <c r="B60" s="22"/>
      <c r="C60" s="23"/>
      <c r="D60" s="23"/>
      <c r="E60" s="24"/>
      <c r="F60" s="25"/>
      <c r="G60" s="25"/>
      <c r="H60" s="25"/>
      <c r="I60" s="26"/>
      <c r="J60" s="26"/>
      <c r="K60" s="25"/>
      <c r="L60" s="25"/>
      <c r="M60" s="25"/>
      <c r="N60" s="24"/>
      <c r="O60" s="24"/>
      <c r="P60" s="24"/>
      <c r="Q60" s="27" t="str">
        <f>IF(OR(B60="",J60=""),"",IF(SUMPRODUCT((J60&gt;=HolidayStart)*(J60&lt;=HolidayEnd)*(HolidayStart&lt;&gt;""))&gt;0,"Conflict: "&amp;INDEX(HolidayName,SUMPRODUCT((J60&gt;=HolidayStart)*(J60&lt;=HolidayEnd)*(HolidayStart&lt;&gt;"")*ROW(HolidayStart))-ROW(INDEX(HolidayStart,1,1))+1),""))</f>
        <v/>
      </c>
    </row>
    <row r="61" spans="1:17" ht="24" customHeight="1">
      <c r="A61" s="14">
        <v>57</v>
      </c>
      <c r="B61" s="15"/>
      <c r="C61" s="16"/>
      <c r="D61" s="16"/>
      <c r="E61" s="17"/>
      <c r="F61" s="18"/>
      <c r="G61" s="18"/>
      <c r="H61" s="18"/>
      <c r="I61" s="19"/>
      <c r="J61" s="19"/>
      <c r="K61" s="18"/>
      <c r="L61" s="18"/>
      <c r="M61" s="18"/>
      <c r="N61" s="17"/>
      <c r="O61" s="17"/>
      <c r="P61" s="17"/>
      <c r="Q61" s="20" t="str">
        <f>IF(OR(B61="",J61=""),"",IF(SUMPRODUCT((J61&gt;=HolidayStart)*(J61&lt;=HolidayEnd)*(HolidayStart&lt;&gt;""))&gt;0,"Conflict: "&amp;INDEX(HolidayName,SUMPRODUCT((J61&gt;=HolidayStart)*(J61&lt;=HolidayEnd)*(HolidayStart&lt;&gt;"")*ROW(HolidayStart))-ROW(INDEX(HolidayStart,1,1))+1),""))</f>
        <v/>
      </c>
    </row>
    <row r="62" spans="1:17" ht="24" customHeight="1">
      <c r="A62" s="21">
        <v>58</v>
      </c>
      <c r="B62" s="22"/>
      <c r="C62" s="23"/>
      <c r="D62" s="23"/>
      <c r="E62" s="24"/>
      <c r="F62" s="25"/>
      <c r="G62" s="25"/>
      <c r="H62" s="25"/>
      <c r="I62" s="26"/>
      <c r="J62" s="26"/>
      <c r="K62" s="25"/>
      <c r="L62" s="25"/>
      <c r="M62" s="25"/>
      <c r="N62" s="24"/>
      <c r="O62" s="24"/>
      <c r="P62" s="24"/>
      <c r="Q62" s="27" t="str">
        <f>IF(OR(B62="",J62=""),"",IF(SUMPRODUCT((J62&gt;=HolidayStart)*(J62&lt;=HolidayEnd)*(HolidayStart&lt;&gt;""))&gt;0,"Conflict: "&amp;INDEX(HolidayName,SUMPRODUCT((J62&gt;=HolidayStart)*(J62&lt;=HolidayEnd)*(HolidayStart&lt;&gt;"")*ROW(HolidayStart))-ROW(INDEX(HolidayStart,1,1))+1),""))</f>
        <v/>
      </c>
    </row>
    <row r="63" spans="1:17" ht="24" customHeight="1">
      <c r="A63" s="14">
        <v>59</v>
      </c>
      <c r="B63" s="15"/>
      <c r="C63" s="16"/>
      <c r="D63" s="16"/>
      <c r="E63" s="17"/>
      <c r="F63" s="18"/>
      <c r="G63" s="18"/>
      <c r="H63" s="18"/>
      <c r="I63" s="19"/>
      <c r="J63" s="19"/>
      <c r="K63" s="18"/>
      <c r="L63" s="18"/>
      <c r="M63" s="18"/>
      <c r="N63" s="17"/>
      <c r="O63" s="17"/>
      <c r="P63" s="17"/>
      <c r="Q63" s="20" t="str">
        <f>IF(OR(B63="",J63=""),"",IF(SUMPRODUCT((J63&gt;=HolidayStart)*(J63&lt;=HolidayEnd)*(HolidayStart&lt;&gt;""))&gt;0,"Conflict: "&amp;INDEX(HolidayName,SUMPRODUCT((J63&gt;=HolidayStart)*(J63&lt;=HolidayEnd)*(HolidayStart&lt;&gt;"")*ROW(HolidayStart))-ROW(INDEX(HolidayStart,1,1))+1),""))</f>
        <v/>
      </c>
    </row>
    <row r="64" spans="1:17" ht="24" customHeight="1">
      <c r="A64" s="21">
        <v>60</v>
      </c>
      <c r="B64" s="22"/>
      <c r="C64" s="23"/>
      <c r="D64" s="23"/>
      <c r="E64" s="24"/>
      <c r="F64" s="25"/>
      <c r="G64" s="25"/>
      <c r="H64" s="25"/>
      <c r="I64" s="26"/>
      <c r="J64" s="26"/>
      <c r="K64" s="25"/>
      <c r="L64" s="25"/>
      <c r="M64" s="25"/>
      <c r="N64" s="24"/>
      <c r="O64" s="24"/>
      <c r="P64" s="24"/>
      <c r="Q64" s="27" t="str">
        <f>IF(OR(B64="",J64=""),"",IF(SUMPRODUCT((J64&gt;=HolidayStart)*(J64&lt;=HolidayEnd)*(HolidayStart&lt;&gt;""))&gt;0,"Conflict: "&amp;INDEX(HolidayName,SUMPRODUCT((J64&gt;=HolidayStart)*(J64&lt;=HolidayEnd)*(HolidayStart&lt;&gt;"")*ROW(HolidayStart))-ROW(INDEX(HolidayStart,1,1))+1),""))</f>
        <v/>
      </c>
    </row>
    <row r="65" spans="1:17" ht="24" customHeight="1">
      <c r="A65" s="14">
        <v>61</v>
      </c>
      <c r="B65" s="15"/>
      <c r="C65" s="16"/>
      <c r="D65" s="16"/>
      <c r="E65" s="17"/>
      <c r="F65" s="18"/>
      <c r="G65" s="18"/>
      <c r="H65" s="18"/>
      <c r="I65" s="19"/>
      <c r="J65" s="19"/>
      <c r="K65" s="18"/>
      <c r="L65" s="18"/>
      <c r="M65" s="18"/>
      <c r="N65" s="17"/>
      <c r="O65" s="17"/>
      <c r="P65" s="17"/>
      <c r="Q65" s="20" t="str">
        <f>IF(OR(B65="",J65=""),"",IF(SUMPRODUCT((J65&gt;=HolidayStart)*(J65&lt;=HolidayEnd)*(HolidayStart&lt;&gt;""))&gt;0,"Conflict: "&amp;INDEX(HolidayName,SUMPRODUCT((J65&gt;=HolidayStart)*(J65&lt;=HolidayEnd)*(HolidayStart&lt;&gt;"")*ROW(HolidayStart))-ROW(INDEX(HolidayStart,1,1))+1),""))</f>
        <v/>
      </c>
    </row>
    <row r="66" spans="1:17" ht="24" customHeight="1">
      <c r="A66" s="21">
        <v>62</v>
      </c>
      <c r="B66" s="22"/>
      <c r="C66" s="23"/>
      <c r="D66" s="23"/>
      <c r="E66" s="24"/>
      <c r="F66" s="25"/>
      <c r="G66" s="25"/>
      <c r="H66" s="25"/>
      <c r="I66" s="26"/>
      <c r="J66" s="26"/>
      <c r="K66" s="25"/>
      <c r="L66" s="25"/>
      <c r="M66" s="25"/>
      <c r="N66" s="24"/>
      <c r="O66" s="24"/>
      <c r="P66" s="24"/>
      <c r="Q66" s="27" t="str">
        <f>IF(OR(B66="",J66=""),"",IF(SUMPRODUCT((J66&gt;=HolidayStart)*(J66&lt;=HolidayEnd)*(HolidayStart&lt;&gt;""))&gt;0,"Conflict: "&amp;INDEX(HolidayName,SUMPRODUCT((J66&gt;=HolidayStart)*(J66&lt;=HolidayEnd)*(HolidayStart&lt;&gt;"")*ROW(HolidayStart))-ROW(INDEX(HolidayStart,1,1))+1),""))</f>
        <v/>
      </c>
    </row>
    <row r="67" spans="1:17" ht="24" customHeight="1">
      <c r="A67" s="14">
        <v>63</v>
      </c>
      <c r="B67" s="15"/>
      <c r="C67" s="16"/>
      <c r="D67" s="16"/>
      <c r="E67" s="17"/>
      <c r="F67" s="18"/>
      <c r="G67" s="18"/>
      <c r="H67" s="18"/>
      <c r="I67" s="19"/>
      <c r="J67" s="19"/>
      <c r="K67" s="18"/>
      <c r="L67" s="18"/>
      <c r="M67" s="18"/>
      <c r="N67" s="17"/>
      <c r="O67" s="17"/>
      <c r="P67" s="17"/>
      <c r="Q67" s="20" t="str">
        <f>IF(OR(B67="",J67=""),"",IF(SUMPRODUCT((J67&gt;=HolidayStart)*(J67&lt;=HolidayEnd)*(HolidayStart&lt;&gt;""))&gt;0,"Conflict: "&amp;INDEX(HolidayName,SUMPRODUCT((J67&gt;=HolidayStart)*(J67&lt;=HolidayEnd)*(HolidayStart&lt;&gt;"")*ROW(HolidayStart))-ROW(INDEX(HolidayStart,1,1))+1),""))</f>
        <v/>
      </c>
    </row>
    <row r="68" spans="1:17" ht="24" customHeight="1">
      <c r="A68" s="21">
        <v>64</v>
      </c>
      <c r="B68" s="22"/>
      <c r="C68" s="23"/>
      <c r="D68" s="23"/>
      <c r="E68" s="24"/>
      <c r="F68" s="25"/>
      <c r="G68" s="25"/>
      <c r="H68" s="25"/>
      <c r="I68" s="26"/>
      <c r="J68" s="26"/>
      <c r="K68" s="25"/>
      <c r="L68" s="25"/>
      <c r="M68" s="25"/>
      <c r="N68" s="24"/>
      <c r="O68" s="24"/>
      <c r="P68" s="24"/>
      <c r="Q68" s="27" t="str">
        <f>IF(OR(B68="",J68=""),"",IF(SUMPRODUCT((J68&gt;=HolidayStart)*(J68&lt;=HolidayEnd)*(HolidayStart&lt;&gt;""))&gt;0,"Conflict: "&amp;INDEX(HolidayName,SUMPRODUCT((J68&gt;=HolidayStart)*(J68&lt;=HolidayEnd)*(HolidayStart&lt;&gt;"")*ROW(HolidayStart))-ROW(INDEX(HolidayStart,1,1))+1),""))</f>
        <v/>
      </c>
    </row>
    <row r="69" spans="1:17" ht="24" customHeight="1">
      <c r="A69" s="14">
        <v>65</v>
      </c>
      <c r="B69" s="15"/>
      <c r="C69" s="16"/>
      <c r="D69" s="16"/>
      <c r="E69" s="17"/>
      <c r="F69" s="18"/>
      <c r="G69" s="18"/>
      <c r="H69" s="18"/>
      <c r="I69" s="19"/>
      <c r="J69" s="19"/>
      <c r="K69" s="18"/>
      <c r="L69" s="18"/>
      <c r="M69" s="18"/>
      <c r="N69" s="17"/>
      <c r="O69" s="17"/>
      <c r="P69" s="17"/>
      <c r="Q69" s="20" t="str">
        <f>IF(OR(B69="",J69=""),"",IF(SUMPRODUCT((J69&gt;=HolidayStart)*(J69&lt;=HolidayEnd)*(HolidayStart&lt;&gt;""))&gt;0,"Conflict: "&amp;INDEX(HolidayName,SUMPRODUCT((J69&gt;=HolidayStart)*(J69&lt;=HolidayEnd)*(HolidayStart&lt;&gt;"")*ROW(HolidayStart))-ROW(INDEX(HolidayStart,1,1))+1),""))</f>
        <v/>
      </c>
    </row>
    <row r="70" spans="1:17" ht="24" customHeight="1">
      <c r="A70" s="21">
        <v>66</v>
      </c>
      <c r="B70" s="22"/>
      <c r="C70" s="23"/>
      <c r="D70" s="23"/>
      <c r="E70" s="24"/>
      <c r="F70" s="25"/>
      <c r="G70" s="25"/>
      <c r="H70" s="25"/>
      <c r="I70" s="26"/>
      <c r="J70" s="26"/>
      <c r="K70" s="25"/>
      <c r="L70" s="25"/>
      <c r="M70" s="25"/>
      <c r="N70" s="24"/>
      <c r="O70" s="24"/>
      <c r="P70" s="24"/>
      <c r="Q70" s="27" t="str">
        <f>IF(OR(B70="",J70=""),"",IF(SUMPRODUCT((J70&gt;=HolidayStart)*(J70&lt;=HolidayEnd)*(HolidayStart&lt;&gt;""))&gt;0,"Conflict: "&amp;INDEX(HolidayName,SUMPRODUCT((J70&gt;=HolidayStart)*(J70&lt;=HolidayEnd)*(HolidayStart&lt;&gt;"")*ROW(HolidayStart))-ROW(INDEX(HolidayStart,1,1))+1),""))</f>
        <v/>
      </c>
    </row>
    <row r="71" spans="1:17" ht="24" customHeight="1">
      <c r="A71" s="14">
        <v>67</v>
      </c>
      <c r="B71" s="15"/>
      <c r="C71" s="16"/>
      <c r="D71" s="16"/>
      <c r="E71" s="17"/>
      <c r="F71" s="18"/>
      <c r="G71" s="18"/>
      <c r="H71" s="18"/>
      <c r="I71" s="19"/>
      <c r="J71" s="19"/>
      <c r="K71" s="18"/>
      <c r="L71" s="18"/>
      <c r="M71" s="18"/>
      <c r="N71" s="17"/>
      <c r="O71" s="17"/>
      <c r="P71" s="17"/>
      <c r="Q71" s="20" t="str">
        <f>IF(OR(B71="",J71=""),"",IF(SUMPRODUCT((J71&gt;=HolidayStart)*(J71&lt;=HolidayEnd)*(HolidayStart&lt;&gt;""))&gt;0,"Conflict: "&amp;INDEX(HolidayName,SUMPRODUCT((J71&gt;=HolidayStart)*(J71&lt;=HolidayEnd)*(HolidayStart&lt;&gt;"")*ROW(HolidayStart))-ROW(INDEX(HolidayStart,1,1))+1),""))</f>
        <v/>
      </c>
    </row>
    <row r="72" spans="1:17" ht="24" customHeight="1">
      <c r="A72" s="21">
        <v>68</v>
      </c>
      <c r="B72" s="22"/>
      <c r="C72" s="23"/>
      <c r="D72" s="23"/>
      <c r="E72" s="24"/>
      <c r="F72" s="25"/>
      <c r="G72" s="25"/>
      <c r="H72" s="25"/>
      <c r="I72" s="26"/>
      <c r="J72" s="26"/>
      <c r="K72" s="25"/>
      <c r="L72" s="25"/>
      <c r="M72" s="25"/>
      <c r="N72" s="24"/>
      <c r="O72" s="24"/>
      <c r="P72" s="24"/>
      <c r="Q72" s="27" t="str">
        <f>IF(OR(B72="",J72=""),"",IF(SUMPRODUCT((J72&gt;=HolidayStart)*(J72&lt;=HolidayEnd)*(HolidayStart&lt;&gt;""))&gt;0,"Conflict: "&amp;INDEX(HolidayName,SUMPRODUCT((J72&gt;=HolidayStart)*(J72&lt;=HolidayEnd)*(HolidayStart&lt;&gt;"")*ROW(HolidayStart))-ROW(INDEX(HolidayStart,1,1))+1),""))</f>
        <v/>
      </c>
    </row>
    <row r="73" spans="1:17" ht="24" customHeight="1">
      <c r="A73" s="14">
        <v>69</v>
      </c>
      <c r="B73" s="15"/>
      <c r="C73" s="16"/>
      <c r="D73" s="16"/>
      <c r="E73" s="17"/>
      <c r="F73" s="18"/>
      <c r="G73" s="18"/>
      <c r="H73" s="18"/>
      <c r="I73" s="19"/>
      <c r="J73" s="19"/>
      <c r="K73" s="18"/>
      <c r="L73" s="18"/>
      <c r="M73" s="18"/>
      <c r="N73" s="17"/>
      <c r="O73" s="17"/>
      <c r="P73" s="17"/>
      <c r="Q73" s="20" t="str">
        <f>IF(OR(B73="",J73=""),"",IF(SUMPRODUCT((J73&gt;=HolidayStart)*(J73&lt;=HolidayEnd)*(HolidayStart&lt;&gt;""))&gt;0,"Conflict: "&amp;INDEX(HolidayName,SUMPRODUCT((J73&gt;=HolidayStart)*(J73&lt;=HolidayEnd)*(HolidayStart&lt;&gt;"")*ROW(HolidayStart))-ROW(INDEX(HolidayStart,1,1))+1),""))</f>
        <v/>
      </c>
    </row>
    <row r="74" spans="1:17" ht="24" customHeight="1">
      <c r="A74" s="21">
        <v>70</v>
      </c>
      <c r="B74" s="22"/>
      <c r="C74" s="23"/>
      <c r="D74" s="23"/>
      <c r="E74" s="24"/>
      <c r="F74" s="25"/>
      <c r="G74" s="25"/>
      <c r="H74" s="25"/>
      <c r="I74" s="26"/>
      <c r="J74" s="26"/>
      <c r="K74" s="25"/>
      <c r="L74" s="25"/>
      <c r="M74" s="25"/>
      <c r="N74" s="24"/>
      <c r="O74" s="24"/>
      <c r="P74" s="24"/>
      <c r="Q74" s="27" t="str">
        <f>IF(OR(B74="",J74=""),"",IF(SUMPRODUCT((J74&gt;=HolidayStart)*(J74&lt;=HolidayEnd)*(HolidayStart&lt;&gt;""))&gt;0,"Conflict: "&amp;INDEX(HolidayName,SUMPRODUCT((J74&gt;=HolidayStart)*(J74&lt;=HolidayEnd)*(HolidayStart&lt;&gt;"")*ROW(HolidayStart))-ROW(INDEX(HolidayStart,1,1))+1),""))</f>
        <v/>
      </c>
    </row>
    <row r="75" spans="1:17" ht="24" customHeight="1">
      <c r="A75" s="14">
        <v>71</v>
      </c>
      <c r="B75" s="15"/>
      <c r="C75" s="16"/>
      <c r="D75" s="16"/>
      <c r="E75" s="17"/>
      <c r="F75" s="18"/>
      <c r="G75" s="18"/>
      <c r="H75" s="18"/>
      <c r="I75" s="19"/>
      <c r="J75" s="19"/>
      <c r="K75" s="18"/>
      <c r="L75" s="18"/>
      <c r="M75" s="18"/>
      <c r="N75" s="17"/>
      <c r="O75" s="17"/>
      <c r="P75" s="17"/>
      <c r="Q75" s="20" t="str">
        <f>IF(OR(B75="",J75=""),"",IF(SUMPRODUCT((J75&gt;=HolidayStart)*(J75&lt;=HolidayEnd)*(HolidayStart&lt;&gt;""))&gt;0,"Conflict: "&amp;INDEX(HolidayName,SUMPRODUCT((J75&gt;=HolidayStart)*(J75&lt;=HolidayEnd)*(HolidayStart&lt;&gt;"")*ROW(HolidayStart))-ROW(INDEX(HolidayStart,1,1))+1),""))</f>
        <v/>
      </c>
    </row>
    <row r="76" spans="1:17" ht="24" customHeight="1">
      <c r="A76" s="21">
        <v>72</v>
      </c>
      <c r="B76" s="22"/>
      <c r="C76" s="23"/>
      <c r="D76" s="23"/>
      <c r="E76" s="24"/>
      <c r="F76" s="25"/>
      <c r="G76" s="25"/>
      <c r="H76" s="25"/>
      <c r="I76" s="26"/>
      <c r="J76" s="26"/>
      <c r="K76" s="25"/>
      <c r="L76" s="25"/>
      <c r="M76" s="25"/>
      <c r="N76" s="24"/>
      <c r="O76" s="24"/>
      <c r="P76" s="24"/>
      <c r="Q76" s="27" t="str">
        <f>IF(OR(B76="",J76=""),"",IF(SUMPRODUCT((J76&gt;=HolidayStart)*(J76&lt;=HolidayEnd)*(HolidayStart&lt;&gt;""))&gt;0,"Conflict: "&amp;INDEX(HolidayName,SUMPRODUCT((J76&gt;=HolidayStart)*(J76&lt;=HolidayEnd)*(HolidayStart&lt;&gt;"")*ROW(HolidayStart))-ROW(INDEX(HolidayStart,1,1))+1),""))</f>
        <v/>
      </c>
    </row>
    <row r="77" spans="1:17" ht="24" customHeight="1">
      <c r="A77" s="14">
        <v>73</v>
      </c>
      <c r="B77" s="15"/>
      <c r="C77" s="16"/>
      <c r="D77" s="16"/>
      <c r="E77" s="17"/>
      <c r="F77" s="18"/>
      <c r="G77" s="18"/>
      <c r="H77" s="18"/>
      <c r="I77" s="19"/>
      <c r="J77" s="19"/>
      <c r="K77" s="18"/>
      <c r="L77" s="18"/>
      <c r="M77" s="18"/>
      <c r="N77" s="17"/>
      <c r="O77" s="17"/>
      <c r="P77" s="17"/>
      <c r="Q77" s="20" t="str">
        <f>IF(OR(B77="",J77=""),"",IF(SUMPRODUCT((J77&gt;=HolidayStart)*(J77&lt;=HolidayEnd)*(HolidayStart&lt;&gt;""))&gt;0,"Conflict: "&amp;INDEX(HolidayName,SUMPRODUCT((J77&gt;=HolidayStart)*(J77&lt;=HolidayEnd)*(HolidayStart&lt;&gt;"")*ROW(HolidayStart))-ROW(INDEX(HolidayStart,1,1))+1),""))</f>
        <v/>
      </c>
    </row>
    <row r="78" spans="1:17" ht="24" customHeight="1">
      <c r="A78" s="21">
        <v>74</v>
      </c>
      <c r="B78" s="22"/>
      <c r="C78" s="23"/>
      <c r="D78" s="23"/>
      <c r="E78" s="24"/>
      <c r="F78" s="25"/>
      <c r="G78" s="25"/>
      <c r="H78" s="25"/>
      <c r="I78" s="26"/>
      <c r="J78" s="26"/>
      <c r="K78" s="25"/>
      <c r="L78" s="25"/>
      <c r="M78" s="25"/>
      <c r="N78" s="24"/>
      <c r="O78" s="24"/>
      <c r="P78" s="24"/>
      <c r="Q78" s="27" t="str">
        <f>IF(OR(B78="",J78=""),"",IF(SUMPRODUCT((J78&gt;=HolidayStart)*(J78&lt;=HolidayEnd)*(HolidayStart&lt;&gt;""))&gt;0,"Conflict: "&amp;INDEX(HolidayName,SUMPRODUCT((J78&gt;=HolidayStart)*(J78&lt;=HolidayEnd)*(HolidayStart&lt;&gt;"")*ROW(HolidayStart))-ROW(INDEX(HolidayStart,1,1))+1),""))</f>
        <v/>
      </c>
    </row>
    <row r="79" spans="1:17" ht="24" customHeight="1">
      <c r="A79" s="14">
        <v>75</v>
      </c>
      <c r="B79" s="15"/>
      <c r="C79" s="16"/>
      <c r="D79" s="16"/>
      <c r="E79" s="17"/>
      <c r="F79" s="18"/>
      <c r="G79" s="18"/>
      <c r="H79" s="18"/>
      <c r="I79" s="19"/>
      <c r="J79" s="19"/>
      <c r="K79" s="18"/>
      <c r="L79" s="18"/>
      <c r="M79" s="18"/>
      <c r="N79" s="17"/>
      <c r="O79" s="17"/>
      <c r="P79" s="17"/>
      <c r="Q79" s="20" t="str">
        <f>IF(OR(B79="",J79=""),"",IF(SUMPRODUCT((J79&gt;=HolidayStart)*(J79&lt;=HolidayEnd)*(HolidayStart&lt;&gt;""))&gt;0,"Conflict: "&amp;INDEX(HolidayName,SUMPRODUCT((J79&gt;=HolidayStart)*(J79&lt;=HolidayEnd)*(HolidayStart&lt;&gt;"")*ROW(HolidayStart))-ROW(INDEX(HolidayStart,1,1))+1),""))</f>
        <v/>
      </c>
    </row>
    <row r="80" spans="1:17" ht="24" customHeight="1">
      <c r="A80" s="21">
        <v>76</v>
      </c>
      <c r="B80" s="22"/>
      <c r="C80" s="23"/>
      <c r="D80" s="23"/>
      <c r="E80" s="24"/>
      <c r="F80" s="25"/>
      <c r="G80" s="25"/>
      <c r="H80" s="25"/>
      <c r="I80" s="26"/>
      <c r="J80" s="26"/>
      <c r="K80" s="25"/>
      <c r="L80" s="25"/>
      <c r="M80" s="25"/>
      <c r="N80" s="24"/>
      <c r="O80" s="24"/>
      <c r="P80" s="24"/>
      <c r="Q80" s="27" t="str">
        <f>IF(OR(B80="",J80=""),"",IF(SUMPRODUCT((J80&gt;=HolidayStart)*(J80&lt;=HolidayEnd)*(HolidayStart&lt;&gt;""))&gt;0,"Conflict: "&amp;INDEX(HolidayName,SUMPRODUCT((J80&gt;=HolidayStart)*(J80&lt;=HolidayEnd)*(HolidayStart&lt;&gt;"")*ROW(HolidayStart))-ROW(INDEX(HolidayStart,1,1))+1),""))</f>
        <v/>
      </c>
    </row>
    <row r="81" spans="1:17" ht="24" customHeight="1">
      <c r="A81" s="14">
        <v>77</v>
      </c>
      <c r="B81" s="15"/>
      <c r="C81" s="16"/>
      <c r="D81" s="16"/>
      <c r="E81" s="17"/>
      <c r="F81" s="18"/>
      <c r="G81" s="18"/>
      <c r="H81" s="18"/>
      <c r="I81" s="19"/>
      <c r="J81" s="19"/>
      <c r="K81" s="18"/>
      <c r="L81" s="18"/>
      <c r="M81" s="18"/>
      <c r="N81" s="17"/>
      <c r="O81" s="17"/>
      <c r="P81" s="17"/>
      <c r="Q81" s="20" t="str">
        <f>IF(OR(B81="",J81=""),"",IF(SUMPRODUCT((J81&gt;=HolidayStart)*(J81&lt;=HolidayEnd)*(HolidayStart&lt;&gt;""))&gt;0,"Conflict: "&amp;INDEX(HolidayName,SUMPRODUCT((J81&gt;=HolidayStart)*(J81&lt;=HolidayEnd)*(HolidayStart&lt;&gt;"")*ROW(HolidayStart))-ROW(INDEX(HolidayStart,1,1))+1),""))</f>
        <v/>
      </c>
    </row>
    <row r="82" spans="1:17" ht="24" customHeight="1">
      <c r="A82" s="21">
        <v>78</v>
      </c>
      <c r="B82" s="22"/>
      <c r="C82" s="23"/>
      <c r="D82" s="23"/>
      <c r="E82" s="24"/>
      <c r="F82" s="25"/>
      <c r="G82" s="25"/>
      <c r="H82" s="25"/>
      <c r="I82" s="26"/>
      <c r="J82" s="26"/>
      <c r="K82" s="25"/>
      <c r="L82" s="25"/>
      <c r="M82" s="25"/>
      <c r="N82" s="24"/>
      <c r="O82" s="24"/>
      <c r="P82" s="24"/>
      <c r="Q82" s="27" t="str">
        <f>IF(OR(B82="",J82=""),"",IF(SUMPRODUCT((J82&gt;=HolidayStart)*(J82&lt;=HolidayEnd)*(HolidayStart&lt;&gt;""))&gt;0,"Conflict: "&amp;INDEX(HolidayName,SUMPRODUCT((J82&gt;=HolidayStart)*(J82&lt;=HolidayEnd)*(HolidayStart&lt;&gt;"")*ROW(HolidayStart))-ROW(INDEX(HolidayStart,1,1))+1),""))</f>
        <v/>
      </c>
    </row>
    <row r="83" spans="1:17" ht="24" customHeight="1">
      <c r="A83" s="14">
        <v>79</v>
      </c>
      <c r="B83" s="15"/>
      <c r="C83" s="16"/>
      <c r="D83" s="16"/>
      <c r="E83" s="17"/>
      <c r="F83" s="18"/>
      <c r="G83" s="18"/>
      <c r="H83" s="18"/>
      <c r="I83" s="19"/>
      <c r="J83" s="19"/>
      <c r="K83" s="18"/>
      <c r="L83" s="18"/>
      <c r="M83" s="18"/>
      <c r="N83" s="17"/>
      <c r="O83" s="17"/>
      <c r="P83" s="17"/>
      <c r="Q83" s="20" t="str">
        <f>IF(OR(B83="",J83=""),"",IF(SUMPRODUCT((J83&gt;=HolidayStart)*(J83&lt;=HolidayEnd)*(HolidayStart&lt;&gt;""))&gt;0,"Conflict: "&amp;INDEX(HolidayName,SUMPRODUCT((J83&gt;=HolidayStart)*(J83&lt;=HolidayEnd)*(HolidayStart&lt;&gt;"")*ROW(HolidayStart))-ROW(INDEX(HolidayStart,1,1))+1),""))</f>
        <v/>
      </c>
    </row>
    <row r="84" spans="1:17" ht="24" customHeight="1">
      <c r="A84" s="21">
        <v>80</v>
      </c>
      <c r="B84" s="22"/>
      <c r="C84" s="23"/>
      <c r="D84" s="23"/>
      <c r="E84" s="24"/>
      <c r="F84" s="25"/>
      <c r="G84" s="25"/>
      <c r="H84" s="25"/>
      <c r="I84" s="26"/>
      <c r="J84" s="26"/>
      <c r="K84" s="25"/>
      <c r="L84" s="25"/>
      <c r="M84" s="25"/>
      <c r="N84" s="24"/>
      <c r="O84" s="24"/>
      <c r="P84" s="24"/>
      <c r="Q84" s="27" t="str">
        <f>IF(OR(B84="",J84=""),"",IF(SUMPRODUCT((J84&gt;=HolidayStart)*(J84&lt;=HolidayEnd)*(HolidayStart&lt;&gt;""))&gt;0,"Conflict: "&amp;INDEX(HolidayName,SUMPRODUCT((J84&gt;=HolidayStart)*(J84&lt;=HolidayEnd)*(HolidayStart&lt;&gt;"")*ROW(HolidayStart))-ROW(INDEX(HolidayStart,1,1))+1),""))</f>
        <v/>
      </c>
    </row>
    <row r="85" spans="1:17" ht="24" customHeight="1">
      <c r="A85" s="14">
        <v>81</v>
      </c>
      <c r="B85" s="15"/>
      <c r="C85" s="16"/>
      <c r="D85" s="16"/>
      <c r="E85" s="17"/>
      <c r="F85" s="18"/>
      <c r="G85" s="18"/>
      <c r="H85" s="18"/>
      <c r="I85" s="19"/>
      <c r="J85" s="19"/>
      <c r="K85" s="18"/>
      <c r="L85" s="18"/>
      <c r="M85" s="18"/>
      <c r="N85" s="17"/>
      <c r="O85" s="17"/>
      <c r="P85" s="17"/>
      <c r="Q85" s="20" t="str">
        <f>IF(OR(B85="",J85=""),"",IF(SUMPRODUCT((J85&gt;=HolidayStart)*(J85&lt;=HolidayEnd)*(HolidayStart&lt;&gt;""))&gt;0,"Conflict: "&amp;INDEX(HolidayName,SUMPRODUCT((J85&gt;=HolidayStart)*(J85&lt;=HolidayEnd)*(HolidayStart&lt;&gt;"")*ROW(HolidayStart))-ROW(INDEX(HolidayStart,1,1))+1),""))</f>
        <v/>
      </c>
    </row>
    <row r="86" spans="1:17" ht="24" customHeight="1">
      <c r="A86" s="21">
        <v>82</v>
      </c>
      <c r="B86" s="22"/>
      <c r="C86" s="23"/>
      <c r="D86" s="23"/>
      <c r="E86" s="24"/>
      <c r="F86" s="25"/>
      <c r="G86" s="25"/>
      <c r="H86" s="25"/>
      <c r="I86" s="26"/>
      <c r="J86" s="26"/>
      <c r="K86" s="25"/>
      <c r="L86" s="25"/>
      <c r="M86" s="25"/>
      <c r="N86" s="24"/>
      <c r="O86" s="24"/>
      <c r="P86" s="24"/>
      <c r="Q86" s="27" t="str">
        <f>IF(OR(B86="",J86=""),"",IF(SUMPRODUCT((J86&gt;=HolidayStart)*(J86&lt;=HolidayEnd)*(HolidayStart&lt;&gt;""))&gt;0,"Conflict: "&amp;INDEX(HolidayName,SUMPRODUCT((J86&gt;=HolidayStart)*(J86&lt;=HolidayEnd)*(HolidayStart&lt;&gt;"")*ROW(HolidayStart))-ROW(INDEX(HolidayStart,1,1))+1),""))</f>
        <v/>
      </c>
    </row>
    <row r="87" spans="1:17" ht="24" customHeight="1">
      <c r="A87" s="14">
        <v>83</v>
      </c>
      <c r="B87" s="15"/>
      <c r="C87" s="16"/>
      <c r="D87" s="16"/>
      <c r="E87" s="17"/>
      <c r="F87" s="18"/>
      <c r="G87" s="18"/>
      <c r="H87" s="18"/>
      <c r="I87" s="19"/>
      <c r="J87" s="19"/>
      <c r="K87" s="18"/>
      <c r="L87" s="18"/>
      <c r="M87" s="18"/>
      <c r="N87" s="17"/>
      <c r="O87" s="17"/>
      <c r="P87" s="17"/>
      <c r="Q87" s="20" t="str">
        <f>IF(OR(B87="",J87=""),"",IF(SUMPRODUCT((J87&gt;=HolidayStart)*(J87&lt;=HolidayEnd)*(HolidayStart&lt;&gt;""))&gt;0,"Conflict: "&amp;INDEX(HolidayName,SUMPRODUCT((J87&gt;=HolidayStart)*(J87&lt;=HolidayEnd)*(HolidayStart&lt;&gt;"")*ROW(HolidayStart))-ROW(INDEX(HolidayStart,1,1))+1),""))</f>
        <v/>
      </c>
    </row>
    <row r="88" spans="1:17" ht="24" customHeight="1">
      <c r="A88" s="21">
        <v>84</v>
      </c>
      <c r="B88" s="22"/>
      <c r="C88" s="23"/>
      <c r="D88" s="23"/>
      <c r="E88" s="24"/>
      <c r="F88" s="25"/>
      <c r="G88" s="25"/>
      <c r="H88" s="25"/>
      <c r="I88" s="26"/>
      <c r="J88" s="26"/>
      <c r="K88" s="25"/>
      <c r="L88" s="25"/>
      <c r="M88" s="25"/>
      <c r="N88" s="24"/>
      <c r="O88" s="24"/>
      <c r="P88" s="24"/>
      <c r="Q88" s="27" t="str">
        <f>IF(OR(B88="",J88=""),"",IF(SUMPRODUCT((J88&gt;=HolidayStart)*(J88&lt;=HolidayEnd)*(HolidayStart&lt;&gt;""))&gt;0,"Conflict: "&amp;INDEX(HolidayName,SUMPRODUCT((J88&gt;=HolidayStart)*(J88&lt;=HolidayEnd)*(HolidayStart&lt;&gt;"")*ROW(HolidayStart))-ROW(INDEX(HolidayStart,1,1))+1),""))</f>
        <v/>
      </c>
    </row>
    <row r="89" spans="1:17" ht="24" customHeight="1">
      <c r="A89" s="14">
        <v>85</v>
      </c>
      <c r="B89" s="15"/>
      <c r="C89" s="16"/>
      <c r="D89" s="16"/>
      <c r="E89" s="17"/>
      <c r="F89" s="18"/>
      <c r="G89" s="18"/>
      <c r="H89" s="18"/>
      <c r="I89" s="19"/>
      <c r="J89" s="19"/>
      <c r="K89" s="18"/>
      <c r="L89" s="18"/>
      <c r="M89" s="18"/>
      <c r="N89" s="17"/>
      <c r="O89" s="17"/>
      <c r="P89" s="17"/>
      <c r="Q89" s="20" t="str">
        <f>IF(OR(B89="",J89=""),"",IF(SUMPRODUCT((J89&gt;=HolidayStart)*(J89&lt;=HolidayEnd)*(HolidayStart&lt;&gt;""))&gt;0,"Conflict: "&amp;INDEX(HolidayName,SUMPRODUCT((J89&gt;=HolidayStart)*(J89&lt;=HolidayEnd)*(HolidayStart&lt;&gt;"")*ROW(HolidayStart))-ROW(INDEX(HolidayStart,1,1))+1),""))</f>
        <v/>
      </c>
    </row>
    <row r="90" spans="1:17" ht="24" customHeight="1">
      <c r="A90" s="21">
        <v>86</v>
      </c>
      <c r="B90" s="22"/>
      <c r="C90" s="23"/>
      <c r="D90" s="23"/>
      <c r="E90" s="24"/>
      <c r="F90" s="25"/>
      <c r="G90" s="25"/>
      <c r="H90" s="25"/>
      <c r="I90" s="26"/>
      <c r="J90" s="26"/>
      <c r="K90" s="25"/>
      <c r="L90" s="25"/>
      <c r="M90" s="25"/>
      <c r="N90" s="24"/>
      <c r="O90" s="24"/>
      <c r="P90" s="24"/>
      <c r="Q90" s="27" t="str">
        <f>IF(OR(B90="",J90=""),"",IF(SUMPRODUCT((J90&gt;=HolidayStart)*(J90&lt;=HolidayEnd)*(HolidayStart&lt;&gt;""))&gt;0,"Conflict: "&amp;INDEX(HolidayName,SUMPRODUCT((J90&gt;=HolidayStart)*(J90&lt;=HolidayEnd)*(HolidayStart&lt;&gt;"")*ROW(HolidayStart))-ROW(INDEX(HolidayStart,1,1))+1),""))</f>
        <v/>
      </c>
    </row>
    <row r="91" spans="1:17" ht="24" customHeight="1">
      <c r="A91" s="14">
        <v>87</v>
      </c>
      <c r="B91" s="15"/>
      <c r="C91" s="16"/>
      <c r="D91" s="16"/>
      <c r="E91" s="17"/>
      <c r="F91" s="18"/>
      <c r="G91" s="18"/>
      <c r="H91" s="18"/>
      <c r="I91" s="19"/>
      <c r="J91" s="19"/>
      <c r="K91" s="18"/>
      <c r="L91" s="18"/>
      <c r="M91" s="18"/>
      <c r="N91" s="17"/>
      <c r="O91" s="17"/>
      <c r="P91" s="17"/>
      <c r="Q91" s="20" t="str">
        <f>IF(OR(B91="",J91=""),"",IF(SUMPRODUCT((J91&gt;=HolidayStart)*(J91&lt;=HolidayEnd)*(HolidayStart&lt;&gt;""))&gt;0,"Conflict: "&amp;INDEX(HolidayName,SUMPRODUCT((J91&gt;=HolidayStart)*(J91&lt;=HolidayEnd)*(HolidayStart&lt;&gt;"")*ROW(HolidayStart))-ROW(INDEX(HolidayStart,1,1))+1),""))</f>
        <v/>
      </c>
    </row>
    <row r="92" spans="1:17" ht="24" customHeight="1">
      <c r="A92" s="21">
        <v>88</v>
      </c>
      <c r="B92" s="22"/>
      <c r="C92" s="23"/>
      <c r="D92" s="23"/>
      <c r="E92" s="24"/>
      <c r="F92" s="25"/>
      <c r="G92" s="25"/>
      <c r="H92" s="25"/>
      <c r="I92" s="26"/>
      <c r="J92" s="26"/>
      <c r="K92" s="25"/>
      <c r="L92" s="25"/>
      <c r="M92" s="25"/>
      <c r="N92" s="24"/>
      <c r="O92" s="24"/>
      <c r="P92" s="24"/>
      <c r="Q92" s="27" t="str">
        <f>IF(OR(B92="",J92=""),"",IF(SUMPRODUCT((J92&gt;=HolidayStart)*(J92&lt;=HolidayEnd)*(HolidayStart&lt;&gt;""))&gt;0,"Conflict: "&amp;INDEX(HolidayName,SUMPRODUCT((J92&gt;=HolidayStart)*(J92&lt;=HolidayEnd)*(HolidayStart&lt;&gt;"")*ROW(HolidayStart))-ROW(INDEX(HolidayStart,1,1))+1),""))</f>
        <v/>
      </c>
    </row>
    <row r="93" spans="1:17" ht="24" customHeight="1">
      <c r="A93" s="14">
        <v>89</v>
      </c>
      <c r="B93" s="15"/>
      <c r="C93" s="16"/>
      <c r="D93" s="16"/>
      <c r="E93" s="17"/>
      <c r="F93" s="18"/>
      <c r="G93" s="18"/>
      <c r="H93" s="18"/>
      <c r="I93" s="19"/>
      <c r="J93" s="19"/>
      <c r="K93" s="18"/>
      <c r="L93" s="18"/>
      <c r="M93" s="18"/>
      <c r="N93" s="17"/>
      <c r="O93" s="17"/>
      <c r="P93" s="17"/>
      <c r="Q93" s="20" t="str">
        <f>IF(OR(B93="",J93=""),"",IF(SUMPRODUCT((J93&gt;=HolidayStart)*(J93&lt;=HolidayEnd)*(HolidayStart&lt;&gt;""))&gt;0,"Conflict: "&amp;INDEX(HolidayName,SUMPRODUCT((J93&gt;=HolidayStart)*(J93&lt;=HolidayEnd)*(HolidayStart&lt;&gt;"")*ROW(HolidayStart))-ROW(INDEX(HolidayStart,1,1))+1),""))</f>
        <v/>
      </c>
    </row>
    <row r="94" spans="1:17" ht="24" customHeight="1">
      <c r="A94" s="21">
        <v>90</v>
      </c>
      <c r="B94" s="22"/>
      <c r="C94" s="23"/>
      <c r="D94" s="23"/>
      <c r="E94" s="24"/>
      <c r="F94" s="25"/>
      <c r="G94" s="25"/>
      <c r="H94" s="25"/>
      <c r="I94" s="26"/>
      <c r="J94" s="26"/>
      <c r="K94" s="25"/>
      <c r="L94" s="25"/>
      <c r="M94" s="25"/>
      <c r="N94" s="24"/>
      <c r="O94" s="24"/>
      <c r="P94" s="24"/>
      <c r="Q94" s="27" t="str">
        <f>IF(OR(B94="",J94=""),"",IF(SUMPRODUCT((J94&gt;=HolidayStart)*(J94&lt;=HolidayEnd)*(HolidayStart&lt;&gt;""))&gt;0,"Conflict: "&amp;INDEX(HolidayName,SUMPRODUCT((J94&gt;=HolidayStart)*(J94&lt;=HolidayEnd)*(HolidayStart&lt;&gt;"")*ROW(HolidayStart))-ROW(INDEX(HolidayStart,1,1))+1),""))</f>
        <v/>
      </c>
    </row>
    <row r="95" spans="1:17" ht="24" customHeight="1">
      <c r="A95" s="14">
        <v>91</v>
      </c>
      <c r="B95" s="15"/>
      <c r="C95" s="16"/>
      <c r="D95" s="16"/>
      <c r="E95" s="17"/>
      <c r="F95" s="18"/>
      <c r="G95" s="18"/>
      <c r="H95" s="18"/>
      <c r="I95" s="19"/>
      <c r="J95" s="19"/>
      <c r="K95" s="18"/>
      <c r="L95" s="18"/>
      <c r="M95" s="18"/>
      <c r="N95" s="17"/>
      <c r="O95" s="17"/>
      <c r="P95" s="17"/>
      <c r="Q95" s="20" t="str">
        <f>IF(OR(B95="",J95=""),"",IF(SUMPRODUCT((J95&gt;=HolidayStart)*(J95&lt;=HolidayEnd)*(HolidayStart&lt;&gt;""))&gt;0,"Conflict: "&amp;INDEX(HolidayName,SUMPRODUCT((J95&gt;=HolidayStart)*(J95&lt;=HolidayEnd)*(HolidayStart&lt;&gt;"")*ROW(HolidayStart))-ROW(INDEX(HolidayStart,1,1))+1),""))</f>
        <v/>
      </c>
    </row>
    <row r="96" spans="1:17" ht="24" customHeight="1">
      <c r="A96" s="21">
        <v>92</v>
      </c>
      <c r="B96" s="22"/>
      <c r="C96" s="23"/>
      <c r="D96" s="23"/>
      <c r="E96" s="24"/>
      <c r="F96" s="25"/>
      <c r="G96" s="25"/>
      <c r="H96" s="25"/>
      <c r="I96" s="26"/>
      <c r="J96" s="26"/>
      <c r="K96" s="25"/>
      <c r="L96" s="25"/>
      <c r="M96" s="25"/>
      <c r="N96" s="24"/>
      <c r="O96" s="24"/>
      <c r="P96" s="24"/>
      <c r="Q96" s="27" t="str">
        <f>IF(OR(B96="",J96=""),"",IF(SUMPRODUCT((J96&gt;=HolidayStart)*(J96&lt;=HolidayEnd)*(HolidayStart&lt;&gt;""))&gt;0,"Conflict: "&amp;INDEX(HolidayName,SUMPRODUCT((J96&gt;=HolidayStart)*(J96&lt;=HolidayEnd)*(HolidayStart&lt;&gt;"")*ROW(HolidayStart))-ROW(INDEX(HolidayStart,1,1))+1),""))</f>
        <v/>
      </c>
    </row>
    <row r="97" spans="1:17" ht="24" customHeight="1">
      <c r="A97" s="14">
        <v>93</v>
      </c>
      <c r="B97" s="15"/>
      <c r="C97" s="16"/>
      <c r="D97" s="16"/>
      <c r="E97" s="17"/>
      <c r="F97" s="18"/>
      <c r="G97" s="18"/>
      <c r="H97" s="18"/>
      <c r="I97" s="19"/>
      <c r="J97" s="19"/>
      <c r="K97" s="18"/>
      <c r="L97" s="18"/>
      <c r="M97" s="18"/>
      <c r="N97" s="17"/>
      <c r="O97" s="17"/>
      <c r="P97" s="17"/>
      <c r="Q97" s="20" t="str">
        <f>IF(OR(B97="",J97=""),"",IF(SUMPRODUCT((J97&gt;=HolidayStart)*(J97&lt;=HolidayEnd)*(HolidayStart&lt;&gt;""))&gt;0,"Conflict: "&amp;INDEX(HolidayName,SUMPRODUCT((J97&gt;=HolidayStart)*(J97&lt;=HolidayEnd)*(HolidayStart&lt;&gt;"")*ROW(HolidayStart))-ROW(INDEX(HolidayStart,1,1))+1),""))</f>
        <v/>
      </c>
    </row>
    <row r="98" spans="1:17" ht="24" customHeight="1">
      <c r="A98" s="21">
        <v>94</v>
      </c>
      <c r="B98" s="22"/>
      <c r="C98" s="23"/>
      <c r="D98" s="23"/>
      <c r="E98" s="24"/>
      <c r="F98" s="25"/>
      <c r="G98" s="25"/>
      <c r="H98" s="25"/>
      <c r="I98" s="26"/>
      <c r="J98" s="26"/>
      <c r="K98" s="25"/>
      <c r="L98" s="25"/>
      <c r="M98" s="25"/>
      <c r="N98" s="24"/>
      <c r="O98" s="24"/>
      <c r="P98" s="24"/>
      <c r="Q98" s="27" t="str">
        <f>IF(OR(B98="",J98=""),"",IF(SUMPRODUCT((J98&gt;=HolidayStart)*(J98&lt;=HolidayEnd)*(HolidayStart&lt;&gt;""))&gt;0,"Conflict: "&amp;INDEX(HolidayName,SUMPRODUCT((J98&gt;=HolidayStart)*(J98&lt;=HolidayEnd)*(HolidayStart&lt;&gt;"")*ROW(HolidayStart))-ROW(INDEX(HolidayStart,1,1))+1),""))</f>
        <v/>
      </c>
    </row>
    <row r="99" spans="1:17" ht="24" customHeight="1">
      <c r="A99" s="14">
        <v>95</v>
      </c>
      <c r="B99" s="15"/>
      <c r="C99" s="16"/>
      <c r="D99" s="16"/>
      <c r="E99" s="17"/>
      <c r="F99" s="18"/>
      <c r="G99" s="18"/>
      <c r="H99" s="18"/>
      <c r="I99" s="19"/>
      <c r="J99" s="19"/>
      <c r="K99" s="18"/>
      <c r="L99" s="18"/>
      <c r="M99" s="18"/>
      <c r="N99" s="17"/>
      <c r="O99" s="17"/>
      <c r="P99" s="17"/>
      <c r="Q99" s="20" t="str">
        <f>IF(OR(B99="",J99=""),"",IF(SUMPRODUCT((J99&gt;=HolidayStart)*(J99&lt;=HolidayEnd)*(HolidayStart&lt;&gt;""))&gt;0,"Conflict: "&amp;INDEX(HolidayName,SUMPRODUCT((J99&gt;=HolidayStart)*(J99&lt;=HolidayEnd)*(HolidayStart&lt;&gt;"")*ROW(HolidayStart))-ROW(INDEX(HolidayStart,1,1))+1),""))</f>
        <v/>
      </c>
    </row>
    <row r="100" spans="1:17" ht="24" customHeight="1">
      <c r="A100" s="21">
        <v>96</v>
      </c>
      <c r="B100" s="22"/>
      <c r="C100" s="23"/>
      <c r="D100" s="23"/>
      <c r="E100" s="24"/>
      <c r="F100" s="25"/>
      <c r="G100" s="25"/>
      <c r="H100" s="25"/>
      <c r="I100" s="26"/>
      <c r="J100" s="26"/>
      <c r="K100" s="25"/>
      <c r="L100" s="25"/>
      <c r="M100" s="25"/>
      <c r="N100" s="24"/>
      <c r="O100" s="24"/>
      <c r="P100" s="24"/>
      <c r="Q100" s="27" t="str">
        <f>IF(OR(B100="",J100=""),"",IF(SUMPRODUCT((J100&gt;=HolidayStart)*(J100&lt;=HolidayEnd)*(HolidayStart&lt;&gt;""))&gt;0,"Conflict: "&amp;INDEX(HolidayName,SUMPRODUCT((J100&gt;=HolidayStart)*(J100&lt;=HolidayEnd)*(HolidayStart&lt;&gt;"")*ROW(HolidayStart))-ROW(INDEX(HolidayStart,1,1))+1),""))</f>
        <v/>
      </c>
    </row>
    <row r="101" spans="1:17" ht="24" customHeight="1">
      <c r="A101" s="14">
        <v>97</v>
      </c>
      <c r="B101" s="15"/>
      <c r="C101" s="16"/>
      <c r="D101" s="16"/>
      <c r="E101" s="17"/>
      <c r="F101" s="18"/>
      <c r="G101" s="18"/>
      <c r="H101" s="18"/>
      <c r="I101" s="19"/>
      <c r="J101" s="19"/>
      <c r="K101" s="18"/>
      <c r="L101" s="18"/>
      <c r="M101" s="18"/>
      <c r="N101" s="17"/>
      <c r="O101" s="17"/>
      <c r="P101" s="17"/>
      <c r="Q101" s="20" t="str">
        <f>IF(OR(B101="",J101=""),"",IF(SUMPRODUCT((J101&gt;=HolidayStart)*(J101&lt;=HolidayEnd)*(HolidayStart&lt;&gt;""))&gt;0,"Conflict: "&amp;INDEX(HolidayName,SUMPRODUCT((J101&gt;=HolidayStart)*(J101&lt;=HolidayEnd)*(HolidayStart&lt;&gt;"")*ROW(HolidayStart))-ROW(INDEX(HolidayStart,1,1))+1),""))</f>
        <v/>
      </c>
    </row>
    <row r="102" spans="1:17" ht="24" customHeight="1">
      <c r="A102" s="21">
        <v>98</v>
      </c>
      <c r="B102" s="22"/>
      <c r="C102" s="23"/>
      <c r="D102" s="23"/>
      <c r="E102" s="24"/>
      <c r="F102" s="25"/>
      <c r="G102" s="25"/>
      <c r="H102" s="25"/>
      <c r="I102" s="26"/>
      <c r="J102" s="26"/>
      <c r="K102" s="25"/>
      <c r="L102" s="25"/>
      <c r="M102" s="25"/>
      <c r="N102" s="24"/>
      <c r="O102" s="24"/>
      <c r="P102" s="24"/>
      <c r="Q102" s="27" t="str">
        <f>IF(OR(B102="",J102=""),"",IF(SUMPRODUCT((J102&gt;=HolidayStart)*(J102&lt;=HolidayEnd)*(HolidayStart&lt;&gt;""))&gt;0,"Conflict: "&amp;INDEX(HolidayName,SUMPRODUCT((J102&gt;=HolidayStart)*(J102&lt;=HolidayEnd)*(HolidayStart&lt;&gt;"")*ROW(HolidayStart))-ROW(INDEX(HolidayStart,1,1))+1),""))</f>
        <v/>
      </c>
    </row>
    <row r="103" spans="1:17" ht="24" customHeight="1">
      <c r="A103" s="14">
        <v>99</v>
      </c>
      <c r="B103" s="15"/>
      <c r="C103" s="16"/>
      <c r="D103" s="16"/>
      <c r="E103" s="17"/>
      <c r="F103" s="18"/>
      <c r="G103" s="18"/>
      <c r="H103" s="18"/>
      <c r="I103" s="19"/>
      <c r="J103" s="19"/>
      <c r="K103" s="18"/>
      <c r="L103" s="18"/>
      <c r="M103" s="18"/>
      <c r="N103" s="17"/>
      <c r="O103" s="17"/>
      <c r="P103" s="17"/>
      <c r="Q103" s="20" t="str">
        <f>IF(OR(B103="",J103=""),"",IF(SUMPRODUCT((J103&gt;=HolidayStart)*(J103&lt;=HolidayEnd)*(HolidayStart&lt;&gt;""))&gt;0,"Conflict: "&amp;INDEX(HolidayName,SUMPRODUCT((J103&gt;=HolidayStart)*(J103&lt;=HolidayEnd)*(HolidayStart&lt;&gt;"")*ROW(HolidayStart))-ROW(INDEX(HolidayStart,1,1))+1),""))</f>
        <v/>
      </c>
    </row>
    <row r="104" spans="1:17" ht="24" customHeight="1">
      <c r="A104" s="21">
        <v>100</v>
      </c>
      <c r="B104" s="22"/>
      <c r="C104" s="23"/>
      <c r="D104" s="23"/>
      <c r="E104" s="24"/>
      <c r="F104" s="25"/>
      <c r="G104" s="25"/>
      <c r="H104" s="25"/>
      <c r="I104" s="26"/>
      <c r="J104" s="26"/>
      <c r="K104" s="25"/>
      <c r="L104" s="25"/>
      <c r="M104" s="25"/>
      <c r="N104" s="24"/>
      <c r="O104" s="24"/>
      <c r="P104" s="24"/>
      <c r="Q104" s="27" t="str">
        <f>IF(OR(B104="",J104=""),"",IF(SUMPRODUCT((J104&gt;=HolidayStart)*(J104&lt;=HolidayEnd)*(HolidayStart&lt;&gt;""))&gt;0,"Conflict: "&amp;INDEX(HolidayName,SUMPRODUCT((J104&gt;=HolidayStart)*(J104&lt;=HolidayEnd)*(HolidayStart&lt;&gt;"")*ROW(HolidayStart))-ROW(INDEX(HolidayStart,1,1))+1),""))</f>
        <v/>
      </c>
    </row>
    <row r="105" spans="1:17" ht="24" customHeight="1">
      <c r="A105" s="14">
        <v>101</v>
      </c>
      <c r="B105" s="15"/>
      <c r="C105" s="16"/>
      <c r="D105" s="16"/>
      <c r="E105" s="17"/>
      <c r="F105" s="18"/>
      <c r="G105" s="18"/>
      <c r="H105" s="18"/>
      <c r="I105" s="19"/>
      <c r="J105" s="19"/>
      <c r="K105" s="18"/>
      <c r="L105" s="18"/>
      <c r="M105" s="18"/>
      <c r="N105" s="17"/>
      <c r="O105" s="17"/>
      <c r="P105" s="17"/>
      <c r="Q105" s="20" t="str">
        <f>IF(OR(B105="",J105=""),"",IF(SUMPRODUCT((J105&gt;=HolidayStart)*(J105&lt;=HolidayEnd)*(HolidayStart&lt;&gt;""))&gt;0,"Conflict: "&amp;INDEX(HolidayName,SUMPRODUCT((J105&gt;=HolidayStart)*(J105&lt;=HolidayEnd)*(HolidayStart&lt;&gt;"")*ROW(HolidayStart))-ROW(INDEX(HolidayStart,1,1))+1),""))</f>
        <v/>
      </c>
    </row>
    <row r="106" spans="1:17" ht="24" customHeight="1">
      <c r="A106" s="21">
        <v>102</v>
      </c>
      <c r="B106" s="22"/>
      <c r="C106" s="23"/>
      <c r="D106" s="23"/>
      <c r="E106" s="24"/>
      <c r="F106" s="25"/>
      <c r="G106" s="25"/>
      <c r="H106" s="25"/>
      <c r="I106" s="26"/>
      <c r="J106" s="26"/>
      <c r="K106" s="25"/>
      <c r="L106" s="25"/>
      <c r="M106" s="25"/>
      <c r="N106" s="24"/>
      <c r="O106" s="24"/>
      <c r="P106" s="24"/>
      <c r="Q106" s="27" t="str">
        <f>IF(OR(B106="",J106=""),"",IF(SUMPRODUCT((J106&gt;=HolidayStart)*(J106&lt;=HolidayEnd)*(HolidayStart&lt;&gt;""))&gt;0,"Conflict: "&amp;INDEX(HolidayName,SUMPRODUCT((J106&gt;=HolidayStart)*(J106&lt;=HolidayEnd)*(HolidayStart&lt;&gt;"")*ROW(HolidayStart))-ROW(INDEX(HolidayStart,1,1))+1),""))</f>
        <v/>
      </c>
    </row>
    <row r="107" spans="1:17" ht="24" customHeight="1">
      <c r="A107" s="14">
        <v>103</v>
      </c>
      <c r="B107" s="15"/>
      <c r="C107" s="16"/>
      <c r="D107" s="16"/>
      <c r="E107" s="17"/>
      <c r="F107" s="18"/>
      <c r="G107" s="18"/>
      <c r="H107" s="18"/>
      <c r="I107" s="19"/>
      <c r="J107" s="19"/>
      <c r="K107" s="18"/>
      <c r="L107" s="18"/>
      <c r="M107" s="18"/>
      <c r="N107" s="17"/>
      <c r="O107" s="17"/>
      <c r="P107" s="17"/>
      <c r="Q107" s="20" t="str">
        <f>IF(OR(B107="",J107=""),"",IF(SUMPRODUCT((J107&gt;=HolidayStart)*(J107&lt;=HolidayEnd)*(HolidayStart&lt;&gt;""))&gt;0,"Conflict: "&amp;INDEX(HolidayName,SUMPRODUCT((J107&gt;=HolidayStart)*(J107&lt;=HolidayEnd)*(HolidayStart&lt;&gt;"")*ROW(HolidayStart))-ROW(INDEX(HolidayStart,1,1))+1),""))</f>
        <v/>
      </c>
    </row>
    <row r="108" spans="1:17" ht="24" customHeight="1">
      <c r="A108" s="21">
        <v>104</v>
      </c>
      <c r="B108" s="22"/>
      <c r="C108" s="23"/>
      <c r="D108" s="23"/>
      <c r="E108" s="24"/>
      <c r="F108" s="25"/>
      <c r="G108" s="25"/>
      <c r="H108" s="25"/>
      <c r="I108" s="26"/>
      <c r="J108" s="26"/>
      <c r="K108" s="25"/>
      <c r="L108" s="25"/>
      <c r="M108" s="25"/>
      <c r="N108" s="24"/>
      <c r="O108" s="24"/>
      <c r="P108" s="24"/>
      <c r="Q108" s="27" t="str">
        <f>IF(OR(B108="",J108=""),"",IF(SUMPRODUCT((J108&gt;=HolidayStart)*(J108&lt;=HolidayEnd)*(HolidayStart&lt;&gt;""))&gt;0,"Conflict: "&amp;INDEX(HolidayName,SUMPRODUCT((J108&gt;=HolidayStart)*(J108&lt;=HolidayEnd)*(HolidayStart&lt;&gt;"")*ROW(HolidayStart))-ROW(INDEX(HolidayStart,1,1))+1),""))</f>
        <v/>
      </c>
    </row>
    <row r="109" spans="1:17" ht="24" customHeight="1">
      <c r="A109" s="14">
        <v>105</v>
      </c>
      <c r="B109" s="15"/>
      <c r="C109" s="16"/>
      <c r="D109" s="16"/>
      <c r="E109" s="17"/>
      <c r="F109" s="18"/>
      <c r="G109" s="18"/>
      <c r="H109" s="18"/>
      <c r="I109" s="19"/>
      <c r="J109" s="19"/>
      <c r="K109" s="18"/>
      <c r="L109" s="18"/>
      <c r="M109" s="18"/>
      <c r="N109" s="17"/>
      <c r="O109" s="17"/>
      <c r="P109" s="17"/>
      <c r="Q109" s="20" t="str">
        <f>IF(OR(B109="",J109=""),"",IF(SUMPRODUCT((J109&gt;=HolidayStart)*(J109&lt;=HolidayEnd)*(HolidayStart&lt;&gt;""))&gt;0,"Conflict: "&amp;INDEX(HolidayName,SUMPRODUCT((J109&gt;=HolidayStart)*(J109&lt;=HolidayEnd)*(HolidayStart&lt;&gt;"")*ROW(HolidayStart))-ROW(INDEX(HolidayStart,1,1))+1),""))</f>
        <v/>
      </c>
    </row>
    <row r="110" spans="1:17" ht="24" customHeight="1">
      <c r="A110" s="21">
        <v>106</v>
      </c>
      <c r="B110" s="22"/>
      <c r="C110" s="23"/>
      <c r="D110" s="23"/>
      <c r="E110" s="24"/>
      <c r="F110" s="25"/>
      <c r="G110" s="25"/>
      <c r="H110" s="25"/>
      <c r="I110" s="26"/>
      <c r="J110" s="26"/>
      <c r="K110" s="25"/>
      <c r="L110" s="25"/>
      <c r="M110" s="25"/>
      <c r="N110" s="24"/>
      <c r="O110" s="24"/>
      <c r="P110" s="24"/>
      <c r="Q110" s="27" t="str">
        <f>IF(OR(B110="",J110=""),"",IF(SUMPRODUCT((J110&gt;=HolidayStart)*(J110&lt;=HolidayEnd)*(HolidayStart&lt;&gt;""))&gt;0,"Conflict: "&amp;INDEX(HolidayName,SUMPRODUCT((J110&gt;=HolidayStart)*(J110&lt;=HolidayEnd)*(HolidayStart&lt;&gt;"")*ROW(HolidayStart))-ROW(INDEX(HolidayStart,1,1))+1),""))</f>
        <v/>
      </c>
    </row>
    <row r="111" spans="1:17" ht="24" customHeight="1">
      <c r="A111" s="14">
        <v>107</v>
      </c>
      <c r="B111" s="15"/>
      <c r="C111" s="16"/>
      <c r="D111" s="16"/>
      <c r="E111" s="17"/>
      <c r="F111" s="18"/>
      <c r="G111" s="18"/>
      <c r="H111" s="18"/>
      <c r="I111" s="19"/>
      <c r="J111" s="19"/>
      <c r="K111" s="18"/>
      <c r="L111" s="18"/>
      <c r="M111" s="18"/>
      <c r="N111" s="17"/>
      <c r="O111" s="17"/>
      <c r="P111" s="17"/>
      <c r="Q111" s="20" t="str">
        <f>IF(OR(B111="",J111=""),"",IF(SUMPRODUCT((J111&gt;=HolidayStart)*(J111&lt;=HolidayEnd)*(HolidayStart&lt;&gt;""))&gt;0,"Conflict: "&amp;INDEX(HolidayName,SUMPRODUCT((J111&gt;=HolidayStart)*(J111&lt;=HolidayEnd)*(HolidayStart&lt;&gt;"")*ROW(HolidayStart))-ROW(INDEX(HolidayStart,1,1))+1),""))</f>
        <v/>
      </c>
    </row>
    <row r="112" spans="1:17" ht="24" customHeight="1">
      <c r="A112" s="21">
        <v>108</v>
      </c>
      <c r="B112" s="22"/>
      <c r="C112" s="23"/>
      <c r="D112" s="23"/>
      <c r="E112" s="24"/>
      <c r="F112" s="25"/>
      <c r="G112" s="25"/>
      <c r="H112" s="25"/>
      <c r="I112" s="26"/>
      <c r="J112" s="26"/>
      <c r="K112" s="25"/>
      <c r="L112" s="25"/>
      <c r="M112" s="25"/>
      <c r="N112" s="24"/>
      <c r="O112" s="24"/>
      <c r="P112" s="24"/>
      <c r="Q112" s="27" t="str">
        <f>IF(OR(B112="",J112=""),"",IF(SUMPRODUCT((J112&gt;=HolidayStart)*(J112&lt;=HolidayEnd)*(HolidayStart&lt;&gt;""))&gt;0,"Conflict: "&amp;INDEX(HolidayName,SUMPRODUCT((J112&gt;=HolidayStart)*(J112&lt;=HolidayEnd)*(HolidayStart&lt;&gt;"")*ROW(HolidayStart))-ROW(INDEX(HolidayStart,1,1))+1),""))</f>
        <v/>
      </c>
    </row>
    <row r="113" spans="1:17" ht="24" customHeight="1">
      <c r="A113" s="14">
        <v>109</v>
      </c>
      <c r="B113" s="15"/>
      <c r="C113" s="16"/>
      <c r="D113" s="16"/>
      <c r="E113" s="17"/>
      <c r="F113" s="18"/>
      <c r="G113" s="18"/>
      <c r="H113" s="18"/>
      <c r="I113" s="19"/>
      <c r="J113" s="19"/>
      <c r="K113" s="18"/>
      <c r="L113" s="18"/>
      <c r="M113" s="18"/>
      <c r="N113" s="17"/>
      <c r="O113" s="17"/>
      <c r="P113" s="17"/>
      <c r="Q113" s="20" t="str">
        <f>IF(OR(B113="",J113=""),"",IF(SUMPRODUCT((J113&gt;=HolidayStart)*(J113&lt;=HolidayEnd)*(HolidayStart&lt;&gt;""))&gt;0,"Conflict: "&amp;INDEX(HolidayName,SUMPRODUCT((J113&gt;=HolidayStart)*(J113&lt;=HolidayEnd)*(HolidayStart&lt;&gt;"")*ROW(HolidayStart))-ROW(INDEX(HolidayStart,1,1))+1),""))</f>
        <v/>
      </c>
    </row>
    <row r="114" spans="1:17" ht="24" customHeight="1">
      <c r="A114" s="21">
        <v>110</v>
      </c>
      <c r="B114" s="22"/>
      <c r="C114" s="23"/>
      <c r="D114" s="23"/>
      <c r="E114" s="24"/>
      <c r="F114" s="25"/>
      <c r="G114" s="25"/>
      <c r="H114" s="25"/>
      <c r="I114" s="26"/>
      <c r="J114" s="26"/>
      <c r="K114" s="25"/>
      <c r="L114" s="25"/>
      <c r="M114" s="25"/>
      <c r="N114" s="24"/>
      <c r="O114" s="24"/>
      <c r="P114" s="24"/>
      <c r="Q114" s="27" t="str">
        <f>IF(OR(B114="",J114=""),"",IF(SUMPRODUCT((J114&gt;=HolidayStart)*(J114&lt;=HolidayEnd)*(HolidayStart&lt;&gt;""))&gt;0,"Conflict: "&amp;INDEX(HolidayName,SUMPRODUCT((J114&gt;=HolidayStart)*(J114&lt;=HolidayEnd)*(HolidayStart&lt;&gt;"")*ROW(HolidayStart))-ROW(INDEX(HolidayStart,1,1))+1),""))</f>
        <v/>
      </c>
    </row>
    <row r="115" spans="1:17" ht="24" customHeight="1">
      <c r="A115" s="14">
        <v>111</v>
      </c>
      <c r="B115" s="15"/>
      <c r="C115" s="16"/>
      <c r="D115" s="16"/>
      <c r="E115" s="17"/>
      <c r="F115" s="18"/>
      <c r="G115" s="18"/>
      <c r="H115" s="18"/>
      <c r="I115" s="19"/>
      <c r="J115" s="19"/>
      <c r="K115" s="18"/>
      <c r="L115" s="18"/>
      <c r="M115" s="18"/>
      <c r="N115" s="17"/>
      <c r="O115" s="17"/>
      <c r="P115" s="17"/>
      <c r="Q115" s="20" t="str">
        <f>IF(OR(B115="",J115=""),"",IF(SUMPRODUCT((J115&gt;=HolidayStart)*(J115&lt;=HolidayEnd)*(HolidayStart&lt;&gt;""))&gt;0,"Conflict: "&amp;INDEX(HolidayName,SUMPRODUCT((J115&gt;=HolidayStart)*(J115&lt;=HolidayEnd)*(HolidayStart&lt;&gt;"")*ROW(HolidayStart))-ROW(INDEX(HolidayStart,1,1))+1),""))</f>
        <v/>
      </c>
    </row>
    <row r="116" spans="1:17" ht="24" customHeight="1">
      <c r="A116" s="21">
        <v>112</v>
      </c>
      <c r="B116" s="22"/>
      <c r="C116" s="23"/>
      <c r="D116" s="23"/>
      <c r="E116" s="24"/>
      <c r="F116" s="25"/>
      <c r="G116" s="25"/>
      <c r="H116" s="25"/>
      <c r="I116" s="26"/>
      <c r="J116" s="26"/>
      <c r="K116" s="25"/>
      <c r="L116" s="25"/>
      <c r="M116" s="25"/>
      <c r="N116" s="24"/>
      <c r="O116" s="24"/>
      <c r="P116" s="24"/>
      <c r="Q116" s="27" t="str">
        <f>IF(OR(B116="",J116=""),"",IF(SUMPRODUCT((J116&gt;=HolidayStart)*(J116&lt;=HolidayEnd)*(HolidayStart&lt;&gt;""))&gt;0,"Conflict: "&amp;INDEX(HolidayName,SUMPRODUCT((J116&gt;=HolidayStart)*(J116&lt;=HolidayEnd)*(HolidayStart&lt;&gt;"")*ROW(HolidayStart))-ROW(INDEX(HolidayStart,1,1))+1),""))</f>
        <v/>
      </c>
    </row>
    <row r="117" spans="1:17" ht="24" customHeight="1">
      <c r="A117" s="14">
        <v>113</v>
      </c>
      <c r="B117" s="15"/>
      <c r="C117" s="16"/>
      <c r="D117" s="16"/>
      <c r="E117" s="17"/>
      <c r="F117" s="18"/>
      <c r="G117" s="18"/>
      <c r="H117" s="18"/>
      <c r="I117" s="19"/>
      <c r="J117" s="19"/>
      <c r="K117" s="18"/>
      <c r="L117" s="18"/>
      <c r="M117" s="18"/>
      <c r="N117" s="17"/>
      <c r="O117" s="17"/>
      <c r="P117" s="17"/>
      <c r="Q117" s="20" t="str">
        <f>IF(OR(B117="",J117=""),"",IF(SUMPRODUCT((J117&gt;=HolidayStart)*(J117&lt;=HolidayEnd)*(HolidayStart&lt;&gt;""))&gt;0,"Conflict: "&amp;INDEX(HolidayName,SUMPRODUCT((J117&gt;=HolidayStart)*(J117&lt;=HolidayEnd)*(HolidayStart&lt;&gt;"")*ROW(HolidayStart))-ROW(INDEX(HolidayStart,1,1))+1),""))</f>
        <v/>
      </c>
    </row>
    <row r="118" spans="1:17" ht="24" customHeight="1">
      <c r="A118" s="21">
        <v>114</v>
      </c>
      <c r="B118" s="22"/>
      <c r="C118" s="23"/>
      <c r="D118" s="23"/>
      <c r="E118" s="24"/>
      <c r="F118" s="25"/>
      <c r="G118" s="25"/>
      <c r="H118" s="25"/>
      <c r="I118" s="26"/>
      <c r="J118" s="26"/>
      <c r="K118" s="25"/>
      <c r="L118" s="25"/>
      <c r="M118" s="25"/>
      <c r="N118" s="24"/>
      <c r="O118" s="24"/>
      <c r="P118" s="24"/>
      <c r="Q118" s="27" t="str">
        <f>IF(OR(B118="",J118=""),"",IF(SUMPRODUCT((J118&gt;=HolidayStart)*(J118&lt;=HolidayEnd)*(HolidayStart&lt;&gt;""))&gt;0,"Conflict: "&amp;INDEX(HolidayName,SUMPRODUCT((J118&gt;=HolidayStart)*(J118&lt;=HolidayEnd)*(HolidayStart&lt;&gt;"")*ROW(HolidayStart))-ROW(INDEX(HolidayStart,1,1))+1),""))</f>
        <v/>
      </c>
    </row>
    <row r="119" spans="1:17" ht="24" customHeight="1">
      <c r="A119" s="14">
        <v>115</v>
      </c>
      <c r="B119" s="15"/>
      <c r="C119" s="16"/>
      <c r="D119" s="16"/>
      <c r="E119" s="17"/>
      <c r="F119" s="18"/>
      <c r="G119" s="18"/>
      <c r="H119" s="18"/>
      <c r="I119" s="19"/>
      <c r="J119" s="19"/>
      <c r="K119" s="18"/>
      <c r="L119" s="18"/>
      <c r="M119" s="18"/>
      <c r="N119" s="17"/>
      <c r="O119" s="17"/>
      <c r="P119" s="17"/>
      <c r="Q119" s="20" t="str">
        <f>IF(OR(B119="",J119=""),"",IF(SUMPRODUCT((J119&gt;=HolidayStart)*(J119&lt;=HolidayEnd)*(HolidayStart&lt;&gt;""))&gt;0,"Conflict: "&amp;INDEX(HolidayName,SUMPRODUCT((J119&gt;=HolidayStart)*(J119&lt;=HolidayEnd)*(HolidayStart&lt;&gt;"")*ROW(HolidayStart))-ROW(INDEX(HolidayStart,1,1))+1),""))</f>
        <v/>
      </c>
    </row>
    <row r="120" spans="1:17" ht="24" customHeight="1">
      <c r="A120" s="21">
        <v>116</v>
      </c>
      <c r="B120" s="22"/>
      <c r="C120" s="23"/>
      <c r="D120" s="23"/>
      <c r="E120" s="24"/>
      <c r="F120" s="25"/>
      <c r="G120" s="25"/>
      <c r="H120" s="25"/>
      <c r="I120" s="26"/>
      <c r="J120" s="26"/>
      <c r="K120" s="25"/>
      <c r="L120" s="25"/>
      <c r="M120" s="25"/>
      <c r="N120" s="24"/>
      <c r="O120" s="24"/>
      <c r="P120" s="24"/>
      <c r="Q120" s="27" t="str">
        <f>IF(OR(B120="",J120=""),"",IF(SUMPRODUCT((J120&gt;=HolidayStart)*(J120&lt;=HolidayEnd)*(HolidayStart&lt;&gt;""))&gt;0,"Conflict: "&amp;INDEX(HolidayName,SUMPRODUCT((J120&gt;=HolidayStart)*(J120&lt;=HolidayEnd)*(HolidayStart&lt;&gt;"")*ROW(HolidayStart))-ROW(INDEX(HolidayStart,1,1))+1),""))</f>
        <v/>
      </c>
    </row>
    <row r="121" spans="1:17" ht="24" customHeight="1">
      <c r="A121" s="14">
        <v>117</v>
      </c>
      <c r="B121" s="15"/>
      <c r="C121" s="16"/>
      <c r="D121" s="16"/>
      <c r="E121" s="17"/>
      <c r="F121" s="18"/>
      <c r="G121" s="18"/>
      <c r="H121" s="18"/>
      <c r="I121" s="19"/>
      <c r="J121" s="19"/>
      <c r="K121" s="18"/>
      <c r="L121" s="18"/>
      <c r="M121" s="18"/>
      <c r="N121" s="17"/>
      <c r="O121" s="17"/>
      <c r="P121" s="17"/>
      <c r="Q121" s="20" t="str">
        <f>IF(OR(B121="",J121=""),"",IF(SUMPRODUCT((J121&gt;=HolidayStart)*(J121&lt;=HolidayEnd)*(HolidayStart&lt;&gt;""))&gt;0,"Conflict: "&amp;INDEX(HolidayName,SUMPRODUCT((J121&gt;=HolidayStart)*(J121&lt;=HolidayEnd)*(HolidayStart&lt;&gt;"")*ROW(HolidayStart))-ROW(INDEX(HolidayStart,1,1))+1),""))</f>
        <v/>
      </c>
    </row>
    <row r="122" spans="1:17" ht="24" customHeight="1">
      <c r="A122" s="21">
        <v>118</v>
      </c>
      <c r="B122" s="22"/>
      <c r="C122" s="23"/>
      <c r="D122" s="23"/>
      <c r="E122" s="24"/>
      <c r="F122" s="25"/>
      <c r="G122" s="25"/>
      <c r="H122" s="25"/>
      <c r="I122" s="26"/>
      <c r="J122" s="26"/>
      <c r="K122" s="25"/>
      <c r="L122" s="25"/>
      <c r="M122" s="25"/>
      <c r="N122" s="24"/>
      <c r="O122" s="24"/>
      <c r="P122" s="24"/>
      <c r="Q122" s="27" t="str">
        <f>IF(OR(B122="",J122=""),"",IF(SUMPRODUCT((J122&gt;=HolidayStart)*(J122&lt;=HolidayEnd)*(HolidayStart&lt;&gt;""))&gt;0,"Conflict: "&amp;INDEX(HolidayName,SUMPRODUCT((J122&gt;=HolidayStart)*(J122&lt;=HolidayEnd)*(HolidayStart&lt;&gt;"")*ROW(HolidayStart))-ROW(INDEX(HolidayStart,1,1))+1),""))</f>
        <v/>
      </c>
    </row>
    <row r="123" spans="1:17" ht="24" customHeight="1">
      <c r="A123" s="14">
        <v>119</v>
      </c>
      <c r="B123" s="15"/>
      <c r="C123" s="16"/>
      <c r="D123" s="16"/>
      <c r="E123" s="17"/>
      <c r="F123" s="18"/>
      <c r="G123" s="18"/>
      <c r="H123" s="18"/>
      <c r="I123" s="19"/>
      <c r="J123" s="19"/>
      <c r="K123" s="18"/>
      <c r="L123" s="18"/>
      <c r="M123" s="18"/>
      <c r="N123" s="17"/>
      <c r="O123" s="17"/>
      <c r="P123" s="17"/>
      <c r="Q123" s="20" t="str">
        <f>IF(OR(B123="",J123=""),"",IF(SUMPRODUCT((J123&gt;=HolidayStart)*(J123&lt;=HolidayEnd)*(HolidayStart&lt;&gt;""))&gt;0,"Conflict: "&amp;INDEX(HolidayName,SUMPRODUCT((J123&gt;=HolidayStart)*(J123&lt;=HolidayEnd)*(HolidayStart&lt;&gt;"")*ROW(HolidayStart))-ROW(INDEX(HolidayStart,1,1))+1),""))</f>
        <v/>
      </c>
    </row>
    <row r="124" spans="1:17" ht="24" customHeight="1">
      <c r="A124" s="21">
        <v>120</v>
      </c>
      <c r="B124" s="22"/>
      <c r="C124" s="23"/>
      <c r="D124" s="23"/>
      <c r="E124" s="24"/>
      <c r="F124" s="25"/>
      <c r="G124" s="25"/>
      <c r="H124" s="25"/>
      <c r="I124" s="26"/>
      <c r="J124" s="26"/>
      <c r="K124" s="25"/>
      <c r="L124" s="25"/>
      <c r="M124" s="25"/>
      <c r="N124" s="24"/>
      <c r="O124" s="24"/>
      <c r="P124" s="24"/>
      <c r="Q124" s="27" t="str">
        <f>IF(OR(B124="",J124=""),"",IF(SUMPRODUCT((J124&gt;=HolidayStart)*(J124&lt;=HolidayEnd)*(HolidayStart&lt;&gt;""))&gt;0,"Conflict: "&amp;INDEX(HolidayName,SUMPRODUCT((J124&gt;=HolidayStart)*(J124&lt;=HolidayEnd)*(HolidayStart&lt;&gt;"")*ROW(HolidayStart))-ROW(INDEX(HolidayStart,1,1))+1),""))</f>
        <v/>
      </c>
    </row>
    <row r="125" spans="1:17" ht="24" customHeight="1">
      <c r="A125" s="14">
        <v>121</v>
      </c>
      <c r="B125" s="15"/>
      <c r="C125" s="16"/>
      <c r="D125" s="16"/>
      <c r="E125" s="17"/>
      <c r="F125" s="18"/>
      <c r="G125" s="18"/>
      <c r="H125" s="18"/>
      <c r="I125" s="19"/>
      <c r="J125" s="19"/>
      <c r="K125" s="18"/>
      <c r="L125" s="18"/>
      <c r="M125" s="18"/>
      <c r="N125" s="17"/>
      <c r="O125" s="17"/>
      <c r="P125" s="17"/>
      <c r="Q125" s="20" t="str">
        <f>IF(OR(B125="",J125=""),"",IF(SUMPRODUCT((J125&gt;=HolidayStart)*(J125&lt;=HolidayEnd)*(HolidayStart&lt;&gt;""))&gt;0,"Conflict: "&amp;INDEX(HolidayName,SUMPRODUCT((J125&gt;=HolidayStart)*(J125&lt;=HolidayEnd)*(HolidayStart&lt;&gt;"")*ROW(HolidayStart))-ROW(INDEX(HolidayStart,1,1))+1),""))</f>
        <v/>
      </c>
    </row>
    <row r="126" spans="1:17" ht="24" customHeight="1">
      <c r="A126" s="21">
        <v>122</v>
      </c>
      <c r="B126" s="22"/>
      <c r="C126" s="23"/>
      <c r="D126" s="23"/>
      <c r="E126" s="24"/>
      <c r="F126" s="25"/>
      <c r="G126" s="25"/>
      <c r="H126" s="25"/>
      <c r="I126" s="26"/>
      <c r="J126" s="26"/>
      <c r="K126" s="25"/>
      <c r="L126" s="25"/>
      <c r="M126" s="25"/>
      <c r="N126" s="24"/>
      <c r="O126" s="24"/>
      <c r="P126" s="24"/>
      <c r="Q126" s="27" t="str">
        <f>IF(OR(B126="",J126=""),"",IF(SUMPRODUCT((J126&gt;=HolidayStart)*(J126&lt;=HolidayEnd)*(HolidayStart&lt;&gt;""))&gt;0,"Conflict: "&amp;INDEX(HolidayName,SUMPRODUCT((J126&gt;=HolidayStart)*(J126&lt;=HolidayEnd)*(HolidayStart&lt;&gt;"")*ROW(HolidayStart))-ROW(INDEX(HolidayStart,1,1))+1),""))</f>
        <v/>
      </c>
    </row>
    <row r="127" spans="1:17" ht="24" customHeight="1">
      <c r="A127" s="14">
        <v>123</v>
      </c>
      <c r="B127" s="15"/>
      <c r="C127" s="16"/>
      <c r="D127" s="16"/>
      <c r="E127" s="17"/>
      <c r="F127" s="18"/>
      <c r="G127" s="18"/>
      <c r="H127" s="18"/>
      <c r="I127" s="19"/>
      <c r="J127" s="19"/>
      <c r="K127" s="18"/>
      <c r="L127" s="18"/>
      <c r="M127" s="18"/>
      <c r="N127" s="17"/>
      <c r="O127" s="17"/>
      <c r="P127" s="17"/>
      <c r="Q127" s="20" t="str">
        <f>IF(OR(B127="",J127=""),"",IF(SUMPRODUCT((J127&gt;=HolidayStart)*(J127&lt;=HolidayEnd)*(HolidayStart&lt;&gt;""))&gt;0,"Conflict: "&amp;INDEX(HolidayName,SUMPRODUCT((J127&gt;=HolidayStart)*(J127&lt;=HolidayEnd)*(HolidayStart&lt;&gt;"")*ROW(HolidayStart))-ROW(INDEX(HolidayStart,1,1))+1),""))</f>
        <v/>
      </c>
    </row>
    <row r="128" spans="1:17" ht="24" customHeight="1">
      <c r="A128" s="21">
        <v>124</v>
      </c>
      <c r="B128" s="22"/>
      <c r="C128" s="23"/>
      <c r="D128" s="23"/>
      <c r="E128" s="24"/>
      <c r="F128" s="25"/>
      <c r="G128" s="25"/>
      <c r="H128" s="25"/>
      <c r="I128" s="26"/>
      <c r="J128" s="26"/>
      <c r="K128" s="25"/>
      <c r="L128" s="25"/>
      <c r="M128" s="25"/>
      <c r="N128" s="24"/>
      <c r="O128" s="24"/>
      <c r="P128" s="24"/>
      <c r="Q128" s="27" t="str">
        <f>IF(OR(B128="",J128=""),"",IF(SUMPRODUCT((J128&gt;=HolidayStart)*(J128&lt;=HolidayEnd)*(HolidayStart&lt;&gt;""))&gt;0,"Conflict: "&amp;INDEX(HolidayName,SUMPRODUCT((J128&gt;=HolidayStart)*(J128&lt;=HolidayEnd)*(HolidayStart&lt;&gt;"")*ROW(HolidayStart))-ROW(INDEX(HolidayStart,1,1))+1),""))</f>
        <v/>
      </c>
    </row>
    <row r="129" spans="1:17" ht="24" customHeight="1">
      <c r="A129" s="14">
        <v>125</v>
      </c>
      <c r="B129" s="15"/>
      <c r="C129" s="16"/>
      <c r="D129" s="16"/>
      <c r="E129" s="17"/>
      <c r="F129" s="18"/>
      <c r="G129" s="18"/>
      <c r="H129" s="18"/>
      <c r="I129" s="19"/>
      <c r="J129" s="19"/>
      <c r="K129" s="18"/>
      <c r="L129" s="18"/>
      <c r="M129" s="18"/>
      <c r="N129" s="17"/>
      <c r="O129" s="17"/>
      <c r="P129" s="17"/>
      <c r="Q129" s="20" t="str">
        <f>IF(OR(B129="",J129=""),"",IF(SUMPRODUCT((J129&gt;=HolidayStart)*(J129&lt;=HolidayEnd)*(HolidayStart&lt;&gt;""))&gt;0,"Conflict: "&amp;INDEX(HolidayName,SUMPRODUCT((J129&gt;=HolidayStart)*(J129&lt;=HolidayEnd)*(HolidayStart&lt;&gt;"")*ROW(HolidayStart))-ROW(INDEX(HolidayStart,1,1))+1),""))</f>
        <v/>
      </c>
    </row>
    <row r="130" spans="1:17" ht="24" customHeight="1">
      <c r="A130" s="21">
        <v>126</v>
      </c>
      <c r="B130" s="22"/>
      <c r="C130" s="23"/>
      <c r="D130" s="23"/>
      <c r="E130" s="24"/>
      <c r="F130" s="25"/>
      <c r="G130" s="25"/>
      <c r="H130" s="25"/>
      <c r="I130" s="26"/>
      <c r="J130" s="26"/>
      <c r="K130" s="25"/>
      <c r="L130" s="25"/>
      <c r="M130" s="25"/>
      <c r="N130" s="24"/>
      <c r="O130" s="24"/>
      <c r="P130" s="24"/>
      <c r="Q130" s="27" t="str">
        <f>IF(OR(B130="",J130=""),"",IF(SUMPRODUCT((J130&gt;=HolidayStart)*(J130&lt;=HolidayEnd)*(HolidayStart&lt;&gt;""))&gt;0,"Conflict: "&amp;INDEX(HolidayName,SUMPRODUCT((J130&gt;=HolidayStart)*(J130&lt;=HolidayEnd)*(HolidayStart&lt;&gt;"")*ROW(HolidayStart))-ROW(INDEX(HolidayStart,1,1))+1),""))</f>
        <v/>
      </c>
    </row>
    <row r="131" spans="1:17" ht="24" customHeight="1">
      <c r="A131" s="14">
        <v>127</v>
      </c>
      <c r="B131" s="15"/>
      <c r="C131" s="16"/>
      <c r="D131" s="16"/>
      <c r="E131" s="17"/>
      <c r="F131" s="18"/>
      <c r="G131" s="18"/>
      <c r="H131" s="18"/>
      <c r="I131" s="19"/>
      <c r="J131" s="19"/>
      <c r="K131" s="18"/>
      <c r="L131" s="18"/>
      <c r="M131" s="18"/>
      <c r="N131" s="17"/>
      <c r="O131" s="17"/>
      <c r="P131" s="17"/>
      <c r="Q131" s="20" t="str">
        <f>IF(OR(B131="",J131=""),"",IF(SUMPRODUCT((J131&gt;=HolidayStart)*(J131&lt;=HolidayEnd)*(HolidayStart&lt;&gt;""))&gt;0,"Conflict: "&amp;INDEX(HolidayName,SUMPRODUCT((J131&gt;=HolidayStart)*(J131&lt;=HolidayEnd)*(HolidayStart&lt;&gt;"")*ROW(HolidayStart))-ROW(INDEX(HolidayStart,1,1))+1),""))</f>
        <v/>
      </c>
    </row>
    <row r="132" spans="1:17" ht="24" customHeight="1">
      <c r="A132" s="21">
        <v>128</v>
      </c>
      <c r="B132" s="22"/>
      <c r="C132" s="23"/>
      <c r="D132" s="23"/>
      <c r="E132" s="24"/>
      <c r="F132" s="25"/>
      <c r="G132" s="25"/>
      <c r="H132" s="25"/>
      <c r="I132" s="26"/>
      <c r="J132" s="26"/>
      <c r="K132" s="25"/>
      <c r="L132" s="25"/>
      <c r="M132" s="25"/>
      <c r="N132" s="24"/>
      <c r="O132" s="24"/>
      <c r="P132" s="24"/>
      <c r="Q132" s="27" t="str">
        <f>IF(OR(B132="",J132=""),"",IF(SUMPRODUCT((J132&gt;=HolidayStart)*(J132&lt;=HolidayEnd)*(HolidayStart&lt;&gt;""))&gt;0,"Conflict: "&amp;INDEX(HolidayName,SUMPRODUCT((J132&gt;=HolidayStart)*(J132&lt;=HolidayEnd)*(HolidayStart&lt;&gt;"")*ROW(HolidayStart))-ROW(INDEX(HolidayStart,1,1))+1),""))</f>
        <v/>
      </c>
    </row>
    <row r="133" spans="1:17" ht="24" customHeight="1">
      <c r="A133" s="14">
        <v>129</v>
      </c>
      <c r="B133" s="15"/>
      <c r="C133" s="16"/>
      <c r="D133" s="16"/>
      <c r="E133" s="17"/>
      <c r="F133" s="18"/>
      <c r="G133" s="18"/>
      <c r="H133" s="18"/>
      <c r="I133" s="19"/>
      <c r="J133" s="19"/>
      <c r="K133" s="18"/>
      <c r="L133" s="18"/>
      <c r="M133" s="18"/>
      <c r="N133" s="17"/>
      <c r="O133" s="17"/>
      <c r="P133" s="17"/>
      <c r="Q133" s="20" t="str">
        <f>IF(OR(B133="",J133=""),"",IF(SUMPRODUCT((J133&gt;=HolidayStart)*(J133&lt;=HolidayEnd)*(HolidayStart&lt;&gt;""))&gt;0,"Conflict: "&amp;INDEX(HolidayName,SUMPRODUCT((J133&gt;=HolidayStart)*(J133&lt;=HolidayEnd)*(HolidayStart&lt;&gt;"")*ROW(HolidayStart))-ROW(INDEX(HolidayStart,1,1))+1),""))</f>
        <v/>
      </c>
    </row>
    <row r="134" spans="1:17" ht="24" customHeight="1">
      <c r="A134" s="21">
        <v>130</v>
      </c>
      <c r="B134" s="22"/>
      <c r="C134" s="23"/>
      <c r="D134" s="23"/>
      <c r="E134" s="24"/>
      <c r="F134" s="25"/>
      <c r="G134" s="25"/>
      <c r="H134" s="25"/>
      <c r="I134" s="26"/>
      <c r="J134" s="26"/>
      <c r="K134" s="25"/>
      <c r="L134" s="25"/>
      <c r="M134" s="25"/>
      <c r="N134" s="24"/>
      <c r="O134" s="24"/>
      <c r="P134" s="24"/>
      <c r="Q134" s="27" t="str">
        <f>IF(OR(B134="",J134=""),"",IF(SUMPRODUCT((J134&gt;=HolidayStart)*(J134&lt;=HolidayEnd)*(HolidayStart&lt;&gt;""))&gt;0,"Conflict: "&amp;INDEX(HolidayName,SUMPRODUCT((J134&gt;=HolidayStart)*(J134&lt;=HolidayEnd)*(HolidayStart&lt;&gt;"")*ROW(HolidayStart))-ROW(INDEX(HolidayStart,1,1))+1),""))</f>
        <v/>
      </c>
    </row>
    <row r="135" spans="1:17" ht="24" customHeight="1">
      <c r="A135" s="14">
        <v>131</v>
      </c>
      <c r="B135" s="15"/>
      <c r="C135" s="16"/>
      <c r="D135" s="16"/>
      <c r="E135" s="17"/>
      <c r="F135" s="18"/>
      <c r="G135" s="18"/>
      <c r="H135" s="18"/>
      <c r="I135" s="19"/>
      <c r="J135" s="19"/>
      <c r="K135" s="18"/>
      <c r="L135" s="18"/>
      <c r="M135" s="18"/>
      <c r="N135" s="17"/>
      <c r="O135" s="17"/>
      <c r="P135" s="17"/>
      <c r="Q135" s="20" t="str">
        <f>IF(OR(B135="",J135=""),"",IF(SUMPRODUCT((J135&gt;=HolidayStart)*(J135&lt;=HolidayEnd)*(HolidayStart&lt;&gt;""))&gt;0,"Conflict: "&amp;INDEX(HolidayName,SUMPRODUCT((J135&gt;=HolidayStart)*(J135&lt;=HolidayEnd)*(HolidayStart&lt;&gt;"")*ROW(HolidayStart))-ROW(INDEX(HolidayStart,1,1))+1),""))</f>
        <v/>
      </c>
    </row>
    <row r="136" spans="1:17" ht="24" customHeight="1">
      <c r="A136" s="21">
        <v>132</v>
      </c>
      <c r="B136" s="22"/>
      <c r="C136" s="23"/>
      <c r="D136" s="23"/>
      <c r="E136" s="24"/>
      <c r="F136" s="25"/>
      <c r="G136" s="25"/>
      <c r="H136" s="25"/>
      <c r="I136" s="26"/>
      <c r="J136" s="26"/>
      <c r="K136" s="25"/>
      <c r="L136" s="25"/>
      <c r="M136" s="25"/>
      <c r="N136" s="24"/>
      <c r="O136" s="24"/>
      <c r="P136" s="24"/>
      <c r="Q136" s="27" t="str">
        <f>IF(OR(B136="",J136=""),"",IF(SUMPRODUCT((J136&gt;=HolidayStart)*(J136&lt;=HolidayEnd)*(HolidayStart&lt;&gt;""))&gt;0,"Conflict: "&amp;INDEX(HolidayName,SUMPRODUCT((J136&gt;=HolidayStart)*(J136&lt;=HolidayEnd)*(HolidayStart&lt;&gt;"")*ROW(HolidayStart))-ROW(INDEX(HolidayStart,1,1))+1),""))</f>
        <v/>
      </c>
    </row>
    <row r="137" spans="1:17" ht="24" customHeight="1">
      <c r="A137" s="14">
        <v>133</v>
      </c>
      <c r="B137" s="15"/>
      <c r="C137" s="16"/>
      <c r="D137" s="16"/>
      <c r="E137" s="17"/>
      <c r="F137" s="18"/>
      <c r="G137" s="18"/>
      <c r="H137" s="18"/>
      <c r="I137" s="19"/>
      <c r="J137" s="19"/>
      <c r="K137" s="18"/>
      <c r="L137" s="18"/>
      <c r="M137" s="18"/>
      <c r="N137" s="17"/>
      <c r="O137" s="17"/>
      <c r="P137" s="17"/>
      <c r="Q137" s="20" t="str">
        <f>IF(OR(B137="",J137=""),"",IF(SUMPRODUCT((J137&gt;=HolidayStart)*(J137&lt;=HolidayEnd)*(HolidayStart&lt;&gt;""))&gt;0,"Conflict: "&amp;INDEX(HolidayName,SUMPRODUCT((J137&gt;=HolidayStart)*(J137&lt;=HolidayEnd)*(HolidayStart&lt;&gt;"")*ROW(HolidayStart))-ROW(INDEX(HolidayStart,1,1))+1),""))</f>
        <v/>
      </c>
    </row>
    <row r="138" spans="1:17" ht="24" customHeight="1">
      <c r="A138" s="21">
        <v>134</v>
      </c>
      <c r="B138" s="22"/>
      <c r="C138" s="23"/>
      <c r="D138" s="23"/>
      <c r="E138" s="24"/>
      <c r="F138" s="25"/>
      <c r="G138" s="25"/>
      <c r="H138" s="25"/>
      <c r="I138" s="26"/>
      <c r="J138" s="26"/>
      <c r="K138" s="25"/>
      <c r="L138" s="25"/>
      <c r="M138" s="25"/>
      <c r="N138" s="24"/>
      <c r="O138" s="24"/>
      <c r="P138" s="24"/>
      <c r="Q138" s="27" t="str">
        <f>IF(OR(B138="",J138=""),"",IF(SUMPRODUCT((J138&gt;=HolidayStart)*(J138&lt;=HolidayEnd)*(HolidayStart&lt;&gt;""))&gt;0,"Conflict: "&amp;INDEX(HolidayName,SUMPRODUCT((J138&gt;=HolidayStart)*(J138&lt;=HolidayEnd)*(HolidayStart&lt;&gt;"")*ROW(HolidayStart))-ROW(INDEX(HolidayStart,1,1))+1),""))</f>
        <v/>
      </c>
    </row>
    <row r="139" spans="1:17" ht="24" customHeight="1">
      <c r="A139" s="14">
        <v>135</v>
      </c>
      <c r="B139" s="15"/>
      <c r="C139" s="16"/>
      <c r="D139" s="16"/>
      <c r="E139" s="17"/>
      <c r="F139" s="18"/>
      <c r="G139" s="18"/>
      <c r="H139" s="18"/>
      <c r="I139" s="19"/>
      <c r="J139" s="19"/>
      <c r="K139" s="18"/>
      <c r="L139" s="18"/>
      <c r="M139" s="18"/>
      <c r="N139" s="17"/>
      <c r="O139" s="17"/>
      <c r="P139" s="17"/>
      <c r="Q139" s="20" t="str">
        <f>IF(OR(B139="",J139=""),"",IF(SUMPRODUCT((J139&gt;=HolidayStart)*(J139&lt;=HolidayEnd)*(HolidayStart&lt;&gt;""))&gt;0,"Conflict: "&amp;INDEX(HolidayName,SUMPRODUCT((J139&gt;=HolidayStart)*(J139&lt;=HolidayEnd)*(HolidayStart&lt;&gt;"")*ROW(HolidayStart))-ROW(INDEX(HolidayStart,1,1))+1),""))</f>
        <v/>
      </c>
    </row>
    <row r="140" spans="1:17" ht="24" customHeight="1">
      <c r="A140" s="21">
        <v>136</v>
      </c>
      <c r="B140" s="22"/>
      <c r="C140" s="23"/>
      <c r="D140" s="23"/>
      <c r="E140" s="24"/>
      <c r="F140" s="25"/>
      <c r="G140" s="25"/>
      <c r="H140" s="25"/>
      <c r="I140" s="26"/>
      <c r="J140" s="26"/>
      <c r="K140" s="25"/>
      <c r="L140" s="25"/>
      <c r="M140" s="25"/>
      <c r="N140" s="24"/>
      <c r="O140" s="24"/>
      <c r="P140" s="24"/>
      <c r="Q140" s="27" t="str">
        <f>IF(OR(B140="",J140=""),"",IF(SUMPRODUCT((J140&gt;=HolidayStart)*(J140&lt;=HolidayEnd)*(HolidayStart&lt;&gt;""))&gt;0,"Conflict: "&amp;INDEX(HolidayName,SUMPRODUCT((J140&gt;=HolidayStart)*(J140&lt;=HolidayEnd)*(HolidayStart&lt;&gt;"")*ROW(HolidayStart))-ROW(INDEX(HolidayStart,1,1))+1),""))</f>
        <v/>
      </c>
    </row>
    <row r="141" spans="1:17" ht="24" customHeight="1">
      <c r="A141" s="14">
        <v>137</v>
      </c>
      <c r="B141" s="15"/>
      <c r="C141" s="16"/>
      <c r="D141" s="16"/>
      <c r="E141" s="17"/>
      <c r="F141" s="18"/>
      <c r="G141" s="18"/>
      <c r="H141" s="18"/>
      <c r="I141" s="19"/>
      <c r="J141" s="19"/>
      <c r="K141" s="18"/>
      <c r="L141" s="18"/>
      <c r="M141" s="18"/>
      <c r="N141" s="17"/>
      <c r="O141" s="17"/>
      <c r="P141" s="17"/>
      <c r="Q141" s="20" t="str">
        <f>IF(OR(B141="",J141=""),"",IF(SUMPRODUCT((J141&gt;=HolidayStart)*(J141&lt;=HolidayEnd)*(HolidayStart&lt;&gt;""))&gt;0,"Conflict: "&amp;INDEX(HolidayName,SUMPRODUCT((J141&gt;=HolidayStart)*(J141&lt;=HolidayEnd)*(HolidayStart&lt;&gt;"")*ROW(HolidayStart))-ROW(INDEX(HolidayStart,1,1))+1),""))</f>
        <v/>
      </c>
    </row>
    <row r="142" spans="1:17" ht="24" customHeight="1">
      <c r="A142" s="21">
        <v>138</v>
      </c>
      <c r="B142" s="22"/>
      <c r="C142" s="23"/>
      <c r="D142" s="23"/>
      <c r="E142" s="24"/>
      <c r="F142" s="25"/>
      <c r="G142" s="25"/>
      <c r="H142" s="25"/>
      <c r="I142" s="26"/>
      <c r="J142" s="26"/>
      <c r="K142" s="25"/>
      <c r="L142" s="25"/>
      <c r="M142" s="25"/>
      <c r="N142" s="24"/>
      <c r="O142" s="24"/>
      <c r="P142" s="24"/>
      <c r="Q142" s="27" t="str">
        <f>IF(OR(B142="",J142=""),"",IF(SUMPRODUCT((J142&gt;=HolidayStart)*(J142&lt;=HolidayEnd)*(HolidayStart&lt;&gt;""))&gt;0,"Conflict: "&amp;INDEX(HolidayName,SUMPRODUCT((J142&gt;=HolidayStart)*(J142&lt;=HolidayEnd)*(HolidayStart&lt;&gt;"")*ROW(HolidayStart))-ROW(INDEX(HolidayStart,1,1))+1),""))</f>
        <v/>
      </c>
    </row>
    <row r="143" spans="1:17" ht="24" customHeight="1">
      <c r="A143" s="14">
        <v>139</v>
      </c>
      <c r="B143" s="15"/>
      <c r="C143" s="16"/>
      <c r="D143" s="16"/>
      <c r="E143" s="17"/>
      <c r="F143" s="18"/>
      <c r="G143" s="18"/>
      <c r="H143" s="18"/>
      <c r="I143" s="19"/>
      <c r="J143" s="19"/>
      <c r="K143" s="18"/>
      <c r="L143" s="18"/>
      <c r="M143" s="18"/>
      <c r="N143" s="17"/>
      <c r="O143" s="17"/>
      <c r="P143" s="17"/>
      <c r="Q143" s="20" t="str">
        <f>IF(OR(B143="",J143=""),"",IF(SUMPRODUCT((J143&gt;=HolidayStart)*(J143&lt;=HolidayEnd)*(HolidayStart&lt;&gt;""))&gt;0,"Conflict: "&amp;INDEX(HolidayName,SUMPRODUCT((J143&gt;=HolidayStart)*(J143&lt;=HolidayEnd)*(HolidayStart&lt;&gt;"")*ROW(HolidayStart))-ROW(INDEX(HolidayStart,1,1))+1),""))</f>
        <v/>
      </c>
    </row>
    <row r="144" spans="1:17" ht="24" customHeight="1">
      <c r="A144" s="21">
        <v>140</v>
      </c>
      <c r="B144" s="22"/>
      <c r="C144" s="23"/>
      <c r="D144" s="23"/>
      <c r="E144" s="24"/>
      <c r="F144" s="25"/>
      <c r="G144" s="25"/>
      <c r="H144" s="25"/>
      <c r="I144" s="26"/>
      <c r="J144" s="26"/>
      <c r="K144" s="25"/>
      <c r="L144" s="25"/>
      <c r="M144" s="25"/>
      <c r="N144" s="24"/>
      <c r="O144" s="24"/>
      <c r="P144" s="24"/>
      <c r="Q144" s="27" t="str">
        <f>IF(OR(B144="",J144=""),"",IF(SUMPRODUCT((J144&gt;=HolidayStart)*(J144&lt;=HolidayEnd)*(HolidayStart&lt;&gt;""))&gt;0,"Conflict: "&amp;INDEX(HolidayName,SUMPRODUCT((J144&gt;=HolidayStart)*(J144&lt;=HolidayEnd)*(HolidayStart&lt;&gt;"")*ROW(HolidayStart))-ROW(INDEX(HolidayStart,1,1))+1),""))</f>
        <v/>
      </c>
    </row>
    <row r="145" spans="1:17" ht="24" customHeight="1">
      <c r="A145" s="14">
        <v>141</v>
      </c>
      <c r="B145" s="15"/>
      <c r="C145" s="16"/>
      <c r="D145" s="16"/>
      <c r="E145" s="17"/>
      <c r="F145" s="18"/>
      <c r="G145" s="18"/>
      <c r="H145" s="18"/>
      <c r="I145" s="19"/>
      <c r="J145" s="19"/>
      <c r="K145" s="18"/>
      <c r="L145" s="18"/>
      <c r="M145" s="18"/>
      <c r="N145" s="17"/>
      <c r="O145" s="17"/>
      <c r="P145" s="17"/>
      <c r="Q145" s="20" t="str">
        <f>IF(OR(B145="",J145=""),"",IF(SUMPRODUCT((J145&gt;=HolidayStart)*(J145&lt;=HolidayEnd)*(HolidayStart&lt;&gt;""))&gt;0,"Conflict: "&amp;INDEX(HolidayName,SUMPRODUCT((J145&gt;=HolidayStart)*(J145&lt;=HolidayEnd)*(HolidayStart&lt;&gt;"")*ROW(HolidayStart))-ROW(INDEX(HolidayStart,1,1))+1),""))</f>
        <v/>
      </c>
    </row>
    <row r="146" spans="1:17" ht="24" customHeight="1">
      <c r="A146" s="21">
        <v>142</v>
      </c>
      <c r="B146" s="22"/>
      <c r="C146" s="23"/>
      <c r="D146" s="23"/>
      <c r="E146" s="24"/>
      <c r="F146" s="25"/>
      <c r="G146" s="25"/>
      <c r="H146" s="25"/>
      <c r="I146" s="26"/>
      <c r="J146" s="26"/>
      <c r="K146" s="25"/>
      <c r="L146" s="25"/>
      <c r="M146" s="25"/>
      <c r="N146" s="24"/>
      <c r="O146" s="24"/>
      <c r="P146" s="24"/>
      <c r="Q146" s="27" t="str">
        <f>IF(OR(B146="",J146=""),"",IF(SUMPRODUCT((J146&gt;=HolidayStart)*(J146&lt;=HolidayEnd)*(HolidayStart&lt;&gt;""))&gt;0,"Conflict: "&amp;INDEX(HolidayName,SUMPRODUCT((J146&gt;=HolidayStart)*(J146&lt;=HolidayEnd)*(HolidayStart&lt;&gt;"")*ROW(HolidayStart))-ROW(INDEX(HolidayStart,1,1))+1),""))</f>
        <v/>
      </c>
    </row>
    <row r="147" spans="1:17" ht="24" customHeight="1">
      <c r="A147" s="14">
        <v>143</v>
      </c>
      <c r="B147" s="15"/>
      <c r="C147" s="16"/>
      <c r="D147" s="16"/>
      <c r="E147" s="17"/>
      <c r="F147" s="18"/>
      <c r="G147" s="18"/>
      <c r="H147" s="18"/>
      <c r="I147" s="19"/>
      <c r="J147" s="19"/>
      <c r="K147" s="18"/>
      <c r="L147" s="18"/>
      <c r="M147" s="18"/>
      <c r="N147" s="17"/>
      <c r="O147" s="17"/>
      <c r="P147" s="17"/>
      <c r="Q147" s="20" t="str">
        <f>IF(OR(B147="",J147=""),"",IF(SUMPRODUCT((J147&gt;=HolidayStart)*(J147&lt;=HolidayEnd)*(HolidayStart&lt;&gt;""))&gt;0,"Conflict: "&amp;INDEX(HolidayName,SUMPRODUCT((J147&gt;=HolidayStart)*(J147&lt;=HolidayEnd)*(HolidayStart&lt;&gt;"")*ROW(HolidayStart))-ROW(INDEX(HolidayStart,1,1))+1),""))</f>
        <v/>
      </c>
    </row>
    <row r="148" spans="1:17" ht="24" customHeight="1">
      <c r="A148" s="21">
        <v>144</v>
      </c>
      <c r="B148" s="22"/>
      <c r="C148" s="23"/>
      <c r="D148" s="23"/>
      <c r="E148" s="24"/>
      <c r="F148" s="25"/>
      <c r="G148" s="25"/>
      <c r="H148" s="25"/>
      <c r="I148" s="26"/>
      <c r="J148" s="26"/>
      <c r="K148" s="25"/>
      <c r="L148" s="25"/>
      <c r="M148" s="25"/>
      <c r="N148" s="24"/>
      <c r="O148" s="24"/>
      <c r="P148" s="24"/>
      <c r="Q148" s="27" t="str">
        <f>IF(OR(B148="",J148=""),"",IF(SUMPRODUCT((J148&gt;=HolidayStart)*(J148&lt;=HolidayEnd)*(HolidayStart&lt;&gt;""))&gt;0,"Conflict: "&amp;INDEX(HolidayName,SUMPRODUCT((J148&gt;=HolidayStart)*(J148&lt;=HolidayEnd)*(HolidayStart&lt;&gt;"")*ROW(HolidayStart))-ROW(INDEX(HolidayStart,1,1))+1),""))</f>
        <v/>
      </c>
    </row>
    <row r="149" spans="1:17" ht="24" customHeight="1">
      <c r="A149" s="14">
        <v>145</v>
      </c>
      <c r="B149" s="15"/>
      <c r="C149" s="16"/>
      <c r="D149" s="16"/>
      <c r="E149" s="17"/>
      <c r="F149" s="18"/>
      <c r="G149" s="18"/>
      <c r="H149" s="18"/>
      <c r="I149" s="19"/>
      <c r="J149" s="19"/>
      <c r="K149" s="18"/>
      <c r="L149" s="18"/>
      <c r="M149" s="18"/>
      <c r="N149" s="17"/>
      <c r="O149" s="17"/>
      <c r="P149" s="17"/>
      <c r="Q149" s="20" t="str">
        <f>IF(OR(B149="",J149=""),"",IF(SUMPRODUCT((J149&gt;=HolidayStart)*(J149&lt;=HolidayEnd)*(HolidayStart&lt;&gt;""))&gt;0,"Conflict: "&amp;INDEX(HolidayName,SUMPRODUCT((J149&gt;=HolidayStart)*(J149&lt;=HolidayEnd)*(HolidayStart&lt;&gt;"")*ROW(HolidayStart))-ROW(INDEX(HolidayStart,1,1))+1),""))</f>
        <v/>
      </c>
    </row>
    <row r="150" spans="1:17" ht="24" customHeight="1">
      <c r="A150" s="21">
        <v>146</v>
      </c>
      <c r="B150" s="22"/>
      <c r="C150" s="23"/>
      <c r="D150" s="23"/>
      <c r="E150" s="24"/>
      <c r="F150" s="25"/>
      <c r="G150" s="25"/>
      <c r="H150" s="25"/>
      <c r="I150" s="26"/>
      <c r="J150" s="26"/>
      <c r="K150" s="25"/>
      <c r="L150" s="25"/>
      <c r="M150" s="25"/>
      <c r="N150" s="24"/>
      <c r="O150" s="24"/>
      <c r="P150" s="24"/>
      <c r="Q150" s="27" t="str">
        <f>IF(OR(B150="",J150=""),"",IF(SUMPRODUCT((J150&gt;=HolidayStart)*(J150&lt;=HolidayEnd)*(HolidayStart&lt;&gt;""))&gt;0,"Conflict: "&amp;INDEX(HolidayName,SUMPRODUCT((J150&gt;=HolidayStart)*(J150&lt;=HolidayEnd)*(HolidayStart&lt;&gt;"")*ROW(HolidayStart))-ROW(INDEX(HolidayStart,1,1))+1),""))</f>
        <v/>
      </c>
    </row>
    <row r="151" spans="1:17" ht="24" customHeight="1">
      <c r="A151" s="14">
        <v>147</v>
      </c>
      <c r="B151" s="15"/>
      <c r="C151" s="16"/>
      <c r="D151" s="16"/>
      <c r="E151" s="17"/>
      <c r="F151" s="18"/>
      <c r="G151" s="18"/>
      <c r="H151" s="18"/>
      <c r="I151" s="19"/>
      <c r="J151" s="19"/>
      <c r="K151" s="18"/>
      <c r="L151" s="18"/>
      <c r="M151" s="18"/>
      <c r="N151" s="17"/>
      <c r="O151" s="17"/>
      <c r="P151" s="17"/>
      <c r="Q151" s="20" t="str">
        <f>IF(OR(B151="",J151=""),"",IF(SUMPRODUCT((J151&gt;=HolidayStart)*(J151&lt;=HolidayEnd)*(HolidayStart&lt;&gt;""))&gt;0,"Conflict: "&amp;INDEX(HolidayName,SUMPRODUCT((J151&gt;=HolidayStart)*(J151&lt;=HolidayEnd)*(HolidayStart&lt;&gt;"")*ROW(HolidayStart))-ROW(INDEX(HolidayStart,1,1))+1),""))</f>
        <v/>
      </c>
    </row>
    <row r="152" spans="1:17" ht="24" customHeight="1">
      <c r="A152" s="21">
        <v>148</v>
      </c>
      <c r="B152" s="22"/>
      <c r="C152" s="23"/>
      <c r="D152" s="23"/>
      <c r="E152" s="24"/>
      <c r="F152" s="25"/>
      <c r="G152" s="25"/>
      <c r="H152" s="25"/>
      <c r="I152" s="26"/>
      <c r="J152" s="26"/>
      <c r="K152" s="25"/>
      <c r="L152" s="25"/>
      <c r="M152" s="25"/>
      <c r="N152" s="24"/>
      <c r="O152" s="24"/>
      <c r="P152" s="24"/>
      <c r="Q152" s="27" t="str">
        <f>IF(OR(B152="",J152=""),"",IF(SUMPRODUCT((J152&gt;=HolidayStart)*(J152&lt;=HolidayEnd)*(HolidayStart&lt;&gt;""))&gt;0,"Conflict: "&amp;INDEX(HolidayName,SUMPRODUCT((J152&gt;=HolidayStart)*(J152&lt;=HolidayEnd)*(HolidayStart&lt;&gt;"")*ROW(HolidayStart))-ROW(INDEX(HolidayStart,1,1))+1),""))</f>
        <v/>
      </c>
    </row>
    <row r="153" spans="1:17" ht="24" customHeight="1">
      <c r="A153" s="14">
        <v>149</v>
      </c>
      <c r="B153" s="15"/>
      <c r="C153" s="16"/>
      <c r="D153" s="16"/>
      <c r="E153" s="17"/>
      <c r="F153" s="18"/>
      <c r="G153" s="18"/>
      <c r="H153" s="18"/>
      <c r="I153" s="19"/>
      <c r="J153" s="19"/>
      <c r="K153" s="18"/>
      <c r="L153" s="18"/>
      <c r="M153" s="18"/>
      <c r="N153" s="17"/>
      <c r="O153" s="17"/>
      <c r="P153" s="17"/>
      <c r="Q153" s="20" t="str">
        <f>IF(OR(B153="",J153=""),"",IF(SUMPRODUCT((J153&gt;=HolidayStart)*(J153&lt;=HolidayEnd)*(HolidayStart&lt;&gt;""))&gt;0,"Conflict: "&amp;INDEX(HolidayName,SUMPRODUCT((J153&gt;=HolidayStart)*(J153&lt;=HolidayEnd)*(HolidayStart&lt;&gt;"")*ROW(HolidayStart))-ROW(INDEX(HolidayStart,1,1))+1),""))</f>
        <v/>
      </c>
    </row>
    <row r="154" spans="1:17" ht="24" customHeight="1">
      <c r="A154" s="21">
        <v>150</v>
      </c>
      <c r="B154" s="22"/>
      <c r="C154" s="23"/>
      <c r="D154" s="23"/>
      <c r="E154" s="24"/>
      <c r="F154" s="25"/>
      <c r="G154" s="25"/>
      <c r="H154" s="25"/>
      <c r="I154" s="26"/>
      <c r="J154" s="26"/>
      <c r="K154" s="25"/>
      <c r="L154" s="25"/>
      <c r="M154" s="25"/>
      <c r="N154" s="24"/>
      <c r="O154" s="24"/>
      <c r="P154" s="24"/>
      <c r="Q154" s="27" t="str">
        <f>IF(OR(B154="",J154=""),"",IF(SUMPRODUCT((J154&gt;=HolidayStart)*(J154&lt;=HolidayEnd)*(HolidayStart&lt;&gt;""))&gt;0,"Conflict: "&amp;INDEX(HolidayName,SUMPRODUCT((J154&gt;=HolidayStart)*(J154&lt;=HolidayEnd)*(HolidayStart&lt;&gt;"")*ROW(HolidayStart))-ROW(INDEX(HolidayStart,1,1))+1),""))</f>
        <v/>
      </c>
    </row>
    <row r="155" spans="1:17" ht="24" customHeight="1">
      <c r="A155" s="14">
        <v>151</v>
      </c>
      <c r="B155" s="15"/>
      <c r="C155" s="16"/>
      <c r="D155" s="16"/>
      <c r="E155" s="17"/>
      <c r="F155" s="18"/>
      <c r="G155" s="18"/>
      <c r="H155" s="18"/>
      <c r="I155" s="19"/>
      <c r="J155" s="19"/>
      <c r="K155" s="18"/>
      <c r="L155" s="18"/>
      <c r="M155" s="18"/>
      <c r="N155" s="17"/>
      <c r="O155" s="17"/>
      <c r="P155" s="17"/>
      <c r="Q155" s="20" t="str">
        <f>IF(OR(B155="",J155=""),"",IF(SUMPRODUCT((J155&gt;=HolidayStart)*(J155&lt;=HolidayEnd)*(HolidayStart&lt;&gt;""))&gt;0,"Conflict: "&amp;INDEX(HolidayName,SUMPRODUCT((J155&gt;=HolidayStart)*(J155&lt;=HolidayEnd)*(HolidayStart&lt;&gt;"")*ROW(HolidayStart))-ROW(INDEX(HolidayStart,1,1))+1),""))</f>
        <v/>
      </c>
    </row>
    <row r="156" spans="1:17" ht="24" customHeight="1">
      <c r="A156" s="21">
        <v>152</v>
      </c>
      <c r="B156" s="22"/>
      <c r="C156" s="23"/>
      <c r="D156" s="23"/>
      <c r="E156" s="24"/>
      <c r="F156" s="25"/>
      <c r="G156" s="25"/>
      <c r="H156" s="25"/>
      <c r="I156" s="26"/>
      <c r="J156" s="26"/>
      <c r="K156" s="25"/>
      <c r="L156" s="25"/>
      <c r="M156" s="25"/>
      <c r="N156" s="24"/>
      <c r="O156" s="24"/>
      <c r="P156" s="24"/>
      <c r="Q156" s="27" t="str">
        <f>IF(OR(B156="",J156=""),"",IF(SUMPRODUCT((J156&gt;=HolidayStart)*(J156&lt;=HolidayEnd)*(HolidayStart&lt;&gt;""))&gt;0,"Conflict: "&amp;INDEX(HolidayName,SUMPRODUCT((J156&gt;=HolidayStart)*(J156&lt;=HolidayEnd)*(HolidayStart&lt;&gt;"")*ROW(HolidayStart))-ROW(INDEX(HolidayStart,1,1))+1),""))</f>
        <v/>
      </c>
    </row>
    <row r="157" spans="1:17" ht="24" customHeight="1">
      <c r="A157" s="14">
        <v>153</v>
      </c>
      <c r="B157" s="15"/>
      <c r="C157" s="16"/>
      <c r="D157" s="16"/>
      <c r="E157" s="17"/>
      <c r="F157" s="18"/>
      <c r="G157" s="18"/>
      <c r="H157" s="18"/>
      <c r="I157" s="19"/>
      <c r="J157" s="19"/>
      <c r="K157" s="18"/>
      <c r="L157" s="18"/>
      <c r="M157" s="18"/>
      <c r="N157" s="17"/>
      <c r="O157" s="17"/>
      <c r="P157" s="17"/>
      <c r="Q157" s="20" t="str">
        <f>IF(OR(B157="",J157=""),"",IF(SUMPRODUCT((J157&gt;=HolidayStart)*(J157&lt;=HolidayEnd)*(HolidayStart&lt;&gt;""))&gt;0,"Conflict: "&amp;INDEX(HolidayName,SUMPRODUCT((J157&gt;=HolidayStart)*(J157&lt;=HolidayEnd)*(HolidayStart&lt;&gt;"")*ROW(HolidayStart))-ROW(INDEX(HolidayStart,1,1))+1),""))</f>
        <v/>
      </c>
    </row>
    <row r="158" spans="1:17" ht="24" customHeight="1">
      <c r="A158" s="21">
        <v>154</v>
      </c>
      <c r="B158" s="22"/>
      <c r="C158" s="23"/>
      <c r="D158" s="23"/>
      <c r="E158" s="24"/>
      <c r="F158" s="25"/>
      <c r="G158" s="25"/>
      <c r="H158" s="25"/>
      <c r="I158" s="26"/>
      <c r="J158" s="26"/>
      <c r="K158" s="25"/>
      <c r="L158" s="25"/>
      <c r="M158" s="25"/>
      <c r="N158" s="24"/>
      <c r="O158" s="24"/>
      <c r="P158" s="24"/>
      <c r="Q158" s="27" t="str">
        <f>IF(OR(B158="",J158=""),"",IF(SUMPRODUCT((J158&gt;=HolidayStart)*(J158&lt;=HolidayEnd)*(HolidayStart&lt;&gt;""))&gt;0,"Conflict: "&amp;INDEX(HolidayName,SUMPRODUCT((J158&gt;=HolidayStart)*(J158&lt;=HolidayEnd)*(HolidayStart&lt;&gt;"")*ROW(HolidayStart))-ROW(INDEX(HolidayStart,1,1))+1),""))</f>
        <v/>
      </c>
    </row>
    <row r="159" spans="1:17" ht="24" customHeight="1">
      <c r="A159" s="14">
        <v>155</v>
      </c>
      <c r="B159" s="15"/>
      <c r="C159" s="16"/>
      <c r="D159" s="16"/>
      <c r="E159" s="17"/>
      <c r="F159" s="18"/>
      <c r="G159" s="18"/>
      <c r="H159" s="18"/>
      <c r="I159" s="19"/>
      <c r="J159" s="19"/>
      <c r="K159" s="18"/>
      <c r="L159" s="18"/>
      <c r="M159" s="18"/>
      <c r="N159" s="17"/>
      <c r="O159" s="17"/>
      <c r="P159" s="17"/>
      <c r="Q159" s="20" t="str">
        <f>IF(OR(B159="",J159=""),"",IF(SUMPRODUCT((J159&gt;=HolidayStart)*(J159&lt;=HolidayEnd)*(HolidayStart&lt;&gt;""))&gt;0,"Conflict: "&amp;INDEX(HolidayName,SUMPRODUCT((J159&gt;=HolidayStart)*(J159&lt;=HolidayEnd)*(HolidayStart&lt;&gt;"")*ROW(HolidayStart))-ROW(INDEX(HolidayStart,1,1))+1),""))</f>
        <v/>
      </c>
    </row>
    <row r="160" spans="1:17" ht="24" customHeight="1">
      <c r="A160" s="21">
        <v>156</v>
      </c>
      <c r="B160" s="22"/>
      <c r="C160" s="23"/>
      <c r="D160" s="23"/>
      <c r="E160" s="24"/>
      <c r="F160" s="25"/>
      <c r="G160" s="25"/>
      <c r="H160" s="25"/>
      <c r="I160" s="26"/>
      <c r="J160" s="26"/>
      <c r="K160" s="25"/>
      <c r="L160" s="25"/>
      <c r="M160" s="25"/>
      <c r="N160" s="24"/>
      <c r="O160" s="24"/>
      <c r="P160" s="24"/>
      <c r="Q160" s="27" t="str">
        <f>IF(OR(B160="",J160=""),"",IF(SUMPRODUCT((J160&gt;=HolidayStart)*(J160&lt;=HolidayEnd)*(HolidayStart&lt;&gt;""))&gt;0,"Conflict: "&amp;INDEX(HolidayName,SUMPRODUCT((J160&gt;=HolidayStart)*(J160&lt;=HolidayEnd)*(HolidayStart&lt;&gt;"")*ROW(HolidayStart))-ROW(INDEX(HolidayStart,1,1))+1),""))</f>
        <v/>
      </c>
    </row>
    <row r="161" spans="1:17" ht="24" customHeight="1">
      <c r="A161" s="14">
        <v>157</v>
      </c>
      <c r="B161" s="15"/>
      <c r="C161" s="16"/>
      <c r="D161" s="16"/>
      <c r="E161" s="17"/>
      <c r="F161" s="18"/>
      <c r="G161" s="18"/>
      <c r="H161" s="18"/>
      <c r="I161" s="19"/>
      <c r="J161" s="19"/>
      <c r="K161" s="18"/>
      <c r="L161" s="18"/>
      <c r="M161" s="18"/>
      <c r="N161" s="17"/>
      <c r="O161" s="17"/>
      <c r="P161" s="17"/>
      <c r="Q161" s="20" t="str">
        <f>IF(OR(B161="",J161=""),"",IF(SUMPRODUCT((J161&gt;=HolidayStart)*(J161&lt;=HolidayEnd)*(HolidayStart&lt;&gt;""))&gt;0,"Conflict: "&amp;INDEX(HolidayName,SUMPRODUCT((J161&gt;=HolidayStart)*(J161&lt;=HolidayEnd)*(HolidayStart&lt;&gt;"")*ROW(HolidayStart))-ROW(INDEX(HolidayStart,1,1))+1),""))</f>
        <v/>
      </c>
    </row>
    <row r="162" spans="1:17" ht="24" customHeight="1">
      <c r="A162" s="21">
        <v>158</v>
      </c>
      <c r="B162" s="22"/>
      <c r="C162" s="23"/>
      <c r="D162" s="23"/>
      <c r="E162" s="24"/>
      <c r="F162" s="25"/>
      <c r="G162" s="25"/>
      <c r="H162" s="25"/>
      <c r="I162" s="26"/>
      <c r="J162" s="26"/>
      <c r="K162" s="25"/>
      <c r="L162" s="25"/>
      <c r="M162" s="25"/>
      <c r="N162" s="24"/>
      <c r="O162" s="24"/>
      <c r="P162" s="24"/>
      <c r="Q162" s="27" t="str">
        <f>IF(OR(B162="",J162=""),"",IF(SUMPRODUCT((J162&gt;=HolidayStart)*(J162&lt;=HolidayEnd)*(HolidayStart&lt;&gt;""))&gt;0,"Conflict: "&amp;INDEX(HolidayName,SUMPRODUCT((J162&gt;=HolidayStart)*(J162&lt;=HolidayEnd)*(HolidayStart&lt;&gt;"")*ROW(HolidayStart))-ROW(INDEX(HolidayStart,1,1))+1),""))</f>
        <v/>
      </c>
    </row>
    <row r="163" spans="1:17" ht="24" customHeight="1">
      <c r="A163" s="14">
        <v>159</v>
      </c>
      <c r="B163" s="15"/>
      <c r="C163" s="16"/>
      <c r="D163" s="16"/>
      <c r="E163" s="17"/>
      <c r="F163" s="18"/>
      <c r="G163" s="18"/>
      <c r="H163" s="18"/>
      <c r="I163" s="19"/>
      <c r="J163" s="19"/>
      <c r="K163" s="18"/>
      <c r="L163" s="18"/>
      <c r="M163" s="18"/>
      <c r="N163" s="17"/>
      <c r="O163" s="17"/>
      <c r="P163" s="17"/>
      <c r="Q163" s="20" t="str">
        <f>IF(OR(B163="",J163=""),"",IF(SUMPRODUCT((J163&gt;=HolidayStart)*(J163&lt;=HolidayEnd)*(HolidayStart&lt;&gt;""))&gt;0,"Conflict: "&amp;INDEX(HolidayName,SUMPRODUCT((J163&gt;=HolidayStart)*(J163&lt;=HolidayEnd)*(HolidayStart&lt;&gt;"")*ROW(HolidayStart))-ROW(INDEX(HolidayStart,1,1))+1),""))</f>
        <v/>
      </c>
    </row>
    <row r="164" spans="1:17" ht="24" customHeight="1">
      <c r="A164" s="21">
        <v>160</v>
      </c>
      <c r="B164" s="22"/>
      <c r="C164" s="23"/>
      <c r="D164" s="23"/>
      <c r="E164" s="24"/>
      <c r="F164" s="25"/>
      <c r="G164" s="25"/>
      <c r="H164" s="25"/>
      <c r="I164" s="26"/>
      <c r="J164" s="26"/>
      <c r="K164" s="25"/>
      <c r="L164" s="25"/>
      <c r="M164" s="25"/>
      <c r="N164" s="24"/>
      <c r="O164" s="24"/>
      <c r="P164" s="24"/>
      <c r="Q164" s="27" t="str">
        <f>IF(OR(B164="",J164=""),"",IF(SUMPRODUCT((J164&gt;=HolidayStart)*(J164&lt;=HolidayEnd)*(HolidayStart&lt;&gt;""))&gt;0,"Conflict: "&amp;INDEX(HolidayName,SUMPRODUCT((J164&gt;=HolidayStart)*(J164&lt;=HolidayEnd)*(HolidayStart&lt;&gt;"")*ROW(HolidayStart))-ROW(INDEX(HolidayStart,1,1))+1),""))</f>
        <v/>
      </c>
    </row>
    <row r="165" spans="1:17" ht="24" customHeight="1">
      <c r="A165" s="14">
        <v>161</v>
      </c>
      <c r="B165" s="15"/>
      <c r="C165" s="16"/>
      <c r="D165" s="16"/>
      <c r="E165" s="17"/>
      <c r="F165" s="18"/>
      <c r="G165" s="18"/>
      <c r="H165" s="18"/>
      <c r="I165" s="19"/>
      <c r="J165" s="19"/>
      <c r="K165" s="18"/>
      <c r="L165" s="18"/>
      <c r="M165" s="18"/>
      <c r="N165" s="17"/>
      <c r="O165" s="17"/>
      <c r="P165" s="17"/>
      <c r="Q165" s="20" t="str">
        <f>IF(OR(B165="",J165=""),"",IF(SUMPRODUCT((J165&gt;=HolidayStart)*(J165&lt;=HolidayEnd)*(HolidayStart&lt;&gt;""))&gt;0,"Conflict: "&amp;INDEX(HolidayName,SUMPRODUCT((J165&gt;=HolidayStart)*(J165&lt;=HolidayEnd)*(HolidayStart&lt;&gt;"")*ROW(HolidayStart))-ROW(INDEX(HolidayStart,1,1))+1),""))</f>
        <v/>
      </c>
    </row>
    <row r="166" spans="1:17" ht="24" customHeight="1">
      <c r="A166" s="21">
        <v>162</v>
      </c>
      <c r="B166" s="22"/>
      <c r="C166" s="23"/>
      <c r="D166" s="23"/>
      <c r="E166" s="24"/>
      <c r="F166" s="25"/>
      <c r="G166" s="25"/>
      <c r="H166" s="25"/>
      <c r="I166" s="26"/>
      <c r="J166" s="26"/>
      <c r="K166" s="25"/>
      <c r="L166" s="25"/>
      <c r="M166" s="25"/>
      <c r="N166" s="24"/>
      <c r="O166" s="24"/>
      <c r="P166" s="24"/>
      <c r="Q166" s="27" t="str">
        <f>IF(OR(B166="",J166=""),"",IF(SUMPRODUCT((J166&gt;=HolidayStart)*(J166&lt;=HolidayEnd)*(HolidayStart&lt;&gt;""))&gt;0,"Conflict: "&amp;INDEX(HolidayName,SUMPRODUCT((J166&gt;=HolidayStart)*(J166&lt;=HolidayEnd)*(HolidayStart&lt;&gt;"")*ROW(HolidayStart))-ROW(INDEX(HolidayStart,1,1))+1),""))</f>
        <v/>
      </c>
    </row>
    <row r="167" spans="1:17" ht="24" customHeight="1">
      <c r="A167" s="14">
        <v>163</v>
      </c>
      <c r="B167" s="15"/>
      <c r="C167" s="16"/>
      <c r="D167" s="16"/>
      <c r="E167" s="17"/>
      <c r="F167" s="18"/>
      <c r="G167" s="18"/>
      <c r="H167" s="18"/>
      <c r="I167" s="19"/>
      <c r="J167" s="19"/>
      <c r="K167" s="18"/>
      <c r="L167" s="18"/>
      <c r="M167" s="18"/>
      <c r="N167" s="17"/>
      <c r="O167" s="17"/>
      <c r="P167" s="17"/>
      <c r="Q167" s="20" t="str">
        <f>IF(OR(B167="",J167=""),"",IF(SUMPRODUCT((J167&gt;=HolidayStart)*(J167&lt;=HolidayEnd)*(HolidayStart&lt;&gt;""))&gt;0,"Conflict: "&amp;INDEX(HolidayName,SUMPRODUCT((J167&gt;=HolidayStart)*(J167&lt;=HolidayEnd)*(HolidayStart&lt;&gt;"")*ROW(HolidayStart))-ROW(INDEX(HolidayStart,1,1))+1),""))</f>
        <v/>
      </c>
    </row>
    <row r="168" spans="1:17" ht="24" customHeight="1">
      <c r="A168" s="21">
        <v>164</v>
      </c>
      <c r="B168" s="22"/>
      <c r="C168" s="23"/>
      <c r="D168" s="23"/>
      <c r="E168" s="24"/>
      <c r="F168" s="25"/>
      <c r="G168" s="25"/>
      <c r="H168" s="25"/>
      <c r="I168" s="26"/>
      <c r="J168" s="26"/>
      <c r="K168" s="25"/>
      <c r="L168" s="25"/>
      <c r="M168" s="25"/>
      <c r="N168" s="24"/>
      <c r="O168" s="24"/>
      <c r="P168" s="24"/>
      <c r="Q168" s="27" t="str">
        <f>IF(OR(B168="",J168=""),"",IF(SUMPRODUCT((J168&gt;=HolidayStart)*(J168&lt;=HolidayEnd)*(HolidayStart&lt;&gt;""))&gt;0,"Conflict: "&amp;INDEX(HolidayName,SUMPRODUCT((J168&gt;=HolidayStart)*(J168&lt;=HolidayEnd)*(HolidayStart&lt;&gt;"")*ROW(HolidayStart))-ROW(INDEX(HolidayStart,1,1))+1),""))</f>
        <v/>
      </c>
    </row>
    <row r="169" spans="1:17" ht="24" customHeight="1">
      <c r="A169" s="14">
        <v>165</v>
      </c>
      <c r="B169" s="15"/>
      <c r="C169" s="16"/>
      <c r="D169" s="16"/>
      <c r="E169" s="17"/>
      <c r="F169" s="18"/>
      <c r="G169" s="18"/>
      <c r="H169" s="18"/>
      <c r="I169" s="19"/>
      <c r="J169" s="19"/>
      <c r="K169" s="18"/>
      <c r="L169" s="18"/>
      <c r="M169" s="18"/>
      <c r="N169" s="17"/>
      <c r="O169" s="17"/>
      <c r="P169" s="17"/>
      <c r="Q169" s="20" t="str">
        <f>IF(OR(B169="",J169=""),"",IF(SUMPRODUCT((J169&gt;=HolidayStart)*(J169&lt;=HolidayEnd)*(HolidayStart&lt;&gt;""))&gt;0,"Conflict: "&amp;INDEX(HolidayName,SUMPRODUCT((J169&gt;=HolidayStart)*(J169&lt;=HolidayEnd)*(HolidayStart&lt;&gt;"")*ROW(HolidayStart))-ROW(INDEX(HolidayStart,1,1))+1),""))</f>
        <v/>
      </c>
    </row>
    <row r="170" spans="1:17" ht="24" customHeight="1">
      <c r="A170" s="21">
        <v>166</v>
      </c>
      <c r="B170" s="22"/>
      <c r="C170" s="23"/>
      <c r="D170" s="23"/>
      <c r="E170" s="24"/>
      <c r="F170" s="25"/>
      <c r="G170" s="25"/>
      <c r="H170" s="25"/>
      <c r="I170" s="26"/>
      <c r="J170" s="26"/>
      <c r="K170" s="25"/>
      <c r="L170" s="25"/>
      <c r="M170" s="25"/>
      <c r="N170" s="24"/>
      <c r="O170" s="24"/>
      <c r="P170" s="24"/>
      <c r="Q170" s="27" t="str">
        <f>IF(OR(B170="",J170=""),"",IF(SUMPRODUCT((J170&gt;=HolidayStart)*(J170&lt;=HolidayEnd)*(HolidayStart&lt;&gt;""))&gt;0,"Conflict: "&amp;INDEX(HolidayName,SUMPRODUCT((J170&gt;=HolidayStart)*(J170&lt;=HolidayEnd)*(HolidayStart&lt;&gt;"")*ROW(HolidayStart))-ROW(INDEX(HolidayStart,1,1))+1),""))</f>
        <v/>
      </c>
    </row>
    <row r="171" spans="1:17" ht="24" customHeight="1">
      <c r="A171" s="14">
        <v>167</v>
      </c>
      <c r="B171" s="15"/>
      <c r="C171" s="16"/>
      <c r="D171" s="16"/>
      <c r="E171" s="17"/>
      <c r="F171" s="18"/>
      <c r="G171" s="18"/>
      <c r="H171" s="18"/>
      <c r="I171" s="19"/>
      <c r="J171" s="19"/>
      <c r="K171" s="18"/>
      <c r="L171" s="18"/>
      <c r="M171" s="18"/>
      <c r="N171" s="17"/>
      <c r="O171" s="17"/>
      <c r="P171" s="17"/>
      <c r="Q171" s="20" t="str">
        <f>IF(OR(B171="",J171=""),"",IF(SUMPRODUCT((J171&gt;=HolidayStart)*(J171&lt;=HolidayEnd)*(HolidayStart&lt;&gt;""))&gt;0,"Conflict: "&amp;INDEX(HolidayName,SUMPRODUCT((J171&gt;=HolidayStart)*(J171&lt;=HolidayEnd)*(HolidayStart&lt;&gt;"")*ROW(HolidayStart))-ROW(INDEX(HolidayStart,1,1))+1),""))</f>
        <v/>
      </c>
    </row>
    <row r="172" spans="1:17" ht="24" customHeight="1">
      <c r="A172" s="21">
        <v>168</v>
      </c>
      <c r="B172" s="22"/>
      <c r="C172" s="23"/>
      <c r="D172" s="23"/>
      <c r="E172" s="24"/>
      <c r="F172" s="25"/>
      <c r="G172" s="25"/>
      <c r="H172" s="25"/>
      <c r="I172" s="26"/>
      <c r="J172" s="26"/>
      <c r="K172" s="25"/>
      <c r="L172" s="25"/>
      <c r="M172" s="25"/>
      <c r="N172" s="24"/>
      <c r="O172" s="24"/>
      <c r="P172" s="24"/>
      <c r="Q172" s="27" t="str">
        <f>IF(OR(B172="",J172=""),"",IF(SUMPRODUCT((J172&gt;=HolidayStart)*(J172&lt;=HolidayEnd)*(HolidayStart&lt;&gt;""))&gt;0,"Conflict: "&amp;INDEX(HolidayName,SUMPRODUCT((J172&gt;=HolidayStart)*(J172&lt;=HolidayEnd)*(HolidayStart&lt;&gt;"")*ROW(HolidayStart))-ROW(INDEX(HolidayStart,1,1))+1),""))</f>
        <v/>
      </c>
    </row>
    <row r="173" spans="1:17" ht="24" customHeight="1">
      <c r="A173" s="14">
        <v>169</v>
      </c>
      <c r="B173" s="15"/>
      <c r="C173" s="16"/>
      <c r="D173" s="16"/>
      <c r="E173" s="17"/>
      <c r="F173" s="18"/>
      <c r="G173" s="18"/>
      <c r="H173" s="18"/>
      <c r="I173" s="19"/>
      <c r="J173" s="19"/>
      <c r="K173" s="18"/>
      <c r="L173" s="18"/>
      <c r="M173" s="18"/>
      <c r="N173" s="17"/>
      <c r="O173" s="17"/>
      <c r="P173" s="17"/>
      <c r="Q173" s="20" t="str">
        <f>IF(OR(B173="",J173=""),"",IF(SUMPRODUCT((J173&gt;=HolidayStart)*(J173&lt;=HolidayEnd)*(HolidayStart&lt;&gt;""))&gt;0,"Conflict: "&amp;INDEX(HolidayName,SUMPRODUCT((J173&gt;=HolidayStart)*(J173&lt;=HolidayEnd)*(HolidayStart&lt;&gt;"")*ROW(HolidayStart))-ROW(INDEX(HolidayStart,1,1))+1),""))</f>
        <v/>
      </c>
    </row>
    <row r="174" spans="1:17" ht="24" customHeight="1">
      <c r="A174" s="21">
        <v>170</v>
      </c>
      <c r="B174" s="22"/>
      <c r="C174" s="23"/>
      <c r="D174" s="23"/>
      <c r="E174" s="24"/>
      <c r="F174" s="25"/>
      <c r="G174" s="25"/>
      <c r="H174" s="25"/>
      <c r="I174" s="26"/>
      <c r="J174" s="26"/>
      <c r="K174" s="25"/>
      <c r="L174" s="25"/>
      <c r="M174" s="25"/>
      <c r="N174" s="24"/>
      <c r="O174" s="24"/>
      <c r="P174" s="24"/>
      <c r="Q174" s="27" t="str">
        <f>IF(OR(B174="",J174=""),"",IF(SUMPRODUCT((J174&gt;=HolidayStart)*(J174&lt;=HolidayEnd)*(HolidayStart&lt;&gt;""))&gt;0,"Conflict: "&amp;INDEX(HolidayName,SUMPRODUCT((J174&gt;=HolidayStart)*(J174&lt;=HolidayEnd)*(HolidayStart&lt;&gt;"")*ROW(HolidayStart))-ROW(INDEX(HolidayStart,1,1))+1),""))</f>
        <v/>
      </c>
    </row>
    <row r="175" spans="1:17" ht="24" customHeight="1">
      <c r="A175" s="14">
        <v>171</v>
      </c>
      <c r="B175" s="15"/>
      <c r="C175" s="16"/>
      <c r="D175" s="16"/>
      <c r="E175" s="17"/>
      <c r="F175" s="18"/>
      <c r="G175" s="18"/>
      <c r="H175" s="18"/>
      <c r="I175" s="19"/>
      <c r="J175" s="19"/>
      <c r="K175" s="18"/>
      <c r="L175" s="18"/>
      <c r="M175" s="18"/>
      <c r="N175" s="17"/>
      <c r="O175" s="17"/>
      <c r="P175" s="17"/>
      <c r="Q175" s="20" t="str">
        <f>IF(OR(B175="",J175=""),"",IF(SUMPRODUCT((J175&gt;=HolidayStart)*(J175&lt;=HolidayEnd)*(HolidayStart&lt;&gt;""))&gt;0,"Conflict: "&amp;INDEX(HolidayName,SUMPRODUCT((J175&gt;=HolidayStart)*(J175&lt;=HolidayEnd)*(HolidayStart&lt;&gt;"")*ROW(HolidayStart))-ROW(INDEX(HolidayStart,1,1))+1),""))</f>
        <v/>
      </c>
    </row>
    <row r="176" spans="1:17" ht="24" customHeight="1">
      <c r="A176" s="21">
        <v>172</v>
      </c>
      <c r="B176" s="22"/>
      <c r="C176" s="23"/>
      <c r="D176" s="23"/>
      <c r="E176" s="24"/>
      <c r="F176" s="25"/>
      <c r="G176" s="25"/>
      <c r="H176" s="25"/>
      <c r="I176" s="26"/>
      <c r="J176" s="26"/>
      <c r="K176" s="25"/>
      <c r="L176" s="25"/>
      <c r="M176" s="25"/>
      <c r="N176" s="24"/>
      <c r="O176" s="24"/>
      <c r="P176" s="24"/>
      <c r="Q176" s="27" t="str">
        <f>IF(OR(B176="",J176=""),"",IF(SUMPRODUCT((J176&gt;=HolidayStart)*(J176&lt;=HolidayEnd)*(HolidayStart&lt;&gt;""))&gt;0,"Conflict: "&amp;INDEX(HolidayName,SUMPRODUCT((J176&gt;=HolidayStart)*(J176&lt;=HolidayEnd)*(HolidayStart&lt;&gt;"")*ROW(HolidayStart))-ROW(INDEX(HolidayStart,1,1))+1),""))</f>
        <v/>
      </c>
    </row>
    <row r="177" spans="1:17" ht="24" customHeight="1">
      <c r="A177" s="14">
        <v>173</v>
      </c>
      <c r="B177" s="15"/>
      <c r="C177" s="16"/>
      <c r="D177" s="16"/>
      <c r="E177" s="17"/>
      <c r="F177" s="18"/>
      <c r="G177" s="18"/>
      <c r="H177" s="18"/>
      <c r="I177" s="19"/>
      <c r="J177" s="19"/>
      <c r="K177" s="18"/>
      <c r="L177" s="18"/>
      <c r="M177" s="18"/>
      <c r="N177" s="17"/>
      <c r="O177" s="17"/>
      <c r="P177" s="17"/>
      <c r="Q177" s="20" t="str">
        <f>IF(OR(B177="",J177=""),"",IF(SUMPRODUCT((J177&gt;=HolidayStart)*(J177&lt;=HolidayEnd)*(HolidayStart&lt;&gt;""))&gt;0,"Conflict: "&amp;INDEX(HolidayName,SUMPRODUCT((J177&gt;=HolidayStart)*(J177&lt;=HolidayEnd)*(HolidayStart&lt;&gt;"")*ROW(HolidayStart))-ROW(INDEX(HolidayStart,1,1))+1),""))</f>
        <v/>
      </c>
    </row>
    <row r="178" spans="1:17" ht="24" customHeight="1">
      <c r="A178" s="21">
        <v>174</v>
      </c>
      <c r="B178" s="22"/>
      <c r="C178" s="23"/>
      <c r="D178" s="23"/>
      <c r="E178" s="24"/>
      <c r="F178" s="25"/>
      <c r="G178" s="25"/>
      <c r="H178" s="25"/>
      <c r="I178" s="26"/>
      <c r="J178" s="26"/>
      <c r="K178" s="25"/>
      <c r="L178" s="25"/>
      <c r="M178" s="25"/>
      <c r="N178" s="24"/>
      <c r="O178" s="24"/>
      <c r="P178" s="24"/>
      <c r="Q178" s="27" t="str">
        <f>IF(OR(B178="",J178=""),"",IF(SUMPRODUCT((J178&gt;=HolidayStart)*(J178&lt;=HolidayEnd)*(HolidayStart&lt;&gt;""))&gt;0,"Conflict: "&amp;INDEX(HolidayName,SUMPRODUCT((J178&gt;=HolidayStart)*(J178&lt;=HolidayEnd)*(HolidayStart&lt;&gt;"")*ROW(HolidayStart))-ROW(INDEX(HolidayStart,1,1))+1),""))</f>
        <v/>
      </c>
    </row>
    <row r="179" spans="1:17" ht="24" customHeight="1">
      <c r="A179" s="14">
        <v>175</v>
      </c>
      <c r="B179" s="15"/>
      <c r="C179" s="16"/>
      <c r="D179" s="16"/>
      <c r="E179" s="17"/>
      <c r="F179" s="18"/>
      <c r="G179" s="18"/>
      <c r="H179" s="18"/>
      <c r="I179" s="19"/>
      <c r="J179" s="19"/>
      <c r="K179" s="18"/>
      <c r="L179" s="18"/>
      <c r="M179" s="18"/>
      <c r="N179" s="17"/>
      <c r="O179" s="17"/>
      <c r="P179" s="17"/>
      <c r="Q179" s="20" t="str">
        <f>IF(OR(B179="",J179=""),"",IF(SUMPRODUCT((J179&gt;=HolidayStart)*(J179&lt;=HolidayEnd)*(HolidayStart&lt;&gt;""))&gt;0,"Conflict: "&amp;INDEX(HolidayName,SUMPRODUCT((J179&gt;=HolidayStart)*(J179&lt;=HolidayEnd)*(HolidayStart&lt;&gt;"")*ROW(HolidayStart))-ROW(INDEX(HolidayStart,1,1))+1),""))</f>
        <v/>
      </c>
    </row>
    <row r="180" spans="1:17" ht="24" customHeight="1">
      <c r="A180" s="21">
        <v>176</v>
      </c>
      <c r="B180" s="22"/>
      <c r="C180" s="23"/>
      <c r="D180" s="23"/>
      <c r="E180" s="24"/>
      <c r="F180" s="25"/>
      <c r="G180" s="25"/>
      <c r="H180" s="25"/>
      <c r="I180" s="26"/>
      <c r="J180" s="26"/>
      <c r="K180" s="25"/>
      <c r="L180" s="25"/>
      <c r="M180" s="25"/>
      <c r="N180" s="24"/>
      <c r="O180" s="24"/>
      <c r="P180" s="24"/>
      <c r="Q180" s="27" t="str">
        <f>IF(OR(B180="",J180=""),"",IF(SUMPRODUCT((J180&gt;=HolidayStart)*(J180&lt;=HolidayEnd)*(HolidayStart&lt;&gt;""))&gt;0,"Conflict: "&amp;INDEX(HolidayName,SUMPRODUCT((J180&gt;=HolidayStart)*(J180&lt;=HolidayEnd)*(HolidayStart&lt;&gt;"")*ROW(HolidayStart))-ROW(INDEX(HolidayStart,1,1))+1),""))</f>
        <v/>
      </c>
    </row>
    <row r="181" spans="1:17" ht="24" customHeight="1">
      <c r="A181" s="14">
        <v>177</v>
      </c>
      <c r="B181" s="15"/>
      <c r="C181" s="16"/>
      <c r="D181" s="16"/>
      <c r="E181" s="17"/>
      <c r="F181" s="18"/>
      <c r="G181" s="18"/>
      <c r="H181" s="18"/>
      <c r="I181" s="19"/>
      <c r="J181" s="19"/>
      <c r="K181" s="18"/>
      <c r="L181" s="18"/>
      <c r="M181" s="18"/>
      <c r="N181" s="17"/>
      <c r="O181" s="17"/>
      <c r="P181" s="17"/>
      <c r="Q181" s="20" t="str">
        <f>IF(OR(B181="",J181=""),"",IF(SUMPRODUCT((J181&gt;=HolidayStart)*(J181&lt;=HolidayEnd)*(HolidayStart&lt;&gt;""))&gt;0,"Conflict: "&amp;INDEX(HolidayName,SUMPRODUCT((J181&gt;=HolidayStart)*(J181&lt;=HolidayEnd)*(HolidayStart&lt;&gt;"")*ROW(HolidayStart))-ROW(INDEX(HolidayStart,1,1))+1),""))</f>
        <v/>
      </c>
    </row>
    <row r="182" spans="1:17" ht="24" customHeight="1">
      <c r="A182" s="21">
        <v>178</v>
      </c>
      <c r="B182" s="22"/>
      <c r="C182" s="23"/>
      <c r="D182" s="23"/>
      <c r="E182" s="24"/>
      <c r="F182" s="25"/>
      <c r="G182" s="25"/>
      <c r="H182" s="25"/>
      <c r="I182" s="26"/>
      <c r="J182" s="26"/>
      <c r="K182" s="25"/>
      <c r="L182" s="25"/>
      <c r="M182" s="25"/>
      <c r="N182" s="24"/>
      <c r="O182" s="24"/>
      <c r="P182" s="24"/>
      <c r="Q182" s="27" t="str">
        <f>IF(OR(B182="",J182=""),"",IF(SUMPRODUCT((J182&gt;=HolidayStart)*(J182&lt;=HolidayEnd)*(HolidayStart&lt;&gt;""))&gt;0,"Conflict: "&amp;INDEX(HolidayName,SUMPRODUCT((J182&gt;=HolidayStart)*(J182&lt;=HolidayEnd)*(HolidayStart&lt;&gt;"")*ROW(HolidayStart))-ROW(INDEX(HolidayStart,1,1))+1),""))</f>
        <v/>
      </c>
    </row>
    <row r="183" spans="1:17" ht="24" customHeight="1">
      <c r="A183" s="14">
        <v>179</v>
      </c>
      <c r="B183" s="15"/>
      <c r="C183" s="16"/>
      <c r="D183" s="16"/>
      <c r="E183" s="17"/>
      <c r="F183" s="18"/>
      <c r="G183" s="18"/>
      <c r="H183" s="18"/>
      <c r="I183" s="19"/>
      <c r="J183" s="19"/>
      <c r="K183" s="18"/>
      <c r="L183" s="18"/>
      <c r="M183" s="18"/>
      <c r="N183" s="17"/>
      <c r="O183" s="17"/>
      <c r="P183" s="17"/>
      <c r="Q183" s="20" t="str">
        <f>IF(OR(B183="",J183=""),"",IF(SUMPRODUCT((J183&gt;=HolidayStart)*(J183&lt;=HolidayEnd)*(HolidayStart&lt;&gt;""))&gt;0,"Conflict: "&amp;INDEX(HolidayName,SUMPRODUCT((J183&gt;=HolidayStart)*(J183&lt;=HolidayEnd)*(HolidayStart&lt;&gt;"")*ROW(HolidayStart))-ROW(INDEX(HolidayStart,1,1))+1),""))</f>
        <v/>
      </c>
    </row>
    <row r="184" spans="1:17" ht="24" customHeight="1">
      <c r="A184" s="21">
        <v>180</v>
      </c>
      <c r="B184" s="22"/>
      <c r="C184" s="23"/>
      <c r="D184" s="23"/>
      <c r="E184" s="24"/>
      <c r="F184" s="25"/>
      <c r="G184" s="25"/>
      <c r="H184" s="25"/>
      <c r="I184" s="26"/>
      <c r="J184" s="26"/>
      <c r="K184" s="25"/>
      <c r="L184" s="25"/>
      <c r="M184" s="25"/>
      <c r="N184" s="24"/>
      <c r="O184" s="24"/>
      <c r="P184" s="24"/>
      <c r="Q184" s="27" t="str">
        <f>IF(OR(B184="",J184=""),"",IF(SUMPRODUCT((J184&gt;=HolidayStart)*(J184&lt;=HolidayEnd)*(HolidayStart&lt;&gt;""))&gt;0,"Conflict: "&amp;INDEX(HolidayName,SUMPRODUCT((J184&gt;=HolidayStart)*(J184&lt;=HolidayEnd)*(HolidayStart&lt;&gt;"")*ROW(HolidayStart))-ROW(INDEX(HolidayStart,1,1))+1),""))</f>
        <v/>
      </c>
    </row>
    <row r="185" spans="1:17" ht="24" customHeight="1">
      <c r="A185" s="14">
        <v>181</v>
      </c>
      <c r="B185" s="15"/>
      <c r="C185" s="16"/>
      <c r="D185" s="16"/>
      <c r="E185" s="17"/>
      <c r="F185" s="18"/>
      <c r="G185" s="18"/>
      <c r="H185" s="18"/>
      <c r="I185" s="19"/>
      <c r="J185" s="19"/>
      <c r="K185" s="18"/>
      <c r="L185" s="18"/>
      <c r="M185" s="18"/>
      <c r="N185" s="17"/>
      <c r="O185" s="17"/>
      <c r="P185" s="17"/>
      <c r="Q185" s="20" t="str">
        <f>IF(OR(B185="",J185=""),"",IF(SUMPRODUCT((J185&gt;=HolidayStart)*(J185&lt;=HolidayEnd)*(HolidayStart&lt;&gt;""))&gt;0,"Conflict: "&amp;INDEX(HolidayName,SUMPRODUCT((J185&gt;=HolidayStart)*(J185&lt;=HolidayEnd)*(HolidayStart&lt;&gt;"")*ROW(HolidayStart))-ROW(INDEX(HolidayStart,1,1))+1),""))</f>
        <v/>
      </c>
    </row>
    <row r="186" spans="1:17" ht="24" customHeight="1">
      <c r="A186" s="21">
        <v>182</v>
      </c>
      <c r="B186" s="22"/>
      <c r="C186" s="23"/>
      <c r="D186" s="23"/>
      <c r="E186" s="24"/>
      <c r="F186" s="25"/>
      <c r="G186" s="25"/>
      <c r="H186" s="25"/>
      <c r="I186" s="26"/>
      <c r="J186" s="26"/>
      <c r="K186" s="25"/>
      <c r="L186" s="25"/>
      <c r="M186" s="25"/>
      <c r="N186" s="24"/>
      <c r="O186" s="24"/>
      <c r="P186" s="24"/>
      <c r="Q186" s="27" t="str">
        <f>IF(OR(B186="",J186=""),"",IF(SUMPRODUCT((J186&gt;=HolidayStart)*(J186&lt;=HolidayEnd)*(HolidayStart&lt;&gt;""))&gt;0,"Conflict: "&amp;INDEX(HolidayName,SUMPRODUCT((J186&gt;=HolidayStart)*(J186&lt;=HolidayEnd)*(HolidayStart&lt;&gt;"")*ROW(HolidayStart))-ROW(INDEX(HolidayStart,1,1))+1),""))</f>
        <v/>
      </c>
    </row>
    <row r="187" spans="1:17" ht="24" customHeight="1">
      <c r="A187" s="14">
        <v>183</v>
      </c>
      <c r="B187" s="15"/>
      <c r="C187" s="16"/>
      <c r="D187" s="16"/>
      <c r="E187" s="17"/>
      <c r="F187" s="18"/>
      <c r="G187" s="18"/>
      <c r="H187" s="18"/>
      <c r="I187" s="19"/>
      <c r="J187" s="19"/>
      <c r="K187" s="18"/>
      <c r="L187" s="18"/>
      <c r="M187" s="18"/>
      <c r="N187" s="17"/>
      <c r="O187" s="17"/>
      <c r="P187" s="17"/>
      <c r="Q187" s="20" t="str">
        <f>IF(OR(B187="",J187=""),"",IF(SUMPRODUCT((J187&gt;=HolidayStart)*(J187&lt;=HolidayEnd)*(HolidayStart&lt;&gt;""))&gt;0,"Conflict: "&amp;INDEX(HolidayName,SUMPRODUCT((J187&gt;=HolidayStart)*(J187&lt;=HolidayEnd)*(HolidayStart&lt;&gt;"")*ROW(HolidayStart))-ROW(INDEX(HolidayStart,1,1))+1),""))</f>
        <v/>
      </c>
    </row>
    <row r="188" spans="1:17" ht="24" customHeight="1">
      <c r="A188" s="21">
        <v>184</v>
      </c>
      <c r="B188" s="22"/>
      <c r="C188" s="23"/>
      <c r="D188" s="23"/>
      <c r="E188" s="24"/>
      <c r="F188" s="25"/>
      <c r="G188" s="25"/>
      <c r="H188" s="25"/>
      <c r="I188" s="26"/>
      <c r="J188" s="26"/>
      <c r="K188" s="25"/>
      <c r="L188" s="25"/>
      <c r="M188" s="25"/>
      <c r="N188" s="24"/>
      <c r="O188" s="24"/>
      <c r="P188" s="24"/>
      <c r="Q188" s="27" t="str">
        <f>IF(OR(B188="",J188=""),"",IF(SUMPRODUCT((J188&gt;=HolidayStart)*(J188&lt;=HolidayEnd)*(HolidayStart&lt;&gt;""))&gt;0,"Conflict: "&amp;INDEX(HolidayName,SUMPRODUCT((J188&gt;=HolidayStart)*(J188&lt;=HolidayEnd)*(HolidayStart&lt;&gt;"")*ROW(HolidayStart))-ROW(INDEX(HolidayStart,1,1))+1),""))</f>
        <v/>
      </c>
    </row>
    <row r="189" spans="1:17" ht="24" customHeight="1">
      <c r="A189" s="14">
        <v>185</v>
      </c>
      <c r="B189" s="15"/>
      <c r="C189" s="16"/>
      <c r="D189" s="16"/>
      <c r="E189" s="17"/>
      <c r="F189" s="18"/>
      <c r="G189" s="18"/>
      <c r="H189" s="18"/>
      <c r="I189" s="19"/>
      <c r="J189" s="19"/>
      <c r="K189" s="18"/>
      <c r="L189" s="18"/>
      <c r="M189" s="18"/>
      <c r="N189" s="17"/>
      <c r="O189" s="17"/>
      <c r="P189" s="17"/>
      <c r="Q189" s="20" t="str">
        <f>IF(OR(B189="",J189=""),"",IF(SUMPRODUCT((J189&gt;=HolidayStart)*(J189&lt;=HolidayEnd)*(HolidayStart&lt;&gt;""))&gt;0,"Conflict: "&amp;INDEX(HolidayName,SUMPRODUCT((J189&gt;=HolidayStart)*(J189&lt;=HolidayEnd)*(HolidayStart&lt;&gt;"")*ROW(HolidayStart))-ROW(INDEX(HolidayStart,1,1))+1),""))</f>
        <v/>
      </c>
    </row>
    <row r="190" spans="1:17" ht="24" customHeight="1">
      <c r="A190" s="21">
        <v>186</v>
      </c>
      <c r="B190" s="22"/>
      <c r="C190" s="23"/>
      <c r="D190" s="23"/>
      <c r="E190" s="24"/>
      <c r="F190" s="25"/>
      <c r="G190" s="25"/>
      <c r="H190" s="25"/>
      <c r="I190" s="26"/>
      <c r="J190" s="26"/>
      <c r="K190" s="25"/>
      <c r="L190" s="25"/>
      <c r="M190" s="25"/>
      <c r="N190" s="24"/>
      <c r="O190" s="24"/>
      <c r="P190" s="24"/>
      <c r="Q190" s="27" t="str">
        <f>IF(OR(B190="",J190=""),"",IF(SUMPRODUCT((J190&gt;=HolidayStart)*(J190&lt;=HolidayEnd)*(HolidayStart&lt;&gt;""))&gt;0,"Conflict: "&amp;INDEX(HolidayName,SUMPRODUCT((J190&gt;=HolidayStart)*(J190&lt;=HolidayEnd)*(HolidayStart&lt;&gt;"")*ROW(HolidayStart))-ROW(INDEX(HolidayStart,1,1))+1),""))</f>
        <v/>
      </c>
    </row>
    <row r="191" spans="1:17" ht="24" customHeight="1">
      <c r="A191" s="14">
        <v>187</v>
      </c>
      <c r="B191" s="15"/>
      <c r="C191" s="16"/>
      <c r="D191" s="16"/>
      <c r="E191" s="17"/>
      <c r="F191" s="18"/>
      <c r="G191" s="18"/>
      <c r="H191" s="18"/>
      <c r="I191" s="19"/>
      <c r="J191" s="19"/>
      <c r="K191" s="18"/>
      <c r="L191" s="18"/>
      <c r="M191" s="18"/>
      <c r="N191" s="17"/>
      <c r="O191" s="17"/>
      <c r="P191" s="17"/>
      <c r="Q191" s="20" t="str">
        <f>IF(OR(B191="",J191=""),"",IF(SUMPRODUCT((J191&gt;=HolidayStart)*(J191&lt;=HolidayEnd)*(HolidayStart&lt;&gt;""))&gt;0,"Conflict: "&amp;INDEX(HolidayName,SUMPRODUCT((J191&gt;=HolidayStart)*(J191&lt;=HolidayEnd)*(HolidayStart&lt;&gt;"")*ROW(HolidayStart))-ROW(INDEX(HolidayStart,1,1))+1),""))</f>
        <v/>
      </c>
    </row>
    <row r="192" spans="1:17" ht="24" customHeight="1">
      <c r="A192" s="21">
        <v>188</v>
      </c>
      <c r="B192" s="22"/>
      <c r="C192" s="23"/>
      <c r="D192" s="23"/>
      <c r="E192" s="24"/>
      <c r="F192" s="25"/>
      <c r="G192" s="25"/>
      <c r="H192" s="25"/>
      <c r="I192" s="26"/>
      <c r="J192" s="26"/>
      <c r="K192" s="25"/>
      <c r="L192" s="25"/>
      <c r="M192" s="25"/>
      <c r="N192" s="24"/>
      <c r="O192" s="24"/>
      <c r="P192" s="24"/>
      <c r="Q192" s="27" t="str">
        <f>IF(OR(B192="",J192=""),"",IF(SUMPRODUCT((J192&gt;=HolidayStart)*(J192&lt;=HolidayEnd)*(HolidayStart&lt;&gt;""))&gt;0,"Conflict: "&amp;INDEX(HolidayName,SUMPRODUCT((J192&gt;=HolidayStart)*(J192&lt;=HolidayEnd)*(HolidayStart&lt;&gt;"")*ROW(HolidayStart))-ROW(INDEX(HolidayStart,1,1))+1),""))</f>
        <v/>
      </c>
    </row>
    <row r="193" spans="1:17" ht="24" customHeight="1">
      <c r="A193" s="14">
        <v>189</v>
      </c>
      <c r="B193" s="15"/>
      <c r="C193" s="16"/>
      <c r="D193" s="16"/>
      <c r="E193" s="17"/>
      <c r="F193" s="18"/>
      <c r="G193" s="18"/>
      <c r="H193" s="18"/>
      <c r="I193" s="19"/>
      <c r="J193" s="19"/>
      <c r="K193" s="18"/>
      <c r="L193" s="18"/>
      <c r="M193" s="18"/>
      <c r="N193" s="17"/>
      <c r="O193" s="17"/>
      <c r="P193" s="17"/>
      <c r="Q193" s="20" t="str">
        <f>IF(OR(B193="",J193=""),"",IF(SUMPRODUCT((J193&gt;=HolidayStart)*(J193&lt;=HolidayEnd)*(HolidayStart&lt;&gt;""))&gt;0,"Conflict: "&amp;INDEX(HolidayName,SUMPRODUCT((J193&gt;=HolidayStart)*(J193&lt;=HolidayEnd)*(HolidayStart&lt;&gt;"")*ROW(HolidayStart))-ROW(INDEX(HolidayStart,1,1))+1),""))</f>
        <v/>
      </c>
    </row>
    <row r="194" spans="1:17" ht="24" customHeight="1">
      <c r="A194" s="21">
        <v>190</v>
      </c>
      <c r="B194" s="22"/>
      <c r="C194" s="23"/>
      <c r="D194" s="23"/>
      <c r="E194" s="24"/>
      <c r="F194" s="25"/>
      <c r="G194" s="25"/>
      <c r="H194" s="25"/>
      <c r="I194" s="26"/>
      <c r="J194" s="26"/>
      <c r="K194" s="25"/>
      <c r="L194" s="25"/>
      <c r="M194" s="25"/>
      <c r="N194" s="24"/>
      <c r="O194" s="24"/>
      <c r="P194" s="24"/>
      <c r="Q194" s="27" t="str">
        <f>IF(OR(B194="",J194=""),"",IF(SUMPRODUCT((J194&gt;=HolidayStart)*(J194&lt;=HolidayEnd)*(HolidayStart&lt;&gt;""))&gt;0,"Conflict: "&amp;INDEX(HolidayName,SUMPRODUCT((J194&gt;=HolidayStart)*(J194&lt;=HolidayEnd)*(HolidayStart&lt;&gt;"")*ROW(HolidayStart))-ROW(INDEX(HolidayStart,1,1))+1),""))</f>
        <v/>
      </c>
    </row>
    <row r="195" spans="1:17" ht="24" customHeight="1">
      <c r="A195" s="14">
        <v>191</v>
      </c>
      <c r="B195" s="15"/>
      <c r="C195" s="16"/>
      <c r="D195" s="16"/>
      <c r="E195" s="17"/>
      <c r="F195" s="18"/>
      <c r="G195" s="18"/>
      <c r="H195" s="18"/>
      <c r="I195" s="19"/>
      <c r="J195" s="19"/>
      <c r="K195" s="18"/>
      <c r="L195" s="18"/>
      <c r="M195" s="18"/>
      <c r="N195" s="17"/>
      <c r="O195" s="17"/>
      <c r="P195" s="17"/>
      <c r="Q195" s="20" t="str">
        <f>IF(OR(B195="",J195=""),"",IF(SUMPRODUCT((J195&gt;=HolidayStart)*(J195&lt;=HolidayEnd)*(HolidayStart&lt;&gt;""))&gt;0,"Conflict: "&amp;INDEX(HolidayName,SUMPRODUCT((J195&gt;=HolidayStart)*(J195&lt;=HolidayEnd)*(HolidayStart&lt;&gt;"")*ROW(HolidayStart))-ROW(INDEX(HolidayStart,1,1))+1),""))</f>
        <v/>
      </c>
    </row>
    <row r="196" spans="1:17" ht="24" customHeight="1">
      <c r="A196" s="21">
        <v>192</v>
      </c>
      <c r="B196" s="22"/>
      <c r="C196" s="23"/>
      <c r="D196" s="23"/>
      <c r="E196" s="24"/>
      <c r="F196" s="25"/>
      <c r="G196" s="25"/>
      <c r="H196" s="25"/>
      <c r="I196" s="26"/>
      <c r="J196" s="26"/>
      <c r="K196" s="25"/>
      <c r="L196" s="25"/>
      <c r="M196" s="25"/>
      <c r="N196" s="24"/>
      <c r="O196" s="24"/>
      <c r="P196" s="24"/>
      <c r="Q196" s="27" t="str">
        <f>IF(OR(B196="",J196=""),"",IF(SUMPRODUCT((J196&gt;=HolidayStart)*(J196&lt;=HolidayEnd)*(HolidayStart&lt;&gt;""))&gt;0,"Conflict: "&amp;INDEX(HolidayName,SUMPRODUCT((J196&gt;=HolidayStart)*(J196&lt;=HolidayEnd)*(HolidayStart&lt;&gt;"")*ROW(HolidayStart))-ROW(INDEX(HolidayStart,1,1))+1),""))</f>
        <v/>
      </c>
    </row>
    <row r="197" spans="1:17" ht="24" customHeight="1">
      <c r="A197" s="14">
        <v>193</v>
      </c>
      <c r="B197" s="15"/>
      <c r="C197" s="16"/>
      <c r="D197" s="16"/>
      <c r="E197" s="17"/>
      <c r="F197" s="18"/>
      <c r="G197" s="18"/>
      <c r="H197" s="18"/>
      <c r="I197" s="19"/>
      <c r="J197" s="19"/>
      <c r="K197" s="18"/>
      <c r="L197" s="18"/>
      <c r="M197" s="18"/>
      <c r="N197" s="17"/>
      <c r="O197" s="17"/>
      <c r="P197" s="17"/>
      <c r="Q197" s="20" t="str">
        <f>IF(OR(B197="",J197=""),"",IF(SUMPRODUCT((J197&gt;=HolidayStart)*(J197&lt;=HolidayEnd)*(HolidayStart&lt;&gt;""))&gt;0,"Conflict: "&amp;INDEX(HolidayName,SUMPRODUCT((J197&gt;=HolidayStart)*(J197&lt;=HolidayEnd)*(HolidayStart&lt;&gt;"")*ROW(HolidayStart))-ROW(INDEX(HolidayStart,1,1))+1),""))</f>
        <v/>
      </c>
    </row>
    <row r="198" spans="1:17" ht="24" customHeight="1">
      <c r="A198" s="21">
        <v>194</v>
      </c>
      <c r="B198" s="22"/>
      <c r="C198" s="23"/>
      <c r="D198" s="23"/>
      <c r="E198" s="24"/>
      <c r="F198" s="25"/>
      <c r="G198" s="25"/>
      <c r="H198" s="25"/>
      <c r="I198" s="26"/>
      <c r="J198" s="26"/>
      <c r="K198" s="25"/>
      <c r="L198" s="25"/>
      <c r="M198" s="25"/>
      <c r="N198" s="24"/>
      <c r="O198" s="24"/>
      <c r="P198" s="24"/>
      <c r="Q198" s="27" t="str">
        <f>IF(OR(B198="",J198=""),"",IF(SUMPRODUCT((J198&gt;=HolidayStart)*(J198&lt;=HolidayEnd)*(HolidayStart&lt;&gt;""))&gt;0,"Conflict: "&amp;INDEX(HolidayName,SUMPRODUCT((J198&gt;=HolidayStart)*(J198&lt;=HolidayEnd)*(HolidayStart&lt;&gt;"")*ROW(HolidayStart))-ROW(INDEX(HolidayStart,1,1))+1),""))</f>
        <v/>
      </c>
    </row>
    <row r="199" spans="1:17" ht="24" customHeight="1">
      <c r="A199" s="14">
        <v>195</v>
      </c>
      <c r="B199" s="15"/>
      <c r="C199" s="16"/>
      <c r="D199" s="16"/>
      <c r="E199" s="17"/>
      <c r="F199" s="18"/>
      <c r="G199" s="18"/>
      <c r="H199" s="18"/>
      <c r="I199" s="19"/>
      <c r="J199" s="19"/>
      <c r="K199" s="18"/>
      <c r="L199" s="18"/>
      <c r="M199" s="18"/>
      <c r="N199" s="17"/>
      <c r="O199" s="17"/>
      <c r="P199" s="17"/>
      <c r="Q199" s="20" t="str">
        <f>IF(OR(B199="",J199=""),"",IF(SUMPRODUCT((J199&gt;=HolidayStart)*(J199&lt;=HolidayEnd)*(HolidayStart&lt;&gt;""))&gt;0,"Conflict: "&amp;INDEX(HolidayName,SUMPRODUCT((J199&gt;=HolidayStart)*(J199&lt;=HolidayEnd)*(HolidayStart&lt;&gt;"")*ROW(HolidayStart))-ROW(INDEX(HolidayStart,1,1))+1),""))</f>
        <v/>
      </c>
    </row>
    <row r="200" spans="1:17" ht="24" customHeight="1">
      <c r="A200" s="21">
        <v>196</v>
      </c>
      <c r="B200" s="22"/>
      <c r="C200" s="23"/>
      <c r="D200" s="23"/>
      <c r="E200" s="24"/>
      <c r="F200" s="25"/>
      <c r="G200" s="25"/>
      <c r="H200" s="25"/>
      <c r="I200" s="26"/>
      <c r="J200" s="26"/>
      <c r="K200" s="25"/>
      <c r="L200" s="25"/>
      <c r="M200" s="25"/>
      <c r="N200" s="24"/>
      <c r="O200" s="24"/>
      <c r="P200" s="24"/>
      <c r="Q200" s="27" t="str">
        <f>IF(OR(B200="",J200=""),"",IF(SUMPRODUCT((J200&gt;=HolidayStart)*(J200&lt;=HolidayEnd)*(HolidayStart&lt;&gt;""))&gt;0,"Conflict: "&amp;INDEX(HolidayName,SUMPRODUCT((J200&gt;=HolidayStart)*(J200&lt;=HolidayEnd)*(HolidayStart&lt;&gt;"")*ROW(HolidayStart))-ROW(INDEX(HolidayStart,1,1))+1),""))</f>
        <v/>
      </c>
    </row>
    <row r="201" spans="1:17" ht="24" customHeight="1">
      <c r="A201" s="14">
        <v>197</v>
      </c>
      <c r="B201" s="15"/>
      <c r="C201" s="16"/>
      <c r="D201" s="16"/>
      <c r="E201" s="17"/>
      <c r="F201" s="18"/>
      <c r="G201" s="18"/>
      <c r="H201" s="18"/>
      <c r="I201" s="19"/>
      <c r="J201" s="19"/>
      <c r="K201" s="18"/>
      <c r="L201" s="18"/>
      <c r="M201" s="18"/>
      <c r="N201" s="17"/>
      <c r="O201" s="17"/>
      <c r="P201" s="17"/>
      <c r="Q201" s="20" t="str">
        <f>IF(OR(B201="",J201=""),"",IF(SUMPRODUCT((J201&gt;=HolidayStart)*(J201&lt;=HolidayEnd)*(HolidayStart&lt;&gt;""))&gt;0,"Conflict: "&amp;INDEX(HolidayName,SUMPRODUCT((J201&gt;=HolidayStart)*(J201&lt;=HolidayEnd)*(HolidayStart&lt;&gt;"")*ROW(HolidayStart))-ROW(INDEX(HolidayStart,1,1))+1),""))</f>
        <v/>
      </c>
    </row>
    <row r="202" spans="1:17" ht="24" customHeight="1">
      <c r="A202" s="21">
        <v>198</v>
      </c>
      <c r="B202" s="22"/>
      <c r="C202" s="23"/>
      <c r="D202" s="23"/>
      <c r="E202" s="24"/>
      <c r="F202" s="25"/>
      <c r="G202" s="25"/>
      <c r="H202" s="25"/>
      <c r="I202" s="26"/>
      <c r="J202" s="26"/>
      <c r="K202" s="25"/>
      <c r="L202" s="25"/>
      <c r="M202" s="25"/>
      <c r="N202" s="24"/>
      <c r="O202" s="24"/>
      <c r="P202" s="24"/>
      <c r="Q202" s="27" t="str">
        <f>IF(OR(B202="",J202=""),"",IF(SUMPRODUCT((J202&gt;=HolidayStart)*(J202&lt;=HolidayEnd)*(HolidayStart&lt;&gt;""))&gt;0,"Conflict: "&amp;INDEX(HolidayName,SUMPRODUCT((J202&gt;=HolidayStart)*(J202&lt;=HolidayEnd)*(HolidayStart&lt;&gt;"")*ROW(HolidayStart))-ROW(INDEX(HolidayStart,1,1))+1),""))</f>
        <v/>
      </c>
    </row>
    <row r="203" spans="1:17" ht="24" customHeight="1">
      <c r="A203" s="14">
        <v>199</v>
      </c>
      <c r="B203" s="15"/>
      <c r="C203" s="16"/>
      <c r="D203" s="16"/>
      <c r="E203" s="17"/>
      <c r="F203" s="18"/>
      <c r="G203" s="18"/>
      <c r="H203" s="18"/>
      <c r="I203" s="19"/>
      <c r="J203" s="19"/>
      <c r="K203" s="18"/>
      <c r="L203" s="18"/>
      <c r="M203" s="18"/>
      <c r="N203" s="17"/>
      <c r="O203" s="17"/>
      <c r="P203" s="17"/>
      <c r="Q203" s="20" t="str">
        <f>IF(OR(B203="",J203=""),"",IF(SUMPRODUCT((J203&gt;=HolidayStart)*(J203&lt;=HolidayEnd)*(HolidayStart&lt;&gt;""))&gt;0,"Conflict: "&amp;INDEX(HolidayName,SUMPRODUCT((J203&gt;=HolidayStart)*(J203&lt;=HolidayEnd)*(HolidayStart&lt;&gt;"")*ROW(HolidayStart))-ROW(INDEX(HolidayStart,1,1))+1),""))</f>
        <v/>
      </c>
    </row>
    <row r="204" spans="1:17" ht="24" customHeight="1">
      <c r="A204" s="21">
        <v>200</v>
      </c>
      <c r="B204" s="22"/>
      <c r="C204" s="23"/>
      <c r="D204" s="23"/>
      <c r="E204" s="24"/>
      <c r="F204" s="25"/>
      <c r="G204" s="25"/>
      <c r="H204" s="25"/>
      <c r="I204" s="26"/>
      <c r="J204" s="26"/>
      <c r="K204" s="25"/>
      <c r="L204" s="25"/>
      <c r="M204" s="25"/>
      <c r="N204" s="24"/>
      <c r="O204" s="24"/>
      <c r="P204" s="24"/>
      <c r="Q204" s="27" t="str">
        <f>IF(OR(B204="",J204=""),"",IF(SUMPRODUCT((J204&gt;=HolidayStart)*(J204&lt;=HolidayEnd)*(HolidayStart&lt;&gt;""))&gt;0,"Conflict: "&amp;INDEX(HolidayName,SUMPRODUCT((J204&gt;=HolidayStart)*(J204&lt;=HolidayEnd)*(HolidayStart&lt;&gt;"")*ROW(HolidayStart))-ROW(INDEX(HolidayStart,1,1))+1),""))</f>
        <v/>
      </c>
    </row>
    <row r="205" spans="1:17" ht="24" customHeight="1">
      <c r="A205" s="14">
        <v>201</v>
      </c>
      <c r="B205" s="15"/>
      <c r="C205" s="16"/>
      <c r="D205" s="16"/>
      <c r="E205" s="17"/>
      <c r="F205" s="18"/>
      <c r="G205" s="18"/>
      <c r="H205" s="18"/>
      <c r="I205" s="19"/>
      <c r="J205" s="19"/>
      <c r="K205" s="18"/>
      <c r="L205" s="18"/>
      <c r="M205" s="18"/>
      <c r="N205" s="17"/>
      <c r="O205" s="17"/>
      <c r="P205" s="17"/>
      <c r="Q205" s="20" t="str">
        <f>IF(OR(B205="",J205=""),"",IF(SUMPRODUCT((J205&gt;=HolidayStart)*(J205&lt;=HolidayEnd)*(HolidayStart&lt;&gt;""))&gt;0,"Conflict: "&amp;INDEX(HolidayName,SUMPRODUCT((J205&gt;=HolidayStart)*(J205&lt;=HolidayEnd)*(HolidayStart&lt;&gt;"")*ROW(HolidayStart))-ROW(INDEX(HolidayStart,1,1))+1),""))</f>
        <v/>
      </c>
    </row>
    <row r="206" spans="1:17" ht="24" customHeight="1">
      <c r="A206" s="21">
        <v>202</v>
      </c>
      <c r="B206" s="22"/>
      <c r="C206" s="23"/>
      <c r="D206" s="23"/>
      <c r="E206" s="24"/>
      <c r="F206" s="25"/>
      <c r="G206" s="25"/>
      <c r="H206" s="25"/>
      <c r="I206" s="26"/>
      <c r="J206" s="26"/>
      <c r="K206" s="25"/>
      <c r="L206" s="25"/>
      <c r="M206" s="25"/>
      <c r="N206" s="24"/>
      <c r="O206" s="24"/>
      <c r="P206" s="24"/>
      <c r="Q206" s="27" t="str">
        <f>IF(OR(B206="",J206=""),"",IF(SUMPRODUCT((J206&gt;=HolidayStart)*(J206&lt;=HolidayEnd)*(HolidayStart&lt;&gt;""))&gt;0,"Conflict: "&amp;INDEX(HolidayName,SUMPRODUCT((J206&gt;=HolidayStart)*(J206&lt;=HolidayEnd)*(HolidayStart&lt;&gt;"")*ROW(HolidayStart))-ROW(INDEX(HolidayStart,1,1))+1),""))</f>
        <v/>
      </c>
    </row>
    <row r="207" spans="1:17" ht="24" customHeight="1">
      <c r="A207" s="14">
        <v>203</v>
      </c>
      <c r="B207" s="15"/>
      <c r="C207" s="16"/>
      <c r="D207" s="16"/>
      <c r="E207" s="17"/>
      <c r="F207" s="18"/>
      <c r="G207" s="18"/>
      <c r="H207" s="18"/>
      <c r="I207" s="19"/>
      <c r="J207" s="19"/>
      <c r="K207" s="18"/>
      <c r="L207" s="18"/>
      <c r="M207" s="18"/>
      <c r="N207" s="17"/>
      <c r="O207" s="17"/>
      <c r="P207" s="17"/>
      <c r="Q207" s="20" t="str">
        <f>IF(OR(B207="",J207=""),"",IF(SUMPRODUCT((J207&gt;=HolidayStart)*(J207&lt;=HolidayEnd)*(HolidayStart&lt;&gt;""))&gt;0,"Conflict: "&amp;INDEX(HolidayName,SUMPRODUCT((J207&gt;=HolidayStart)*(J207&lt;=HolidayEnd)*(HolidayStart&lt;&gt;"")*ROW(HolidayStart))-ROW(INDEX(HolidayStart,1,1))+1),""))</f>
        <v/>
      </c>
    </row>
    <row r="208" spans="1:17" ht="24" customHeight="1">
      <c r="A208" s="21">
        <v>204</v>
      </c>
      <c r="B208" s="22"/>
      <c r="C208" s="23"/>
      <c r="D208" s="23"/>
      <c r="E208" s="24"/>
      <c r="F208" s="25"/>
      <c r="G208" s="25"/>
      <c r="H208" s="25"/>
      <c r="I208" s="26"/>
      <c r="J208" s="26"/>
      <c r="K208" s="25"/>
      <c r="L208" s="25"/>
      <c r="M208" s="25"/>
      <c r="N208" s="24"/>
      <c r="O208" s="24"/>
      <c r="P208" s="24"/>
      <c r="Q208" s="27" t="str">
        <f>IF(OR(B208="",J208=""),"",IF(SUMPRODUCT((J208&gt;=HolidayStart)*(J208&lt;=HolidayEnd)*(HolidayStart&lt;&gt;""))&gt;0,"Conflict: "&amp;INDEX(HolidayName,SUMPRODUCT((J208&gt;=HolidayStart)*(J208&lt;=HolidayEnd)*(HolidayStart&lt;&gt;"")*ROW(HolidayStart))-ROW(INDEX(HolidayStart,1,1))+1),""))</f>
        <v/>
      </c>
    </row>
    <row r="209" spans="1:17" ht="24" customHeight="1">
      <c r="A209" s="14">
        <v>205</v>
      </c>
      <c r="B209" s="15"/>
      <c r="C209" s="16"/>
      <c r="D209" s="16"/>
      <c r="E209" s="17"/>
      <c r="F209" s="18"/>
      <c r="G209" s="18"/>
      <c r="H209" s="18"/>
      <c r="I209" s="19"/>
      <c r="J209" s="19"/>
      <c r="K209" s="18"/>
      <c r="L209" s="18"/>
      <c r="M209" s="18"/>
      <c r="N209" s="17"/>
      <c r="O209" s="17"/>
      <c r="P209" s="17"/>
      <c r="Q209" s="20" t="str">
        <f>IF(OR(B209="",J209=""),"",IF(SUMPRODUCT((J209&gt;=HolidayStart)*(J209&lt;=HolidayEnd)*(HolidayStart&lt;&gt;""))&gt;0,"Conflict: "&amp;INDEX(HolidayName,SUMPRODUCT((J209&gt;=HolidayStart)*(J209&lt;=HolidayEnd)*(HolidayStart&lt;&gt;"")*ROW(HolidayStart))-ROW(INDEX(HolidayStart,1,1))+1),""))</f>
        <v/>
      </c>
    </row>
    <row r="210" spans="1:17" ht="24" customHeight="1">
      <c r="A210" s="21">
        <v>206</v>
      </c>
      <c r="B210" s="22"/>
      <c r="C210" s="23"/>
      <c r="D210" s="23"/>
      <c r="E210" s="24"/>
      <c r="F210" s="25"/>
      <c r="G210" s="25"/>
      <c r="H210" s="25"/>
      <c r="I210" s="26"/>
      <c r="J210" s="26"/>
      <c r="K210" s="25"/>
      <c r="L210" s="25"/>
      <c r="M210" s="25"/>
      <c r="N210" s="24"/>
      <c r="O210" s="24"/>
      <c r="P210" s="24"/>
      <c r="Q210" s="27" t="str">
        <f>IF(OR(B210="",J210=""),"",IF(SUMPRODUCT((J210&gt;=HolidayStart)*(J210&lt;=HolidayEnd)*(HolidayStart&lt;&gt;""))&gt;0,"Conflict: "&amp;INDEX(HolidayName,SUMPRODUCT((J210&gt;=HolidayStart)*(J210&lt;=HolidayEnd)*(HolidayStart&lt;&gt;"")*ROW(HolidayStart))-ROW(INDEX(HolidayStart,1,1))+1),""))</f>
        <v/>
      </c>
    </row>
    <row r="211" spans="1:17" ht="24" customHeight="1">
      <c r="A211" s="14">
        <v>207</v>
      </c>
      <c r="B211" s="15"/>
      <c r="C211" s="16"/>
      <c r="D211" s="16"/>
      <c r="E211" s="17"/>
      <c r="F211" s="18"/>
      <c r="G211" s="18"/>
      <c r="H211" s="18"/>
      <c r="I211" s="19"/>
      <c r="J211" s="19"/>
      <c r="K211" s="18"/>
      <c r="L211" s="18"/>
      <c r="M211" s="18"/>
      <c r="N211" s="17"/>
      <c r="O211" s="17"/>
      <c r="P211" s="17"/>
      <c r="Q211" s="20" t="str">
        <f>IF(OR(B211="",J211=""),"",IF(SUMPRODUCT((J211&gt;=HolidayStart)*(J211&lt;=HolidayEnd)*(HolidayStart&lt;&gt;""))&gt;0,"Conflict: "&amp;INDEX(HolidayName,SUMPRODUCT((J211&gt;=HolidayStart)*(J211&lt;=HolidayEnd)*(HolidayStart&lt;&gt;"")*ROW(HolidayStart))-ROW(INDEX(HolidayStart,1,1))+1),""))</f>
        <v/>
      </c>
    </row>
    <row r="212" spans="1:17" ht="24" customHeight="1">
      <c r="A212" s="21">
        <v>208</v>
      </c>
      <c r="B212" s="22"/>
      <c r="C212" s="23"/>
      <c r="D212" s="23"/>
      <c r="E212" s="24"/>
      <c r="F212" s="25"/>
      <c r="G212" s="25"/>
      <c r="H212" s="25"/>
      <c r="I212" s="26"/>
      <c r="J212" s="26"/>
      <c r="K212" s="25"/>
      <c r="L212" s="25"/>
      <c r="M212" s="25"/>
      <c r="N212" s="24"/>
      <c r="O212" s="24"/>
      <c r="P212" s="24"/>
      <c r="Q212" s="27" t="str">
        <f>IF(OR(B212="",J212=""),"",IF(SUMPRODUCT((J212&gt;=HolidayStart)*(J212&lt;=HolidayEnd)*(HolidayStart&lt;&gt;""))&gt;0,"Conflict: "&amp;INDEX(HolidayName,SUMPRODUCT((J212&gt;=HolidayStart)*(J212&lt;=HolidayEnd)*(HolidayStart&lt;&gt;"")*ROW(HolidayStart))-ROW(INDEX(HolidayStart,1,1))+1),""))</f>
        <v/>
      </c>
    </row>
    <row r="213" spans="1:17" ht="24" customHeight="1">
      <c r="A213" s="14">
        <v>209</v>
      </c>
      <c r="B213" s="15"/>
      <c r="C213" s="16"/>
      <c r="D213" s="16"/>
      <c r="E213" s="17"/>
      <c r="F213" s="18"/>
      <c r="G213" s="18"/>
      <c r="H213" s="18"/>
      <c r="I213" s="19"/>
      <c r="J213" s="19"/>
      <c r="K213" s="18"/>
      <c r="L213" s="18"/>
      <c r="M213" s="18"/>
      <c r="N213" s="17"/>
      <c r="O213" s="17"/>
      <c r="P213" s="17"/>
      <c r="Q213" s="20" t="str">
        <f>IF(OR(B213="",J213=""),"",IF(SUMPRODUCT((J213&gt;=HolidayStart)*(J213&lt;=HolidayEnd)*(HolidayStart&lt;&gt;""))&gt;0,"Conflict: "&amp;INDEX(HolidayName,SUMPRODUCT((J213&gt;=HolidayStart)*(J213&lt;=HolidayEnd)*(HolidayStart&lt;&gt;"")*ROW(HolidayStart))-ROW(INDEX(HolidayStart,1,1))+1),""))</f>
        <v/>
      </c>
    </row>
    <row r="214" spans="1:17" ht="24" customHeight="1">
      <c r="A214" s="21">
        <v>210</v>
      </c>
      <c r="B214" s="22"/>
      <c r="C214" s="23"/>
      <c r="D214" s="23"/>
      <c r="E214" s="24"/>
      <c r="F214" s="25"/>
      <c r="G214" s="25"/>
      <c r="H214" s="25"/>
      <c r="I214" s="26"/>
      <c r="J214" s="26"/>
      <c r="K214" s="25"/>
      <c r="L214" s="25"/>
      <c r="M214" s="25"/>
      <c r="N214" s="24"/>
      <c r="O214" s="24"/>
      <c r="P214" s="24"/>
      <c r="Q214" s="27" t="str">
        <f>IF(OR(B214="",J214=""),"",IF(SUMPRODUCT((J214&gt;=HolidayStart)*(J214&lt;=HolidayEnd)*(HolidayStart&lt;&gt;""))&gt;0,"Conflict: "&amp;INDEX(HolidayName,SUMPRODUCT((J214&gt;=HolidayStart)*(J214&lt;=HolidayEnd)*(HolidayStart&lt;&gt;"")*ROW(HolidayStart))-ROW(INDEX(HolidayStart,1,1))+1),""))</f>
        <v/>
      </c>
    </row>
    <row r="215" spans="1:17" ht="24" customHeight="1">
      <c r="A215" s="14">
        <v>211</v>
      </c>
      <c r="B215" s="15"/>
      <c r="C215" s="16"/>
      <c r="D215" s="16"/>
      <c r="E215" s="17"/>
      <c r="F215" s="18"/>
      <c r="G215" s="18"/>
      <c r="H215" s="18"/>
      <c r="I215" s="19"/>
      <c r="J215" s="19"/>
      <c r="K215" s="18"/>
      <c r="L215" s="18"/>
      <c r="M215" s="18"/>
      <c r="N215" s="17"/>
      <c r="O215" s="17"/>
      <c r="P215" s="17"/>
      <c r="Q215" s="20" t="str">
        <f>IF(OR(B215="",J215=""),"",IF(SUMPRODUCT((J215&gt;=HolidayStart)*(J215&lt;=HolidayEnd)*(HolidayStart&lt;&gt;""))&gt;0,"Conflict: "&amp;INDEX(HolidayName,SUMPRODUCT((J215&gt;=HolidayStart)*(J215&lt;=HolidayEnd)*(HolidayStart&lt;&gt;"")*ROW(HolidayStart))-ROW(INDEX(HolidayStart,1,1))+1),""))</f>
        <v/>
      </c>
    </row>
    <row r="216" spans="1:17" ht="24" customHeight="1">
      <c r="A216" s="21">
        <v>212</v>
      </c>
      <c r="B216" s="22"/>
      <c r="C216" s="23"/>
      <c r="D216" s="23"/>
      <c r="E216" s="24"/>
      <c r="F216" s="25"/>
      <c r="G216" s="25"/>
      <c r="H216" s="25"/>
      <c r="I216" s="26"/>
      <c r="J216" s="26"/>
      <c r="K216" s="25"/>
      <c r="L216" s="25"/>
      <c r="M216" s="25"/>
      <c r="N216" s="24"/>
      <c r="O216" s="24"/>
      <c r="P216" s="24"/>
      <c r="Q216" s="27" t="str">
        <f>IF(OR(B216="",J216=""),"",IF(SUMPRODUCT((J216&gt;=HolidayStart)*(J216&lt;=HolidayEnd)*(HolidayStart&lt;&gt;""))&gt;0,"Conflict: "&amp;INDEX(HolidayName,SUMPRODUCT((J216&gt;=HolidayStart)*(J216&lt;=HolidayEnd)*(HolidayStart&lt;&gt;"")*ROW(HolidayStart))-ROW(INDEX(HolidayStart,1,1))+1),""))</f>
        <v/>
      </c>
    </row>
    <row r="217" spans="1:17" ht="24" customHeight="1">
      <c r="A217" s="14">
        <v>213</v>
      </c>
      <c r="B217" s="15"/>
      <c r="C217" s="16"/>
      <c r="D217" s="16"/>
      <c r="E217" s="17"/>
      <c r="F217" s="18"/>
      <c r="G217" s="18"/>
      <c r="H217" s="18"/>
      <c r="I217" s="19"/>
      <c r="J217" s="19"/>
      <c r="K217" s="18"/>
      <c r="L217" s="18"/>
      <c r="M217" s="18"/>
      <c r="N217" s="17"/>
      <c r="O217" s="17"/>
      <c r="P217" s="17"/>
      <c r="Q217" s="20" t="str">
        <f>IF(OR(B217="",J217=""),"",IF(SUMPRODUCT((J217&gt;=HolidayStart)*(J217&lt;=HolidayEnd)*(HolidayStart&lt;&gt;""))&gt;0,"Conflict: "&amp;INDEX(HolidayName,SUMPRODUCT((J217&gt;=HolidayStart)*(J217&lt;=HolidayEnd)*(HolidayStart&lt;&gt;"")*ROW(HolidayStart))-ROW(INDEX(HolidayStart,1,1))+1),""))</f>
        <v/>
      </c>
    </row>
    <row r="218" spans="1:17" ht="24" customHeight="1">
      <c r="A218" s="21">
        <v>214</v>
      </c>
      <c r="B218" s="22"/>
      <c r="C218" s="23"/>
      <c r="D218" s="23"/>
      <c r="E218" s="24"/>
      <c r="F218" s="25"/>
      <c r="G218" s="25"/>
      <c r="H218" s="25"/>
      <c r="I218" s="26"/>
      <c r="J218" s="26"/>
      <c r="K218" s="25"/>
      <c r="L218" s="25"/>
      <c r="M218" s="25"/>
      <c r="N218" s="24"/>
      <c r="O218" s="24"/>
      <c r="P218" s="24"/>
      <c r="Q218" s="27" t="str">
        <f>IF(OR(B218="",J218=""),"",IF(SUMPRODUCT((J218&gt;=HolidayStart)*(J218&lt;=HolidayEnd)*(HolidayStart&lt;&gt;""))&gt;0,"Conflict: "&amp;INDEX(HolidayName,SUMPRODUCT((J218&gt;=HolidayStart)*(J218&lt;=HolidayEnd)*(HolidayStart&lt;&gt;"")*ROW(HolidayStart))-ROW(INDEX(HolidayStart,1,1))+1),""))</f>
        <v/>
      </c>
    </row>
    <row r="219" spans="1:17" ht="24" customHeight="1">
      <c r="A219" s="14">
        <v>215</v>
      </c>
      <c r="B219" s="15"/>
      <c r="C219" s="16"/>
      <c r="D219" s="16"/>
      <c r="E219" s="17"/>
      <c r="F219" s="18"/>
      <c r="G219" s="18"/>
      <c r="H219" s="18"/>
      <c r="I219" s="19"/>
      <c r="J219" s="19"/>
      <c r="K219" s="18"/>
      <c r="L219" s="18"/>
      <c r="M219" s="18"/>
      <c r="N219" s="17"/>
      <c r="O219" s="17"/>
      <c r="P219" s="17"/>
      <c r="Q219" s="20" t="str">
        <f>IF(OR(B219="",J219=""),"",IF(SUMPRODUCT((J219&gt;=HolidayStart)*(J219&lt;=HolidayEnd)*(HolidayStart&lt;&gt;""))&gt;0,"Conflict: "&amp;INDEX(HolidayName,SUMPRODUCT((J219&gt;=HolidayStart)*(J219&lt;=HolidayEnd)*(HolidayStart&lt;&gt;"")*ROW(HolidayStart))-ROW(INDEX(HolidayStart,1,1))+1),""))</f>
        <v/>
      </c>
    </row>
    <row r="220" spans="1:17" ht="24" customHeight="1">
      <c r="A220" s="21">
        <v>216</v>
      </c>
      <c r="B220" s="22"/>
      <c r="C220" s="23"/>
      <c r="D220" s="23"/>
      <c r="E220" s="24"/>
      <c r="F220" s="25"/>
      <c r="G220" s="25"/>
      <c r="H220" s="25"/>
      <c r="I220" s="26"/>
      <c r="J220" s="26"/>
      <c r="K220" s="25"/>
      <c r="L220" s="25"/>
      <c r="M220" s="25"/>
      <c r="N220" s="24"/>
      <c r="O220" s="24"/>
      <c r="P220" s="24"/>
      <c r="Q220" s="27" t="str">
        <f>IF(OR(B220="",J220=""),"",IF(SUMPRODUCT((J220&gt;=HolidayStart)*(J220&lt;=HolidayEnd)*(HolidayStart&lt;&gt;""))&gt;0,"Conflict: "&amp;INDEX(HolidayName,SUMPRODUCT((J220&gt;=HolidayStart)*(J220&lt;=HolidayEnd)*(HolidayStart&lt;&gt;"")*ROW(HolidayStart))-ROW(INDEX(HolidayStart,1,1))+1),""))</f>
        <v/>
      </c>
    </row>
    <row r="221" spans="1:17" ht="24" customHeight="1">
      <c r="A221" s="14">
        <v>217</v>
      </c>
      <c r="B221" s="15"/>
      <c r="C221" s="16"/>
      <c r="D221" s="16"/>
      <c r="E221" s="17"/>
      <c r="F221" s="18"/>
      <c r="G221" s="18"/>
      <c r="H221" s="18"/>
      <c r="I221" s="19"/>
      <c r="J221" s="19"/>
      <c r="K221" s="18"/>
      <c r="L221" s="18"/>
      <c r="M221" s="18"/>
      <c r="N221" s="17"/>
      <c r="O221" s="17"/>
      <c r="P221" s="17"/>
      <c r="Q221" s="20" t="str">
        <f>IF(OR(B221="",J221=""),"",IF(SUMPRODUCT((J221&gt;=HolidayStart)*(J221&lt;=HolidayEnd)*(HolidayStart&lt;&gt;""))&gt;0,"Conflict: "&amp;INDEX(HolidayName,SUMPRODUCT((J221&gt;=HolidayStart)*(J221&lt;=HolidayEnd)*(HolidayStart&lt;&gt;"")*ROW(HolidayStart))-ROW(INDEX(HolidayStart,1,1))+1),""))</f>
        <v/>
      </c>
    </row>
    <row r="222" spans="1:17" ht="24" customHeight="1">
      <c r="A222" s="21">
        <v>218</v>
      </c>
      <c r="B222" s="22"/>
      <c r="C222" s="23"/>
      <c r="D222" s="23"/>
      <c r="E222" s="24"/>
      <c r="F222" s="25"/>
      <c r="G222" s="25"/>
      <c r="H222" s="25"/>
      <c r="I222" s="26"/>
      <c r="J222" s="26"/>
      <c r="K222" s="25"/>
      <c r="L222" s="25"/>
      <c r="M222" s="25"/>
      <c r="N222" s="24"/>
      <c r="O222" s="24"/>
      <c r="P222" s="24"/>
      <c r="Q222" s="27" t="str">
        <f>IF(OR(B222="",J222=""),"",IF(SUMPRODUCT((J222&gt;=HolidayStart)*(J222&lt;=HolidayEnd)*(HolidayStart&lt;&gt;""))&gt;0,"Conflict: "&amp;INDEX(HolidayName,SUMPRODUCT((J222&gt;=HolidayStart)*(J222&lt;=HolidayEnd)*(HolidayStart&lt;&gt;"")*ROW(HolidayStart))-ROW(INDEX(HolidayStart,1,1))+1),""))</f>
        <v/>
      </c>
    </row>
    <row r="223" spans="1:17" ht="24" customHeight="1">
      <c r="A223" s="14">
        <v>219</v>
      </c>
      <c r="B223" s="15"/>
      <c r="C223" s="16"/>
      <c r="D223" s="16"/>
      <c r="E223" s="17"/>
      <c r="F223" s="18"/>
      <c r="G223" s="18"/>
      <c r="H223" s="18"/>
      <c r="I223" s="19"/>
      <c r="J223" s="19"/>
      <c r="K223" s="18"/>
      <c r="L223" s="18"/>
      <c r="M223" s="18"/>
      <c r="N223" s="17"/>
      <c r="O223" s="17"/>
      <c r="P223" s="17"/>
      <c r="Q223" s="20" t="str">
        <f>IF(OR(B223="",J223=""),"",IF(SUMPRODUCT((J223&gt;=HolidayStart)*(J223&lt;=HolidayEnd)*(HolidayStart&lt;&gt;""))&gt;0,"Conflict: "&amp;INDEX(HolidayName,SUMPRODUCT((J223&gt;=HolidayStart)*(J223&lt;=HolidayEnd)*(HolidayStart&lt;&gt;"")*ROW(HolidayStart))-ROW(INDEX(HolidayStart,1,1))+1),""))</f>
        <v/>
      </c>
    </row>
    <row r="224" spans="1:17" ht="24" customHeight="1">
      <c r="A224" s="21">
        <v>220</v>
      </c>
      <c r="B224" s="22"/>
      <c r="C224" s="23"/>
      <c r="D224" s="23"/>
      <c r="E224" s="24"/>
      <c r="F224" s="25"/>
      <c r="G224" s="25"/>
      <c r="H224" s="25"/>
      <c r="I224" s="26"/>
      <c r="J224" s="26"/>
      <c r="K224" s="25"/>
      <c r="L224" s="25"/>
      <c r="M224" s="25"/>
      <c r="N224" s="24"/>
      <c r="O224" s="24"/>
      <c r="P224" s="24"/>
      <c r="Q224" s="27" t="str">
        <f>IF(OR(B224="",J224=""),"",IF(SUMPRODUCT((J224&gt;=HolidayStart)*(J224&lt;=HolidayEnd)*(HolidayStart&lt;&gt;""))&gt;0,"Conflict: "&amp;INDEX(HolidayName,SUMPRODUCT((J224&gt;=HolidayStart)*(J224&lt;=HolidayEnd)*(HolidayStart&lt;&gt;"")*ROW(HolidayStart))-ROW(INDEX(HolidayStart,1,1))+1),""))</f>
        <v/>
      </c>
    </row>
    <row r="225" spans="1:17" ht="24" customHeight="1">
      <c r="A225" s="14">
        <v>221</v>
      </c>
      <c r="B225" s="15"/>
      <c r="C225" s="16"/>
      <c r="D225" s="16"/>
      <c r="E225" s="17"/>
      <c r="F225" s="18"/>
      <c r="G225" s="18"/>
      <c r="H225" s="18"/>
      <c r="I225" s="19"/>
      <c r="J225" s="19"/>
      <c r="K225" s="18"/>
      <c r="L225" s="18"/>
      <c r="M225" s="18"/>
      <c r="N225" s="17"/>
      <c r="O225" s="17"/>
      <c r="P225" s="17"/>
      <c r="Q225" s="20" t="str">
        <f>IF(OR(B225="",J225=""),"",IF(SUMPRODUCT((J225&gt;=HolidayStart)*(J225&lt;=HolidayEnd)*(HolidayStart&lt;&gt;""))&gt;0,"Conflict: "&amp;INDEX(HolidayName,SUMPRODUCT((J225&gt;=HolidayStart)*(J225&lt;=HolidayEnd)*(HolidayStart&lt;&gt;"")*ROW(HolidayStart))-ROW(INDEX(HolidayStart,1,1))+1),""))</f>
        <v/>
      </c>
    </row>
    <row r="226" spans="1:17" ht="24" customHeight="1">
      <c r="A226" s="21">
        <v>222</v>
      </c>
      <c r="B226" s="22"/>
      <c r="C226" s="23"/>
      <c r="D226" s="23"/>
      <c r="E226" s="24"/>
      <c r="F226" s="25"/>
      <c r="G226" s="25"/>
      <c r="H226" s="25"/>
      <c r="I226" s="26"/>
      <c r="J226" s="26"/>
      <c r="K226" s="25"/>
      <c r="L226" s="25"/>
      <c r="M226" s="25"/>
      <c r="N226" s="24"/>
      <c r="O226" s="24"/>
      <c r="P226" s="24"/>
      <c r="Q226" s="27" t="str">
        <f>IF(OR(B226="",J226=""),"",IF(SUMPRODUCT((J226&gt;=HolidayStart)*(J226&lt;=HolidayEnd)*(HolidayStart&lt;&gt;""))&gt;0,"Conflict: "&amp;INDEX(HolidayName,SUMPRODUCT((J226&gt;=HolidayStart)*(J226&lt;=HolidayEnd)*(HolidayStart&lt;&gt;"")*ROW(HolidayStart))-ROW(INDEX(HolidayStart,1,1))+1),""))</f>
        <v/>
      </c>
    </row>
    <row r="227" spans="1:17" ht="24" customHeight="1">
      <c r="A227" s="14">
        <v>223</v>
      </c>
      <c r="B227" s="15"/>
      <c r="C227" s="16"/>
      <c r="D227" s="16"/>
      <c r="E227" s="17"/>
      <c r="F227" s="18"/>
      <c r="G227" s="18"/>
      <c r="H227" s="18"/>
      <c r="I227" s="19"/>
      <c r="J227" s="19"/>
      <c r="K227" s="18"/>
      <c r="L227" s="18"/>
      <c r="M227" s="18"/>
      <c r="N227" s="17"/>
      <c r="O227" s="17"/>
      <c r="P227" s="17"/>
      <c r="Q227" s="20" t="str">
        <f>IF(OR(B227="",J227=""),"",IF(SUMPRODUCT((J227&gt;=HolidayStart)*(J227&lt;=HolidayEnd)*(HolidayStart&lt;&gt;""))&gt;0,"Conflict: "&amp;INDEX(HolidayName,SUMPRODUCT((J227&gt;=HolidayStart)*(J227&lt;=HolidayEnd)*(HolidayStart&lt;&gt;"")*ROW(HolidayStart))-ROW(INDEX(HolidayStart,1,1))+1),""))</f>
        <v/>
      </c>
    </row>
    <row r="228" spans="1:17" ht="24" customHeight="1">
      <c r="A228" s="21">
        <v>224</v>
      </c>
      <c r="B228" s="22"/>
      <c r="C228" s="23"/>
      <c r="D228" s="23"/>
      <c r="E228" s="24"/>
      <c r="F228" s="25"/>
      <c r="G228" s="25"/>
      <c r="H228" s="25"/>
      <c r="I228" s="26"/>
      <c r="J228" s="26"/>
      <c r="K228" s="25"/>
      <c r="L228" s="25"/>
      <c r="M228" s="25"/>
      <c r="N228" s="24"/>
      <c r="O228" s="24"/>
      <c r="P228" s="24"/>
      <c r="Q228" s="27" t="str">
        <f>IF(OR(B228="",J228=""),"",IF(SUMPRODUCT((J228&gt;=HolidayStart)*(J228&lt;=HolidayEnd)*(HolidayStart&lt;&gt;""))&gt;0,"Conflict: "&amp;INDEX(HolidayName,SUMPRODUCT((J228&gt;=HolidayStart)*(J228&lt;=HolidayEnd)*(HolidayStart&lt;&gt;"")*ROW(HolidayStart))-ROW(INDEX(HolidayStart,1,1))+1),""))</f>
        <v/>
      </c>
    </row>
    <row r="229" spans="1:17" ht="24" customHeight="1">
      <c r="A229" s="14">
        <v>225</v>
      </c>
      <c r="B229" s="15"/>
      <c r="C229" s="16"/>
      <c r="D229" s="16"/>
      <c r="E229" s="17"/>
      <c r="F229" s="18"/>
      <c r="G229" s="18"/>
      <c r="H229" s="18"/>
      <c r="I229" s="19"/>
      <c r="J229" s="19"/>
      <c r="K229" s="18"/>
      <c r="L229" s="18"/>
      <c r="M229" s="18"/>
      <c r="N229" s="17"/>
      <c r="O229" s="17"/>
      <c r="P229" s="17"/>
      <c r="Q229" s="20" t="str">
        <f>IF(OR(B229="",J229=""),"",IF(SUMPRODUCT((J229&gt;=HolidayStart)*(J229&lt;=HolidayEnd)*(HolidayStart&lt;&gt;""))&gt;0,"Conflict: "&amp;INDEX(HolidayName,SUMPRODUCT((J229&gt;=HolidayStart)*(J229&lt;=HolidayEnd)*(HolidayStart&lt;&gt;"")*ROW(HolidayStart))-ROW(INDEX(HolidayStart,1,1))+1),""))</f>
        <v/>
      </c>
    </row>
    <row r="230" spans="1:17" ht="24" customHeight="1">
      <c r="A230" s="21">
        <v>226</v>
      </c>
      <c r="B230" s="22"/>
      <c r="C230" s="23"/>
      <c r="D230" s="23"/>
      <c r="E230" s="24"/>
      <c r="F230" s="25"/>
      <c r="G230" s="25"/>
      <c r="H230" s="25"/>
      <c r="I230" s="26"/>
      <c r="J230" s="26"/>
      <c r="K230" s="25"/>
      <c r="L230" s="25"/>
      <c r="M230" s="25"/>
      <c r="N230" s="24"/>
      <c r="O230" s="24"/>
      <c r="P230" s="24"/>
      <c r="Q230" s="27" t="str">
        <f>IF(OR(B230="",J230=""),"",IF(SUMPRODUCT((J230&gt;=HolidayStart)*(J230&lt;=HolidayEnd)*(HolidayStart&lt;&gt;""))&gt;0,"Conflict: "&amp;INDEX(HolidayName,SUMPRODUCT((J230&gt;=HolidayStart)*(J230&lt;=HolidayEnd)*(HolidayStart&lt;&gt;"")*ROW(HolidayStart))-ROW(INDEX(HolidayStart,1,1))+1),""))</f>
        <v/>
      </c>
    </row>
    <row r="231" spans="1:17" ht="24" customHeight="1">
      <c r="A231" s="14">
        <v>227</v>
      </c>
      <c r="B231" s="15"/>
      <c r="C231" s="16"/>
      <c r="D231" s="16"/>
      <c r="E231" s="17"/>
      <c r="F231" s="18"/>
      <c r="G231" s="18"/>
      <c r="H231" s="18"/>
      <c r="I231" s="19"/>
      <c r="J231" s="19"/>
      <c r="K231" s="18"/>
      <c r="L231" s="18"/>
      <c r="M231" s="18"/>
      <c r="N231" s="17"/>
      <c r="O231" s="17"/>
      <c r="P231" s="17"/>
      <c r="Q231" s="20" t="str">
        <f>IF(OR(B231="",J231=""),"",IF(SUMPRODUCT((J231&gt;=HolidayStart)*(J231&lt;=HolidayEnd)*(HolidayStart&lt;&gt;""))&gt;0,"Conflict: "&amp;INDEX(HolidayName,SUMPRODUCT((J231&gt;=HolidayStart)*(J231&lt;=HolidayEnd)*(HolidayStart&lt;&gt;"")*ROW(HolidayStart))-ROW(INDEX(HolidayStart,1,1))+1),""))</f>
        <v/>
      </c>
    </row>
    <row r="232" spans="1:17" ht="24" customHeight="1">
      <c r="A232" s="21">
        <v>228</v>
      </c>
      <c r="B232" s="22"/>
      <c r="C232" s="23"/>
      <c r="D232" s="23"/>
      <c r="E232" s="24"/>
      <c r="F232" s="25"/>
      <c r="G232" s="25"/>
      <c r="H232" s="25"/>
      <c r="I232" s="26"/>
      <c r="J232" s="26"/>
      <c r="K232" s="25"/>
      <c r="L232" s="25"/>
      <c r="M232" s="25"/>
      <c r="N232" s="24"/>
      <c r="O232" s="24"/>
      <c r="P232" s="24"/>
      <c r="Q232" s="27" t="str">
        <f>IF(OR(B232="",J232=""),"",IF(SUMPRODUCT((J232&gt;=HolidayStart)*(J232&lt;=HolidayEnd)*(HolidayStart&lt;&gt;""))&gt;0,"Conflict: "&amp;INDEX(HolidayName,SUMPRODUCT((J232&gt;=HolidayStart)*(J232&lt;=HolidayEnd)*(HolidayStart&lt;&gt;"")*ROW(HolidayStart))-ROW(INDEX(HolidayStart,1,1))+1),""))</f>
        <v/>
      </c>
    </row>
    <row r="233" spans="1:17" ht="24" customHeight="1">
      <c r="A233" s="14">
        <v>229</v>
      </c>
      <c r="B233" s="15"/>
      <c r="C233" s="16"/>
      <c r="D233" s="16"/>
      <c r="E233" s="17"/>
      <c r="F233" s="18"/>
      <c r="G233" s="18"/>
      <c r="H233" s="18"/>
      <c r="I233" s="19"/>
      <c r="J233" s="19"/>
      <c r="K233" s="18"/>
      <c r="L233" s="18"/>
      <c r="M233" s="18"/>
      <c r="N233" s="17"/>
      <c r="O233" s="17"/>
      <c r="P233" s="17"/>
      <c r="Q233" s="20" t="str">
        <f>IF(OR(B233="",J233=""),"",IF(SUMPRODUCT((J233&gt;=HolidayStart)*(J233&lt;=HolidayEnd)*(HolidayStart&lt;&gt;""))&gt;0,"Conflict: "&amp;INDEX(HolidayName,SUMPRODUCT((J233&gt;=HolidayStart)*(J233&lt;=HolidayEnd)*(HolidayStart&lt;&gt;"")*ROW(HolidayStart))-ROW(INDEX(HolidayStart,1,1))+1),""))</f>
        <v/>
      </c>
    </row>
    <row r="234" spans="1:17" ht="24" customHeight="1">
      <c r="A234" s="21">
        <v>230</v>
      </c>
      <c r="B234" s="22"/>
      <c r="C234" s="23"/>
      <c r="D234" s="23"/>
      <c r="E234" s="24"/>
      <c r="F234" s="25"/>
      <c r="G234" s="25"/>
      <c r="H234" s="25"/>
      <c r="I234" s="26"/>
      <c r="J234" s="26"/>
      <c r="K234" s="25"/>
      <c r="L234" s="25"/>
      <c r="M234" s="25"/>
      <c r="N234" s="24"/>
      <c r="O234" s="24"/>
      <c r="P234" s="24"/>
      <c r="Q234" s="27" t="str">
        <f>IF(OR(B234="",J234=""),"",IF(SUMPRODUCT((J234&gt;=HolidayStart)*(J234&lt;=HolidayEnd)*(HolidayStart&lt;&gt;""))&gt;0,"Conflict: "&amp;INDEX(HolidayName,SUMPRODUCT((J234&gt;=HolidayStart)*(J234&lt;=HolidayEnd)*(HolidayStart&lt;&gt;"")*ROW(HolidayStart))-ROW(INDEX(HolidayStart,1,1))+1),""))</f>
        <v/>
      </c>
    </row>
    <row r="235" spans="1:17" ht="24" customHeight="1">
      <c r="A235" s="14">
        <v>231</v>
      </c>
      <c r="B235" s="15"/>
      <c r="C235" s="16"/>
      <c r="D235" s="16"/>
      <c r="E235" s="17"/>
      <c r="F235" s="18"/>
      <c r="G235" s="18"/>
      <c r="H235" s="18"/>
      <c r="I235" s="19"/>
      <c r="J235" s="19"/>
      <c r="K235" s="18"/>
      <c r="L235" s="18"/>
      <c r="M235" s="18"/>
      <c r="N235" s="17"/>
      <c r="O235" s="17"/>
      <c r="P235" s="17"/>
      <c r="Q235" s="20" t="str">
        <f>IF(OR(B235="",J235=""),"",IF(SUMPRODUCT((J235&gt;=HolidayStart)*(J235&lt;=HolidayEnd)*(HolidayStart&lt;&gt;""))&gt;0,"Conflict: "&amp;INDEX(HolidayName,SUMPRODUCT((J235&gt;=HolidayStart)*(J235&lt;=HolidayEnd)*(HolidayStart&lt;&gt;"")*ROW(HolidayStart))-ROW(INDEX(HolidayStart,1,1))+1),""))</f>
        <v/>
      </c>
    </row>
    <row r="236" spans="1:17" ht="24" customHeight="1">
      <c r="A236" s="21">
        <v>232</v>
      </c>
      <c r="B236" s="22"/>
      <c r="C236" s="23"/>
      <c r="D236" s="23"/>
      <c r="E236" s="24"/>
      <c r="F236" s="25"/>
      <c r="G236" s="25"/>
      <c r="H236" s="25"/>
      <c r="I236" s="26"/>
      <c r="J236" s="26"/>
      <c r="K236" s="25"/>
      <c r="L236" s="25"/>
      <c r="M236" s="25"/>
      <c r="N236" s="24"/>
      <c r="O236" s="24"/>
      <c r="P236" s="24"/>
      <c r="Q236" s="27" t="str">
        <f>IF(OR(B236="",J236=""),"",IF(SUMPRODUCT((J236&gt;=HolidayStart)*(J236&lt;=HolidayEnd)*(HolidayStart&lt;&gt;""))&gt;0,"Conflict: "&amp;INDEX(HolidayName,SUMPRODUCT((J236&gt;=HolidayStart)*(J236&lt;=HolidayEnd)*(HolidayStart&lt;&gt;"")*ROW(HolidayStart))-ROW(INDEX(HolidayStart,1,1))+1),""))</f>
        <v/>
      </c>
    </row>
    <row r="237" spans="1:17" ht="24" customHeight="1">
      <c r="A237" s="14">
        <v>233</v>
      </c>
      <c r="B237" s="15"/>
      <c r="C237" s="16"/>
      <c r="D237" s="16"/>
      <c r="E237" s="17"/>
      <c r="F237" s="18"/>
      <c r="G237" s="18"/>
      <c r="H237" s="18"/>
      <c r="I237" s="19"/>
      <c r="J237" s="19"/>
      <c r="K237" s="18"/>
      <c r="L237" s="18"/>
      <c r="M237" s="18"/>
      <c r="N237" s="17"/>
      <c r="O237" s="17"/>
      <c r="P237" s="17"/>
      <c r="Q237" s="20" t="str">
        <f>IF(OR(B237="",J237=""),"",IF(SUMPRODUCT((J237&gt;=HolidayStart)*(J237&lt;=HolidayEnd)*(HolidayStart&lt;&gt;""))&gt;0,"Conflict: "&amp;INDEX(HolidayName,SUMPRODUCT((J237&gt;=HolidayStart)*(J237&lt;=HolidayEnd)*(HolidayStart&lt;&gt;"")*ROW(HolidayStart))-ROW(INDEX(HolidayStart,1,1))+1),""))</f>
        <v/>
      </c>
    </row>
    <row r="238" spans="1:17" ht="24" customHeight="1">
      <c r="A238" s="21">
        <v>234</v>
      </c>
      <c r="B238" s="22"/>
      <c r="C238" s="23"/>
      <c r="D238" s="23"/>
      <c r="E238" s="24"/>
      <c r="F238" s="25"/>
      <c r="G238" s="25"/>
      <c r="H238" s="25"/>
      <c r="I238" s="26"/>
      <c r="J238" s="26"/>
      <c r="K238" s="25"/>
      <c r="L238" s="25"/>
      <c r="M238" s="25"/>
      <c r="N238" s="24"/>
      <c r="O238" s="24"/>
      <c r="P238" s="24"/>
      <c r="Q238" s="27" t="str">
        <f>IF(OR(B238="",J238=""),"",IF(SUMPRODUCT((J238&gt;=HolidayStart)*(J238&lt;=HolidayEnd)*(HolidayStart&lt;&gt;""))&gt;0,"Conflict: "&amp;INDEX(HolidayName,SUMPRODUCT((J238&gt;=HolidayStart)*(J238&lt;=HolidayEnd)*(HolidayStart&lt;&gt;"")*ROW(HolidayStart))-ROW(INDEX(HolidayStart,1,1))+1),""))</f>
        <v/>
      </c>
    </row>
    <row r="239" spans="1:17" ht="24" customHeight="1">
      <c r="A239" s="14">
        <v>235</v>
      </c>
      <c r="B239" s="15"/>
      <c r="C239" s="16"/>
      <c r="D239" s="16"/>
      <c r="E239" s="17"/>
      <c r="F239" s="18"/>
      <c r="G239" s="18"/>
      <c r="H239" s="18"/>
      <c r="I239" s="19"/>
      <c r="J239" s="19"/>
      <c r="K239" s="18"/>
      <c r="L239" s="18"/>
      <c r="M239" s="18"/>
      <c r="N239" s="17"/>
      <c r="O239" s="17"/>
      <c r="P239" s="17"/>
      <c r="Q239" s="20" t="str">
        <f>IF(OR(B239="",J239=""),"",IF(SUMPRODUCT((J239&gt;=HolidayStart)*(J239&lt;=HolidayEnd)*(HolidayStart&lt;&gt;""))&gt;0,"Conflict: "&amp;INDEX(HolidayName,SUMPRODUCT((J239&gt;=HolidayStart)*(J239&lt;=HolidayEnd)*(HolidayStart&lt;&gt;"")*ROW(HolidayStart))-ROW(INDEX(HolidayStart,1,1))+1),""))</f>
        <v/>
      </c>
    </row>
    <row r="240" spans="1:17" ht="24" customHeight="1">
      <c r="A240" s="21">
        <v>236</v>
      </c>
      <c r="B240" s="22"/>
      <c r="C240" s="23"/>
      <c r="D240" s="23"/>
      <c r="E240" s="24"/>
      <c r="F240" s="25"/>
      <c r="G240" s="25"/>
      <c r="H240" s="25"/>
      <c r="I240" s="26"/>
      <c r="J240" s="26"/>
      <c r="K240" s="25"/>
      <c r="L240" s="25"/>
      <c r="M240" s="25"/>
      <c r="N240" s="24"/>
      <c r="O240" s="24"/>
      <c r="P240" s="24"/>
      <c r="Q240" s="27" t="str">
        <f>IF(OR(B240="",J240=""),"",IF(SUMPRODUCT((J240&gt;=HolidayStart)*(J240&lt;=HolidayEnd)*(HolidayStart&lt;&gt;""))&gt;0,"Conflict: "&amp;INDEX(HolidayName,SUMPRODUCT((J240&gt;=HolidayStart)*(J240&lt;=HolidayEnd)*(HolidayStart&lt;&gt;"")*ROW(HolidayStart))-ROW(INDEX(HolidayStart,1,1))+1),""))</f>
        <v/>
      </c>
    </row>
    <row r="241" spans="1:17" ht="24" customHeight="1">
      <c r="A241" s="14">
        <v>237</v>
      </c>
      <c r="B241" s="15"/>
      <c r="C241" s="16"/>
      <c r="D241" s="16"/>
      <c r="E241" s="17"/>
      <c r="F241" s="18"/>
      <c r="G241" s="18"/>
      <c r="H241" s="18"/>
      <c r="I241" s="19"/>
      <c r="J241" s="19"/>
      <c r="K241" s="18"/>
      <c r="L241" s="18"/>
      <c r="M241" s="18"/>
      <c r="N241" s="17"/>
      <c r="O241" s="17"/>
      <c r="P241" s="17"/>
      <c r="Q241" s="20" t="str">
        <f>IF(OR(B241="",J241=""),"",IF(SUMPRODUCT((J241&gt;=HolidayStart)*(J241&lt;=HolidayEnd)*(HolidayStart&lt;&gt;""))&gt;0,"Conflict: "&amp;INDEX(HolidayName,SUMPRODUCT((J241&gt;=HolidayStart)*(J241&lt;=HolidayEnd)*(HolidayStart&lt;&gt;"")*ROW(HolidayStart))-ROW(INDEX(HolidayStart,1,1))+1),""))</f>
        <v/>
      </c>
    </row>
    <row r="242" spans="1:17" ht="24" customHeight="1">
      <c r="A242" s="21">
        <v>238</v>
      </c>
      <c r="B242" s="22"/>
      <c r="C242" s="23"/>
      <c r="D242" s="23"/>
      <c r="E242" s="24"/>
      <c r="F242" s="25"/>
      <c r="G242" s="25"/>
      <c r="H242" s="25"/>
      <c r="I242" s="26"/>
      <c r="J242" s="26"/>
      <c r="K242" s="25"/>
      <c r="L242" s="25"/>
      <c r="M242" s="25"/>
      <c r="N242" s="24"/>
      <c r="O242" s="24"/>
      <c r="P242" s="24"/>
      <c r="Q242" s="27" t="str">
        <f>IF(OR(B242="",J242=""),"",IF(SUMPRODUCT((J242&gt;=HolidayStart)*(J242&lt;=HolidayEnd)*(HolidayStart&lt;&gt;""))&gt;0,"Conflict: "&amp;INDEX(HolidayName,SUMPRODUCT((J242&gt;=HolidayStart)*(J242&lt;=HolidayEnd)*(HolidayStart&lt;&gt;"")*ROW(HolidayStart))-ROW(INDEX(HolidayStart,1,1))+1),""))</f>
        <v/>
      </c>
    </row>
    <row r="243" spans="1:17" ht="24" customHeight="1">
      <c r="A243" s="14">
        <v>239</v>
      </c>
      <c r="B243" s="15"/>
      <c r="C243" s="16"/>
      <c r="D243" s="16"/>
      <c r="E243" s="17"/>
      <c r="F243" s="18"/>
      <c r="G243" s="18"/>
      <c r="H243" s="18"/>
      <c r="I243" s="19"/>
      <c r="J243" s="19"/>
      <c r="K243" s="18"/>
      <c r="L243" s="18"/>
      <c r="M243" s="18"/>
      <c r="N243" s="17"/>
      <c r="O243" s="17"/>
      <c r="P243" s="17"/>
      <c r="Q243" s="20" t="str">
        <f>IF(OR(B243="",J243=""),"",IF(SUMPRODUCT((J243&gt;=HolidayStart)*(J243&lt;=HolidayEnd)*(HolidayStart&lt;&gt;""))&gt;0,"Conflict: "&amp;INDEX(HolidayName,SUMPRODUCT((J243&gt;=HolidayStart)*(J243&lt;=HolidayEnd)*(HolidayStart&lt;&gt;"")*ROW(HolidayStart))-ROW(INDEX(HolidayStart,1,1))+1),""))</f>
        <v/>
      </c>
    </row>
    <row r="244" spans="1:17" ht="24" customHeight="1">
      <c r="A244" s="21">
        <v>240</v>
      </c>
      <c r="B244" s="22"/>
      <c r="C244" s="23"/>
      <c r="D244" s="23"/>
      <c r="E244" s="24"/>
      <c r="F244" s="25"/>
      <c r="G244" s="25"/>
      <c r="H244" s="25"/>
      <c r="I244" s="26"/>
      <c r="J244" s="26"/>
      <c r="K244" s="25"/>
      <c r="L244" s="25"/>
      <c r="M244" s="25"/>
      <c r="N244" s="24"/>
      <c r="O244" s="24"/>
      <c r="P244" s="24"/>
      <c r="Q244" s="27" t="str">
        <f>IF(OR(B244="",J244=""),"",IF(SUMPRODUCT((J244&gt;=HolidayStart)*(J244&lt;=HolidayEnd)*(HolidayStart&lt;&gt;""))&gt;0,"Conflict: "&amp;INDEX(HolidayName,SUMPRODUCT((J244&gt;=HolidayStart)*(J244&lt;=HolidayEnd)*(HolidayStart&lt;&gt;"")*ROW(HolidayStart))-ROW(INDEX(HolidayStart,1,1))+1),""))</f>
        <v/>
      </c>
    </row>
    <row r="245" spans="1:17" ht="24" customHeight="1">
      <c r="A245" s="14">
        <v>241</v>
      </c>
      <c r="B245" s="15"/>
      <c r="C245" s="16"/>
      <c r="D245" s="16"/>
      <c r="E245" s="17"/>
      <c r="F245" s="18"/>
      <c r="G245" s="18"/>
      <c r="H245" s="18"/>
      <c r="I245" s="19"/>
      <c r="J245" s="19"/>
      <c r="K245" s="18"/>
      <c r="L245" s="18"/>
      <c r="M245" s="18"/>
      <c r="N245" s="17"/>
      <c r="O245" s="17"/>
      <c r="P245" s="17"/>
      <c r="Q245" s="20" t="str">
        <f>IF(OR(B245="",J245=""),"",IF(SUMPRODUCT((J245&gt;=HolidayStart)*(J245&lt;=HolidayEnd)*(HolidayStart&lt;&gt;""))&gt;0,"Conflict: "&amp;INDEX(HolidayName,SUMPRODUCT((J245&gt;=HolidayStart)*(J245&lt;=HolidayEnd)*(HolidayStart&lt;&gt;"")*ROW(HolidayStart))-ROW(INDEX(HolidayStart,1,1))+1),""))</f>
        <v/>
      </c>
    </row>
    <row r="246" spans="1:17" ht="24" customHeight="1">
      <c r="A246" s="21">
        <v>242</v>
      </c>
      <c r="B246" s="22"/>
      <c r="C246" s="23"/>
      <c r="D246" s="23"/>
      <c r="E246" s="24"/>
      <c r="F246" s="25"/>
      <c r="G246" s="25"/>
      <c r="H246" s="25"/>
      <c r="I246" s="26"/>
      <c r="J246" s="26"/>
      <c r="K246" s="25"/>
      <c r="L246" s="25"/>
      <c r="M246" s="25"/>
      <c r="N246" s="24"/>
      <c r="O246" s="24"/>
      <c r="P246" s="24"/>
      <c r="Q246" s="27" t="str">
        <f>IF(OR(B246="",J246=""),"",IF(SUMPRODUCT((J246&gt;=HolidayStart)*(J246&lt;=HolidayEnd)*(HolidayStart&lt;&gt;""))&gt;0,"Conflict: "&amp;INDEX(HolidayName,SUMPRODUCT((J246&gt;=HolidayStart)*(J246&lt;=HolidayEnd)*(HolidayStart&lt;&gt;"")*ROW(HolidayStart))-ROW(INDEX(HolidayStart,1,1))+1),""))</f>
        <v/>
      </c>
    </row>
    <row r="247" spans="1:17" ht="24" customHeight="1">
      <c r="A247" s="14">
        <v>243</v>
      </c>
      <c r="B247" s="15"/>
      <c r="C247" s="16"/>
      <c r="D247" s="16"/>
      <c r="E247" s="17"/>
      <c r="F247" s="18"/>
      <c r="G247" s="18"/>
      <c r="H247" s="18"/>
      <c r="I247" s="19"/>
      <c r="J247" s="19"/>
      <c r="K247" s="18"/>
      <c r="L247" s="18"/>
      <c r="M247" s="18"/>
      <c r="N247" s="17"/>
      <c r="O247" s="17"/>
      <c r="P247" s="17"/>
      <c r="Q247" s="20" t="str">
        <f>IF(OR(B247="",J247=""),"",IF(SUMPRODUCT((J247&gt;=HolidayStart)*(J247&lt;=HolidayEnd)*(HolidayStart&lt;&gt;""))&gt;0,"Conflict: "&amp;INDEX(HolidayName,SUMPRODUCT((J247&gt;=HolidayStart)*(J247&lt;=HolidayEnd)*(HolidayStart&lt;&gt;"")*ROW(HolidayStart))-ROW(INDEX(HolidayStart,1,1))+1),""))</f>
        <v/>
      </c>
    </row>
    <row r="248" spans="1:17" ht="24" customHeight="1">
      <c r="A248" s="21">
        <v>244</v>
      </c>
      <c r="B248" s="22"/>
      <c r="C248" s="23"/>
      <c r="D248" s="23"/>
      <c r="E248" s="24"/>
      <c r="F248" s="25"/>
      <c r="G248" s="25"/>
      <c r="H248" s="25"/>
      <c r="I248" s="26"/>
      <c r="J248" s="26"/>
      <c r="K248" s="25"/>
      <c r="L248" s="25"/>
      <c r="M248" s="25"/>
      <c r="N248" s="24"/>
      <c r="O248" s="24"/>
      <c r="P248" s="24"/>
      <c r="Q248" s="27" t="str">
        <f>IF(OR(B248="",J248=""),"",IF(SUMPRODUCT((J248&gt;=HolidayStart)*(J248&lt;=HolidayEnd)*(HolidayStart&lt;&gt;""))&gt;0,"Conflict: "&amp;INDEX(HolidayName,SUMPRODUCT((J248&gt;=HolidayStart)*(J248&lt;=HolidayEnd)*(HolidayStart&lt;&gt;"")*ROW(HolidayStart))-ROW(INDEX(HolidayStart,1,1))+1),""))</f>
        <v/>
      </c>
    </row>
    <row r="249" spans="1:17" ht="24" customHeight="1">
      <c r="A249" s="14">
        <v>245</v>
      </c>
      <c r="B249" s="15"/>
      <c r="C249" s="16"/>
      <c r="D249" s="16"/>
      <c r="E249" s="17"/>
      <c r="F249" s="18"/>
      <c r="G249" s="18"/>
      <c r="H249" s="18"/>
      <c r="I249" s="19"/>
      <c r="J249" s="19"/>
      <c r="K249" s="18"/>
      <c r="L249" s="18"/>
      <c r="M249" s="18"/>
      <c r="N249" s="17"/>
      <c r="O249" s="17"/>
      <c r="P249" s="17"/>
      <c r="Q249" s="20" t="str">
        <f>IF(OR(B249="",J249=""),"",IF(SUMPRODUCT((J249&gt;=HolidayStart)*(J249&lt;=HolidayEnd)*(HolidayStart&lt;&gt;""))&gt;0,"Conflict: "&amp;INDEX(HolidayName,SUMPRODUCT((J249&gt;=HolidayStart)*(J249&lt;=HolidayEnd)*(HolidayStart&lt;&gt;"")*ROW(HolidayStart))-ROW(INDEX(HolidayStart,1,1))+1),""))</f>
        <v/>
      </c>
    </row>
    <row r="250" spans="1:17" ht="24" customHeight="1">
      <c r="A250" s="21">
        <v>246</v>
      </c>
      <c r="B250" s="22"/>
      <c r="C250" s="23"/>
      <c r="D250" s="23"/>
      <c r="E250" s="24"/>
      <c r="F250" s="25"/>
      <c r="G250" s="25"/>
      <c r="H250" s="25"/>
      <c r="I250" s="26"/>
      <c r="J250" s="26"/>
      <c r="K250" s="25"/>
      <c r="L250" s="25"/>
      <c r="M250" s="25"/>
      <c r="N250" s="24"/>
      <c r="O250" s="24"/>
      <c r="P250" s="24"/>
      <c r="Q250" s="27" t="str">
        <f>IF(OR(B250="",J250=""),"",IF(SUMPRODUCT((J250&gt;=HolidayStart)*(J250&lt;=HolidayEnd)*(HolidayStart&lt;&gt;""))&gt;0,"Conflict: "&amp;INDEX(HolidayName,SUMPRODUCT((J250&gt;=HolidayStart)*(J250&lt;=HolidayEnd)*(HolidayStart&lt;&gt;"")*ROW(HolidayStart))-ROW(INDEX(HolidayStart,1,1))+1),""))</f>
        <v/>
      </c>
    </row>
    <row r="251" spans="1:17" ht="24" customHeight="1">
      <c r="A251" s="14">
        <v>247</v>
      </c>
      <c r="B251" s="15"/>
      <c r="C251" s="16"/>
      <c r="D251" s="16"/>
      <c r="E251" s="17"/>
      <c r="F251" s="18"/>
      <c r="G251" s="18"/>
      <c r="H251" s="18"/>
      <c r="I251" s="19"/>
      <c r="J251" s="19"/>
      <c r="K251" s="18"/>
      <c r="L251" s="18"/>
      <c r="M251" s="18"/>
      <c r="N251" s="17"/>
      <c r="O251" s="17"/>
      <c r="P251" s="17"/>
      <c r="Q251" s="20" t="str">
        <f>IF(OR(B251="",J251=""),"",IF(SUMPRODUCT((J251&gt;=HolidayStart)*(J251&lt;=HolidayEnd)*(HolidayStart&lt;&gt;""))&gt;0,"Conflict: "&amp;INDEX(HolidayName,SUMPRODUCT((J251&gt;=HolidayStart)*(J251&lt;=HolidayEnd)*(HolidayStart&lt;&gt;"")*ROW(HolidayStart))-ROW(INDEX(HolidayStart,1,1))+1),""))</f>
        <v/>
      </c>
    </row>
    <row r="252" spans="1:17" ht="24" customHeight="1">
      <c r="A252" s="21">
        <v>248</v>
      </c>
      <c r="B252" s="22"/>
      <c r="C252" s="23"/>
      <c r="D252" s="23"/>
      <c r="E252" s="24"/>
      <c r="F252" s="25"/>
      <c r="G252" s="25"/>
      <c r="H252" s="25"/>
      <c r="I252" s="26"/>
      <c r="J252" s="26"/>
      <c r="K252" s="25"/>
      <c r="L252" s="25"/>
      <c r="M252" s="25"/>
      <c r="N252" s="24"/>
      <c r="O252" s="24"/>
      <c r="P252" s="24"/>
      <c r="Q252" s="27" t="str">
        <f>IF(OR(B252="",J252=""),"",IF(SUMPRODUCT((J252&gt;=HolidayStart)*(J252&lt;=HolidayEnd)*(HolidayStart&lt;&gt;""))&gt;0,"Conflict: "&amp;INDEX(HolidayName,SUMPRODUCT((J252&gt;=HolidayStart)*(J252&lt;=HolidayEnd)*(HolidayStart&lt;&gt;"")*ROW(HolidayStart))-ROW(INDEX(HolidayStart,1,1))+1),""))</f>
        <v/>
      </c>
    </row>
    <row r="253" spans="1:17" ht="24" customHeight="1">
      <c r="A253" s="14">
        <v>249</v>
      </c>
      <c r="B253" s="15"/>
      <c r="C253" s="16"/>
      <c r="D253" s="16"/>
      <c r="E253" s="17"/>
      <c r="F253" s="18"/>
      <c r="G253" s="18"/>
      <c r="H253" s="18"/>
      <c r="I253" s="19"/>
      <c r="J253" s="19"/>
      <c r="K253" s="18"/>
      <c r="L253" s="18"/>
      <c r="M253" s="18"/>
      <c r="N253" s="17"/>
      <c r="O253" s="17"/>
      <c r="P253" s="17"/>
      <c r="Q253" s="20" t="str">
        <f>IF(OR(B253="",J253=""),"",IF(SUMPRODUCT((J253&gt;=HolidayStart)*(J253&lt;=HolidayEnd)*(HolidayStart&lt;&gt;""))&gt;0,"Conflict: "&amp;INDEX(HolidayName,SUMPRODUCT((J253&gt;=HolidayStart)*(J253&lt;=HolidayEnd)*(HolidayStart&lt;&gt;"")*ROW(HolidayStart))-ROW(INDEX(HolidayStart,1,1))+1),""))</f>
        <v/>
      </c>
    </row>
    <row r="254" spans="1:17" ht="24" customHeight="1">
      <c r="A254" s="21">
        <v>250</v>
      </c>
      <c r="B254" s="22"/>
      <c r="C254" s="23"/>
      <c r="D254" s="23"/>
      <c r="E254" s="24"/>
      <c r="F254" s="25"/>
      <c r="G254" s="25"/>
      <c r="H254" s="25"/>
      <c r="I254" s="26"/>
      <c r="J254" s="26"/>
      <c r="K254" s="25"/>
      <c r="L254" s="25"/>
      <c r="M254" s="25"/>
      <c r="N254" s="24"/>
      <c r="O254" s="24"/>
      <c r="P254" s="24"/>
      <c r="Q254" s="27" t="str">
        <f>IF(OR(B254="",J254=""),"",IF(SUMPRODUCT((J254&gt;=HolidayStart)*(J254&lt;=HolidayEnd)*(HolidayStart&lt;&gt;""))&gt;0,"Conflict: "&amp;INDEX(HolidayName,SUMPRODUCT((J254&gt;=HolidayStart)*(J254&lt;=HolidayEnd)*(HolidayStart&lt;&gt;"")*ROW(HolidayStart))-ROW(INDEX(HolidayStart,1,1))+1),""))</f>
        <v/>
      </c>
    </row>
    <row r="255" spans="1:17" ht="24" customHeight="1">
      <c r="A255" s="14">
        <v>251</v>
      </c>
      <c r="B255" s="15"/>
      <c r="C255" s="16"/>
      <c r="D255" s="16"/>
      <c r="E255" s="17"/>
      <c r="F255" s="18"/>
      <c r="G255" s="18"/>
      <c r="H255" s="18"/>
      <c r="I255" s="19"/>
      <c r="J255" s="19"/>
      <c r="K255" s="18"/>
      <c r="L255" s="18"/>
      <c r="M255" s="18"/>
      <c r="N255" s="17"/>
      <c r="O255" s="17"/>
      <c r="P255" s="17"/>
      <c r="Q255" s="20" t="str">
        <f>IF(OR(B255="",J255=""),"",IF(SUMPRODUCT((J255&gt;=HolidayStart)*(J255&lt;=HolidayEnd)*(HolidayStart&lt;&gt;""))&gt;0,"Conflict: "&amp;INDEX(HolidayName,SUMPRODUCT((J255&gt;=HolidayStart)*(J255&lt;=HolidayEnd)*(HolidayStart&lt;&gt;"")*ROW(HolidayStart))-ROW(INDEX(HolidayStart,1,1))+1),""))</f>
        <v/>
      </c>
    </row>
    <row r="256" spans="1:17" ht="24" customHeight="1">
      <c r="A256" s="21">
        <v>252</v>
      </c>
      <c r="B256" s="22"/>
      <c r="C256" s="23"/>
      <c r="D256" s="23"/>
      <c r="E256" s="24"/>
      <c r="F256" s="25"/>
      <c r="G256" s="25"/>
      <c r="H256" s="25"/>
      <c r="I256" s="26"/>
      <c r="J256" s="26"/>
      <c r="K256" s="25"/>
      <c r="L256" s="25"/>
      <c r="M256" s="25"/>
      <c r="N256" s="24"/>
      <c r="O256" s="24"/>
      <c r="P256" s="24"/>
      <c r="Q256" s="27" t="str">
        <f>IF(OR(B256="",J256=""),"",IF(SUMPRODUCT((J256&gt;=HolidayStart)*(J256&lt;=HolidayEnd)*(HolidayStart&lt;&gt;""))&gt;0,"Conflict: "&amp;INDEX(HolidayName,SUMPRODUCT((J256&gt;=HolidayStart)*(J256&lt;=HolidayEnd)*(HolidayStart&lt;&gt;"")*ROW(HolidayStart))-ROW(INDEX(HolidayStart,1,1))+1),""))</f>
        <v/>
      </c>
    </row>
    <row r="257" spans="1:17" ht="24" customHeight="1">
      <c r="A257" s="14">
        <v>253</v>
      </c>
      <c r="B257" s="15"/>
      <c r="C257" s="16"/>
      <c r="D257" s="16"/>
      <c r="E257" s="17"/>
      <c r="F257" s="18"/>
      <c r="G257" s="18"/>
      <c r="H257" s="18"/>
      <c r="I257" s="19"/>
      <c r="J257" s="19"/>
      <c r="K257" s="18"/>
      <c r="L257" s="18"/>
      <c r="M257" s="18"/>
      <c r="N257" s="17"/>
      <c r="O257" s="17"/>
      <c r="P257" s="17"/>
      <c r="Q257" s="20" t="str">
        <f>IF(OR(B257="",J257=""),"",IF(SUMPRODUCT((J257&gt;=HolidayStart)*(J257&lt;=HolidayEnd)*(HolidayStart&lt;&gt;""))&gt;0,"Conflict: "&amp;INDEX(HolidayName,SUMPRODUCT((J257&gt;=HolidayStart)*(J257&lt;=HolidayEnd)*(HolidayStart&lt;&gt;"")*ROW(HolidayStart))-ROW(INDEX(HolidayStart,1,1))+1),""))</f>
        <v/>
      </c>
    </row>
    <row r="258" spans="1:17" ht="24" customHeight="1">
      <c r="A258" s="21">
        <v>254</v>
      </c>
      <c r="B258" s="22"/>
      <c r="C258" s="23"/>
      <c r="D258" s="23"/>
      <c r="E258" s="24"/>
      <c r="F258" s="25"/>
      <c r="G258" s="25"/>
      <c r="H258" s="25"/>
      <c r="I258" s="26"/>
      <c r="J258" s="26"/>
      <c r="K258" s="25"/>
      <c r="L258" s="25"/>
      <c r="M258" s="25"/>
      <c r="N258" s="24"/>
      <c r="O258" s="24"/>
      <c r="P258" s="24"/>
      <c r="Q258" s="27" t="str">
        <f>IF(OR(B258="",J258=""),"",IF(SUMPRODUCT((J258&gt;=HolidayStart)*(J258&lt;=HolidayEnd)*(HolidayStart&lt;&gt;""))&gt;0,"Conflict: "&amp;INDEX(HolidayName,SUMPRODUCT((J258&gt;=HolidayStart)*(J258&lt;=HolidayEnd)*(HolidayStart&lt;&gt;"")*ROW(HolidayStart))-ROW(INDEX(HolidayStart,1,1))+1),""))</f>
        <v/>
      </c>
    </row>
    <row r="259" spans="1:17" ht="24" customHeight="1">
      <c r="A259" s="14">
        <v>255</v>
      </c>
      <c r="B259" s="15"/>
      <c r="C259" s="16"/>
      <c r="D259" s="16"/>
      <c r="E259" s="17"/>
      <c r="F259" s="18"/>
      <c r="G259" s="18"/>
      <c r="H259" s="18"/>
      <c r="I259" s="19"/>
      <c r="J259" s="19"/>
      <c r="K259" s="18"/>
      <c r="L259" s="18"/>
      <c r="M259" s="18"/>
      <c r="N259" s="17"/>
      <c r="O259" s="17"/>
      <c r="P259" s="17"/>
      <c r="Q259" s="20" t="str">
        <f>IF(OR(B259="",J259=""),"",IF(SUMPRODUCT((J259&gt;=HolidayStart)*(J259&lt;=HolidayEnd)*(HolidayStart&lt;&gt;""))&gt;0,"Conflict: "&amp;INDEX(HolidayName,SUMPRODUCT((J259&gt;=HolidayStart)*(J259&lt;=HolidayEnd)*(HolidayStart&lt;&gt;"")*ROW(HolidayStart))-ROW(INDEX(HolidayStart,1,1))+1),""))</f>
        <v/>
      </c>
    </row>
    <row r="260" spans="1:17" ht="24" customHeight="1">
      <c r="A260" s="21">
        <v>256</v>
      </c>
      <c r="B260" s="22"/>
      <c r="C260" s="23"/>
      <c r="D260" s="23"/>
      <c r="E260" s="24"/>
      <c r="F260" s="25"/>
      <c r="G260" s="25"/>
      <c r="H260" s="25"/>
      <c r="I260" s="26"/>
      <c r="J260" s="26"/>
      <c r="K260" s="25"/>
      <c r="L260" s="25"/>
      <c r="M260" s="25"/>
      <c r="N260" s="24"/>
      <c r="O260" s="24"/>
      <c r="P260" s="24"/>
      <c r="Q260" s="27" t="str">
        <f>IF(OR(B260="",J260=""),"",IF(SUMPRODUCT((J260&gt;=HolidayStart)*(J260&lt;=HolidayEnd)*(HolidayStart&lt;&gt;""))&gt;0,"Conflict: "&amp;INDEX(HolidayName,SUMPRODUCT((J260&gt;=HolidayStart)*(J260&lt;=HolidayEnd)*(HolidayStart&lt;&gt;"")*ROW(HolidayStart))-ROW(INDEX(HolidayStart,1,1))+1),""))</f>
        <v/>
      </c>
    </row>
    <row r="261" spans="1:17" ht="24" customHeight="1">
      <c r="A261" s="14">
        <v>257</v>
      </c>
      <c r="B261" s="15"/>
      <c r="C261" s="16"/>
      <c r="D261" s="16"/>
      <c r="E261" s="17"/>
      <c r="F261" s="18"/>
      <c r="G261" s="18"/>
      <c r="H261" s="18"/>
      <c r="I261" s="19"/>
      <c r="J261" s="19"/>
      <c r="K261" s="18"/>
      <c r="L261" s="18"/>
      <c r="M261" s="18"/>
      <c r="N261" s="17"/>
      <c r="O261" s="17"/>
      <c r="P261" s="17"/>
      <c r="Q261" s="20" t="str">
        <f>IF(OR(B261="",J261=""),"",IF(SUMPRODUCT((J261&gt;=HolidayStart)*(J261&lt;=HolidayEnd)*(HolidayStart&lt;&gt;""))&gt;0,"Conflict: "&amp;INDEX(HolidayName,SUMPRODUCT((J261&gt;=HolidayStart)*(J261&lt;=HolidayEnd)*(HolidayStart&lt;&gt;"")*ROW(HolidayStart))-ROW(INDEX(HolidayStart,1,1))+1),""))</f>
        <v/>
      </c>
    </row>
    <row r="262" spans="1:17" ht="24" customHeight="1">
      <c r="A262" s="21">
        <v>258</v>
      </c>
      <c r="B262" s="22"/>
      <c r="C262" s="23"/>
      <c r="D262" s="23"/>
      <c r="E262" s="24"/>
      <c r="F262" s="25"/>
      <c r="G262" s="25"/>
      <c r="H262" s="25"/>
      <c r="I262" s="26"/>
      <c r="J262" s="26"/>
      <c r="K262" s="25"/>
      <c r="L262" s="25"/>
      <c r="M262" s="25"/>
      <c r="N262" s="24"/>
      <c r="O262" s="24"/>
      <c r="P262" s="24"/>
      <c r="Q262" s="27" t="str">
        <f>IF(OR(B262="",J262=""),"",IF(SUMPRODUCT((J262&gt;=HolidayStart)*(J262&lt;=HolidayEnd)*(HolidayStart&lt;&gt;""))&gt;0,"Conflict: "&amp;INDEX(HolidayName,SUMPRODUCT((J262&gt;=HolidayStart)*(J262&lt;=HolidayEnd)*(HolidayStart&lt;&gt;"")*ROW(HolidayStart))-ROW(INDEX(HolidayStart,1,1))+1),""))</f>
        <v/>
      </c>
    </row>
    <row r="263" spans="1:17" ht="24" customHeight="1">
      <c r="A263" s="14">
        <v>259</v>
      </c>
      <c r="B263" s="15"/>
      <c r="C263" s="16"/>
      <c r="D263" s="16"/>
      <c r="E263" s="17"/>
      <c r="F263" s="18"/>
      <c r="G263" s="18"/>
      <c r="H263" s="18"/>
      <c r="I263" s="19"/>
      <c r="J263" s="19"/>
      <c r="K263" s="18"/>
      <c r="L263" s="18"/>
      <c r="M263" s="18"/>
      <c r="N263" s="17"/>
      <c r="O263" s="17"/>
      <c r="P263" s="17"/>
      <c r="Q263" s="20" t="str">
        <f>IF(OR(B263="",J263=""),"",IF(SUMPRODUCT((J263&gt;=HolidayStart)*(J263&lt;=HolidayEnd)*(HolidayStart&lt;&gt;""))&gt;0,"Conflict: "&amp;INDEX(HolidayName,SUMPRODUCT((J263&gt;=HolidayStart)*(J263&lt;=HolidayEnd)*(HolidayStart&lt;&gt;"")*ROW(HolidayStart))-ROW(INDEX(HolidayStart,1,1))+1),""))</f>
        <v/>
      </c>
    </row>
    <row r="264" spans="1:17" ht="24" customHeight="1">
      <c r="A264" s="21">
        <v>260</v>
      </c>
      <c r="B264" s="22"/>
      <c r="C264" s="23"/>
      <c r="D264" s="23"/>
      <c r="E264" s="24"/>
      <c r="F264" s="25"/>
      <c r="G264" s="25"/>
      <c r="H264" s="25"/>
      <c r="I264" s="26"/>
      <c r="J264" s="26"/>
      <c r="K264" s="25"/>
      <c r="L264" s="25"/>
      <c r="M264" s="25"/>
      <c r="N264" s="24"/>
      <c r="O264" s="24"/>
      <c r="P264" s="24"/>
      <c r="Q264" s="27" t="str">
        <f>IF(OR(B264="",J264=""),"",IF(SUMPRODUCT((J264&gt;=HolidayStart)*(J264&lt;=HolidayEnd)*(HolidayStart&lt;&gt;""))&gt;0,"Conflict: "&amp;INDEX(HolidayName,SUMPRODUCT((J264&gt;=HolidayStart)*(J264&lt;=HolidayEnd)*(HolidayStart&lt;&gt;"")*ROW(HolidayStart))-ROW(INDEX(HolidayStart,1,1))+1),""))</f>
        <v/>
      </c>
    </row>
    <row r="265" spans="1:17" ht="24" customHeight="1">
      <c r="A265" s="14">
        <v>261</v>
      </c>
      <c r="B265" s="15"/>
      <c r="C265" s="16"/>
      <c r="D265" s="16"/>
      <c r="E265" s="17"/>
      <c r="F265" s="18"/>
      <c r="G265" s="18"/>
      <c r="H265" s="18"/>
      <c r="I265" s="19"/>
      <c r="J265" s="19"/>
      <c r="K265" s="18"/>
      <c r="L265" s="18"/>
      <c r="M265" s="18"/>
      <c r="N265" s="17"/>
      <c r="O265" s="17"/>
      <c r="P265" s="17"/>
      <c r="Q265" s="20" t="str">
        <f>IF(OR(B265="",J265=""),"",IF(SUMPRODUCT((J265&gt;=HolidayStart)*(J265&lt;=HolidayEnd)*(HolidayStart&lt;&gt;""))&gt;0,"Conflict: "&amp;INDEX(HolidayName,SUMPRODUCT((J265&gt;=HolidayStart)*(J265&lt;=HolidayEnd)*(HolidayStart&lt;&gt;"")*ROW(HolidayStart))-ROW(INDEX(HolidayStart,1,1))+1),""))</f>
        <v/>
      </c>
    </row>
    <row r="266" spans="1:17" ht="24" customHeight="1">
      <c r="A266" s="21">
        <v>262</v>
      </c>
      <c r="B266" s="22"/>
      <c r="C266" s="23"/>
      <c r="D266" s="23"/>
      <c r="E266" s="24"/>
      <c r="F266" s="25"/>
      <c r="G266" s="25"/>
      <c r="H266" s="25"/>
      <c r="I266" s="26"/>
      <c r="J266" s="26"/>
      <c r="K266" s="25"/>
      <c r="L266" s="25"/>
      <c r="M266" s="25"/>
      <c r="N266" s="24"/>
      <c r="O266" s="24"/>
      <c r="P266" s="24"/>
      <c r="Q266" s="27" t="str">
        <f>IF(OR(B266="",J266=""),"",IF(SUMPRODUCT((J266&gt;=HolidayStart)*(J266&lt;=HolidayEnd)*(HolidayStart&lt;&gt;""))&gt;0,"Conflict: "&amp;INDEX(HolidayName,SUMPRODUCT((J266&gt;=HolidayStart)*(J266&lt;=HolidayEnd)*(HolidayStart&lt;&gt;"")*ROW(HolidayStart))-ROW(INDEX(HolidayStart,1,1))+1),""))</f>
        <v/>
      </c>
    </row>
    <row r="267" spans="1:17" ht="24" customHeight="1">
      <c r="A267" s="14">
        <v>263</v>
      </c>
      <c r="B267" s="15"/>
      <c r="C267" s="16"/>
      <c r="D267" s="16"/>
      <c r="E267" s="17"/>
      <c r="F267" s="18"/>
      <c r="G267" s="18"/>
      <c r="H267" s="18"/>
      <c r="I267" s="19"/>
      <c r="J267" s="19"/>
      <c r="K267" s="18"/>
      <c r="L267" s="18"/>
      <c r="M267" s="18"/>
      <c r="N267" s="17"/>
      <c r="O267" s="17"/>
      <c r="P267" s="17"/>
      <c r="Q267" s="20" t="str">
        <f>IF(OR(B267="",J267=""),"",IF(SUMPRODUCT((J267&gt;=HolidayStart)*(J267&lt;=HolidayEnd)*(HolidayStart&lt;&gt;""))&gt;0,"Conflict: "&amp;INDEX(HolidayName,SUMPRODUCT((J267&gt;=HolidayStart)*(J267&lt;=HolidayEnd)*(HolidayStart&lt;&gt;"")*ROW(HolidayStart))-ROW(INDEX(HolidayStart,1,1))+1),""))</f>
        <v/>
      </c>
    </row>
    <row r="268" spans="1:17" ht="24" customHeight="1">
      <c r="A268" s="21">
        <v>264</v>
      </c>
      <c r="B268" s="22"/>
      <c r="C268" s="23"/>
      <c r="D268" s="23"/>
      <c r="E268" s="24"/>
      <c r="F268" s="25"/>
      <c r="G268" s="25"/>
      <c r="H268" s="25"/>
      <c r="I268" s="26"/>
      <c r="J268" s="26"/>
      <c r="K268" s="25"/>
      <c r="L268" s="25"/>
      <c r="M268" s="25"/>
      <c r="N268" s="24"/>
      <c r="O268" s="24"/>
      <c r="P268" s="24"/>
      <c r="Q268" s="27" t="str">
        <f>IF(OR(B268="",J268=""),"",IF(SUMPRODUCT((J268&gt;=HolidayStart)*(J268&lt;=HolidayEnd)*(HolidayStart&lt;&gt;""))&gt;0,"Conflict: "&amp;INDEX(HolidayName,SUMPRODUCT((J268&gt;=HolidayStart)*(J268&lt;=HolidayEnd)*(HolidayStart&lt;&gt;"")*ROW(HolidayStart))-ROW(INDEX(HolidayStart,1,1))+1),""))</f>
        <v/>
      </c>
    </row>
    <row r="269" spans="1:17" ht="24" customHeight="1">
      <c r="A269" s="14">
        <v>265</v>
      </c>
      <c r="B269" s="15"/>
      <c r="C269" s="16"/>
      <c r="D269" s="16"/>
      <c r="E269" s="17"/>
      <c r="F269" s="18"/>
      <c r="G269" s="18"/>
      <c r="H269" s="18"/>
      <c r="I269" s="19"/>
      <c r="J269" s="19"/>
      <c r="K269" s="18"/>
      <c r="L269" s="18"/>
      <c r="M269" s="18"/>
      <c r="N269" s="17"/>
      <c r="O269" s="17"/>
      <c r="P269" s="17"/>
      <c r="Q269" s="20" t="str">
        <f>IF(OR(B269="",J269=""),"",IF(SUMPRODUCT((J269&gt;=HolidayStart)*(J269&lt;=HolidayEnd)*(HolidayStart&lt;&gt;""))&gt;0,"Conflict: "&amp;INDEX(HolidayName,SUMPRODUCT((J269&gt;=HolidayStart)*(J269&lt;=HolidayEnd)*(HolidayStart&lt;&gt;"")*ROW(HolidayStart))-ROW(INDEX(HolidayStart,1,1))+1),""))</f>
        <v/>
      </c>
    </row>
    <row r="270" spans="1:17" ht="24" customHeight="1">
      <c r="A270" s="21">
        <v>266</v>
      </c>
      <c r="B270" s="22"/>
      <c r="C270" s="23"/>
      <c r="D270" s="23"/>
      <c r="E270" s="24"/>
      <c r="F270" s="25"/>
      <c r="G270" s="25"/>
      <c r="H270" s="25"/>
      <c r="I270" s="26"/>
      <c r="J270" s="26"/>
      <c r="K270" s="25"/>
      <c r="L270" s="25"/>
      <c r="M270" s="25"/>
      <c r="N270" s="24"/>
      <c r="O270" s="24"/>
      <c r="P270" s="24"/>
      <c r="Q270" s="27" t="str">
        <f>IF(OR(B270="",J270=""),"",IF(SUMPRODUCT((J270&gt;=HolidayStart)*(J270&lt;=HolidayEnd)*(HolidayStart&lt;&gt;""))&gt;0,"Conflict: "&amp;INDEX(HolidayName,SUMPRODUCT((J270&gt;=HolidayStart)*(J270&lt;=HolidayEnd)*(HolidayStart&lt;&gt;"")*ROW(HolidayStart))-ROW(INDEX(HolidayStart,1,1))+1),""))</f>
        <v/>
      </c>
    </row>
    <row r="271" spans="1:17" ht="24" customHeight="1">
      <c r="A271" s="14">
        <v>267</v>
      </c>
      <c r="B271" s="15"/>
      <c r="C271" s="16"/>
      <c r="D271" s="16"/>
      <c r="E271" s="17"/>
      <c r="F271" s="18"/>
      <c r="G271" s="18"/>
      <c r="H271" s="18"/>
      <c r="I271" s="19"/>
      <c r="J271" s="19"/>
      <c r="K271" s="18"/>
      <c r="L271" s="18"/>
      <c r="M271" s="18"/>
      <c r="N271" s="17"/>
      <c r="O271" s="17"/>
      <c r="P271" s="17"/>
      <c r="Q271" s="20" t="str">
        <f>IF(OR(B271="",J271=""),"",IF(SUMPRODUCT((J271&gt;=HolidayStart)*(J271&lt;=HolidayEnd)*(HolidayStart&lt;&gt;""))&gt;0,"Conflict: "&amp;INDEX(HolidayName,SUMPRODUCT((J271&gt;=HolidayStart)*(J271&lt;=HolidayEnd)*(HolidayStart&lt;&gt;"")*ROW(HolidayStart))-ROW(INDEX(HolidayStart,1,1))+1),""))</f>
        <v/>
      </c>
    </row>
    <row r="272" spans="1:17" ht="24" customHeight="1">
      <c r="A272" s="21">
        <v>268</v>
      </c>
      <c r="B272" s="22"/>
      <c r="C272" s="23"/>
      <c r="D272" s="23"/>
      <c r="E272" s="24"/>
      <c r="F272" s="25"/>
      <c r="G272" s="25"/>
      <c r="H272" s="25"/>
      <c r="I272" s="26"/>
      <c r="J272" s="26"/>
      <c r="K272" s="25"/>
      <c r="L272" s="25"/>
      <c r="M272" s="25"/>
      <c r="N272" s="24"/>
      <c r="O272" s="24"/>
      <c r="P272" s="24"/>
      <c r="Q272" s="27" t="str">
        <f>IF(OR(B272="",J272=""),"",IF(SUMPRODUCT((J272&gt;=HolidayStart)*(J272&lt;=HolidayEnd)*(HolidayStart&lt;&gt;""))&gt;0,"Conflict: "&amp;INDEX(HolidayName,SUMPRODUCT((J272&gt;=HolidayStart)*(J272&lt;=HolidayEnd)*(HolidayStart&lt;&gt;"")*ROW(HolidayStart))-ROW(INDEX(HolidayStart,1,1))+1),""))</f>
        <v/>
      </c>
    </row>
    <row r="273" spans="1:17" ht="24" customHeight="1">
      <c r="A273" s="14">
        <v>269</v>
      </c>
      <c r="B273" s="15"/>
      <c r="C273" s="16"/>
      <c r="D273" s="16"/>
      <c r="E273" s="17"/>
      <c r="F273" s="18"/>
      <c r="G273" s="18"/>
      <c r="H273" s="18"/>
      <c r="I273" s="19"/>
      <c r="J273" s="19"/>
      <c r="K273" s="18"/>
      <c r="L273" s="18"/>
      <c r="M273" s="18"/>
      <c r="N273" s="17"/>
      <c r="O273" s="17"/>
      <c r="P273" s="17"/>
      <c r="Q273" s="20" t="str">
        <f>IF(OR(B273="",J273=""),"",IF(SUMPRODUCT((J273&gt;=HolidayStart)*(J273&lt;=HolidayEnd)*(HolidayStart&lt;&gt;""))&gt;0,"Conflict: "&amp;INDEX(HolidayName,SUMPRODUCT((J273&gt;=HolidayStart)*(J273&lt;=HolidayEnd)*(HolidayStart&lt;&gt;"")*ROW(HolidayStart))-ROW(INDEX(HolidayStart,1,1))+1),""))</f>
        <v/>
      </c>
    </row>
    <row r="274" spans="1:17" ht="24" customHeight="1">
      <c r="A274" s="21">
        <v>270</v>
      </c>
      <c r="B274" s="22"/>
      <c r="C274" s="23"/>
      <c r="D274" s="23"/>
      <c r="E274" s="24"/>
      <c r="F274" s="25"/>
      <c r="G274" s="25"/>
      <c r="H274" s="25"/>
      <c r="I274" s="26"/>
      <c r="J274" s="26"/>
      <c r="K274" s="25"/>
      <c r="L274" s="25"/>
      <c r="M274" s="25"/>
      <c r="N274" s="24"/>
      <c r="O274" s="24"/>
      <c r="P274" s="24"/>
      <c r="Q274" s="27" t="str">
        <f>IF(OR(B274="",J274=""),"",IF(SUMPRODUCT((J274&gt;=HolidayStart)*(J274&lt;=HolidayEnd)*(HolidayStart&lt;&gt;""))&gt;0,"Conflict: "&amp;INDEX(HolidayName,SUMPRODUCT((J274&gt;=HolidayStart)*(J274&lt;=HolidayEnd)*(HolidayStart&lt;&gt;"")*ROW(HolidayStart))-ROW(INDEX(HolidayStart,1,1))+1),""))</f>
        <v/>
      </c>
    </row>
    <row r="275" spans="1:17" ht="24" customHeight="1">
      <c r="A275" s="14">
        <v>271</v>
      </c>
      <c r="B275" s="15"/>
      <c r="C275" s="16"/>
      <c r="D275" s="16"/>
      <c r="E275" s="17"/>
      <c r="F275" s="18"/>
      <c r="G275" s="18"/>
      <c r="H275" s="18"/>
      <c r="I275" s="19"/>
      <c r="J275" s="19"/>
      <c r="K275" s="18"/>
      <c r="L275" s="18"/>
      <c r="M275" s="18"/>
      <c r="N275" s="17"/>
      <c r="O275" s="17"/>
      <c r="P275" s="17"/>
      <c r="Q275" s="20" t="str">
        <f>IF(OR(B275="",J275=""),"",IF(SUMPRODUCT((J275&gt;=HolidayStart)*(J275&lt;=HolidayEnd)*(HolidayStart&lt;&gt;""))&gt;0,"Conflict: "&amp;INDEX(HolidayName,SUMPRODUCT((J275&gt;=HolidayStart)*(J275&lt;=HolidayEnd)*(HolidayStart&lt;&gt;"")*ROW(HolidayStart))-ROW(INDEX(HolidayStart,1,1))+1),""))</f>
        <v/>
      </c>
    </row>
    <row r="276" spans="1:17" ht="24" customHeight="1">
      <c r="A276" s="21">
        <v>272</v>
      </c>
      <c r="B276" s="22"/>
      <c r="C276" s="23"/>
      <c r="D276" s="23"/>
      <c r="E276" s="24"/>
      <c r="F276" s="25"/>
      <c r="G276" s="25"/>
      <c r="H276" s="25"/>
      <c r="I276" s="26"/>
      <c r="J276" s="26"/>
      <c r="K276" s="25"/>
      <c r="L276" s="25"/>
      <c r="M276" s="25"/>
      <c r="N276" s="24"/>
      <c r="O276" s="24"/>
      <c r="P276" s="24"/>
      <c r="Q276" s="27" t="str">
        <f>IF(OR(B276="",J276=""),"",IF(SUMPRODUCT((J276&gt;=HolidayStart)*(J276&lt;=HolidayEnd)*(HolidayStart&lt;&gt;""))&gt;0,"Conflict: "&amp;INDEX(HolidayName,SUMPRODUCT((J276&gt;=HolidayStart)*(J276&lt;=HolidayEnd)*(HolidayStart&lt;&gt;"")*ROW(HolidayStart))-ROW(INDEX(HolidayStart,1,1))+1),""))</f>
        <v/>
      </c>
    </row>
    <row r="277" spans="1:17" ht="24" customHeight="1">
      <c r="A277" s="14">
        <v>273</v>
      </c>
      <c r="B277" s="15"/>
      <c r="C277" s="16"/>
      <c r="D277" s="16"/>
      <c r="E277" s="17"/>
      <c r="F277" s="18"/>
      <c r="G277" s="18"/>
      <c r="H277" s="18"/>
      <c r="I277" s="19"/>
      <c r="J277" s="19"/>
      <c r="K277" s="18"/>
      <c r="L277" s="18"/>
      <c r="M277" s="18"/>
      <c r="N277" s="17"/>
      <c r="O277" s="17"/>
      <c r="P277" s="17"/>
      <c r="Q277" s="20" t="str">
        <f>IF(OR(B277="",J277=""),"",IF(SUMPRODUCT((J277&gt;=HolidayStart)*(J277&lt;=HolidayEnd)*(HolidayStart&lt;&gt;""))&gt;0,"Conflict: "&amp;INDEX(HolidayName,SUMPRODUCT((J277&gt;=HolidayStart)*(J277&lt;=HolidayEnd)*(HolidayStart&lt;&gt;"")*ROW(HolidayStart))-ROW(INDEX(HolidayStart,1,1))+1),""))</f>
        <v/>
      </c>
    </row>
    <row r="278" spans="1:17" ht="24" customHeight="1">
      <c r="A278" s="21">
        <v>274</v>
      </c>
      <c r="B278" s="22"/>
      <c r="C278" s="23"/>
      <c r="D278" s="23"/>
      <c r="E278" s="24"/>
      <c r="F278" s="25"/>
      <c r="G278" s="25"/>
      <c r="H278" s="25"/>
      <c r="I278" s="26"/>
      <c r="J278" s="26"/>
      <c r="K278" s="25"/>
      <c r="L278" s="25"/>
      <c r="M278" s="25"/>
      <c r="N278" s="24"/>
      <c r="O278" s="24"/>
      <c r="P278" s="24"/>
      <c r="Q278" s="27" t="str">
        <f>IF(OR(B278="",J278=""),"",IF(SUMPRODUCT((J278&gt;=HolidayStart)*(J278&lt;=HolidayEnd)*(HolidayStart&lt;&gt;""))&gt;0,"Conflict: "&amp;INDEX(HolidayName,SUMPRODUCT((J278&gt;=HolidayStart)*(J278&lt;=HolidayEnd)*(HolidayStart&lt;&gt;"")*ROW(HolidayStart))-ROW(INDEX(HolidayStart,1,1))+1),""))</f>
        <v/>
      </c>
    </row>
    <row r="279" spans="1:17" ht="24" customHeight="1">
      <c r="A279" s="14">
        <v>275</v>
      </c>
      <c r="B279" s="15"/>
      <c r="C279" s="16"/>
      <c r="D279" s="16"/>
      <c r="E279" s="17"/>
      <c r="F279" s="18"/>
      <c r="G279" s="18"/>
      <c r="H279" s="18"/>
      <c r="I279" s="19"/>
      <c r="J279" s="19"/>
      <c r="K279" s="18"/>
      <c r="L279" s="18"/>
      <c r="M279" s="18"/>
      <c r="N279" s="17"/>
      <c r="O279" s="17"/>
      <c r="P279" s="17"/>
      <c r="Q279" s="20" t="str">
        <f>IF(OR(B279="",J279=""),"",IF(SUMPRODUCT((J279&gt;=HolidayStart)*(J279&lt;=HolidayEnd)*(HolidayStart&lt;&gt;""))&gt;0,"Conflict: "&amp;INDEX(HolidayName,SUMPRODUCT((J279&gt;=HolidayStart)*(J279&lt;=HolidayEnd)*(HolidayStart&lt;&gt;"")*ROW(HolidayStart))-ROW(INDEX(HolidayStart,1,1))+1),""))</f>
        <v/>
      </c>
    </row>
    <row r="280" spans="1:17" ht="24" customHeight="1">
      <c r="A280" s="21">
        <v>276</v>
      </c>
      <c r="B280" s="22"/>
      <c r="C280" s="23"/>
      <c r="D280" s="23"/>
      <c r="E280" s="24"/>
      <c r="F280" s="25"/>
      <c r="G280" s="25"/>
      <c r="H280" s="25"/>
      <c r="I280" s="26"/>
      <c r="J280" s="26"/>
      <c r="K280" s="25"/>
      <c r="L280" s="25"/>
      <c r="M280" s="25"/>
      <c r="N280" s="24"/>
      <c r="O280" s="24"/>
      <c r="P280" s="24"/>
      <c r="Q280" s="27" t="str">
        <f>IF(OR(B280="",J280=""),"",IF(SUMPRODUCT((J280&gt;=HolidayStart)*(J280&lt;=HolidayEnd)*(HolidayStart&lt;&gt;""))&gt;0,"Conflict: "&amp;INDEX(HolidayName,SUMPRODUCT((J280&gt;=HolidayStart)*(J280&lt;=HolidayEnd)*(HolidayStart&lt;&gt;"")*ROW(HolidayStart))-ROW(INDEX(HolidayStart,1,1))+1),""))</f>
        <v/>
      </c>
    </row>
    <row r="281" spans="1:17" ht="24" customHeight="1">
      <c r="A281" s="14">
        <v>277</v>
      </c>
      <c r="B281" s="15"/>
      <c r="C281" s="16"/>
      <c r="D281" s="16"/>
      <c r="E281" s="17"/>
      <c r="F281" s="18"/>
      <c r="G281" s="18"/>
      <c r="H281" s="18"/>
      <c r="I281" s="19"/>
      <c r="J281" s="19"/>
      <c r="K281" s="18"/>
      <c r="L281" s="18"/>
      <c r="M281" s="18"/>
      <c r="N281" s="17"/>
      <c r="O281" s="17"/>
      <c r="P281" s="17"/>
      <c r="Q281" s="20" t="str">
        <f>IF(OR(B281="",J281=""),"",IF(SUMPRODUCT((J281&gt;=HolidayStart)*(J281&lt;=HolidayEnd)*(HolidayStart&lt;&gt;""))&gt;0,"Conflict: "&amp;INDEX(HolidayName,SUMPRODUCT((J281&gt;=HolidayStart)*(J281&lt;=HolidayEnd)*(HolidayStart&lt;&gt;"")*ROW(HolidayStart))-ROW(INDEX(HolidayStart,1,1))+1),""))</f>
        <v/>
      </c>
    </row>
    <row r="282" spans="1:17" ht="24" customHeight="1">
      <c r="A282" s="21">
        <v>278</v>
      </c>
      <c r="B282" s="22"/>
      <c r="C282" s="23"/>
      <c r="D282" s="23"/>
      <c r="E282" s="24"/>
      <c r="F282" s="25"/>
      <c r="G282" s="25"/>
      <c r="H282" s="25"/>
      <c r="I282" s="26"/>
      <c r="J282" s="26"/>
      <c r="K282" s="25"/>
      <c r="L282" s="25"/>
      <c r="M282" s="25"/>
      <c r="N282" s="24"/>
      <c r="O282" s="24"/>
      <c r="P282" s="24"/>
      <c r="Q282" s="27" t="str">
        <f>IF(OR(B282="",J282=""),"",IF(SUMPRODUCT((J282&gt;=HolidayStart)*(J282&lt;=HolidayEnd)*(HolidayStart&lt;&gt;""))&gt;0,"Conflict: "&amp;INDEX(HolidayName,SUMPRODUCT((J282&gt;=HolidayStart)*(J282&lt;=HolidayEnd)*(HolidayStart&lt;&gt;"")*ROW(HolidayStart))-ROW(INDEX(HolidayStart,1,1))+1),""))</f>
        <v/>
      </c>
    </row>
    <row r="283" spans="1:17" ht="24" customHeight="1">
      <c r="A283" s="14">
        <v>279</v>
      </c>
      <c r="B283" s="15"/>
      <c r="C283" s="16"/>
      <c r="D283" s="16"/>
      <c r="E283" s="17"/>
      <c r="F283" s="18"/>
      <c r="G283" s="18"/>
      <c r="H283" s="18"/>
      <c r="I283" s="19"/>
      <c r="J283" s="19"/>
      <c r="K283" s="18"/>
      <c r="L283" s="18"/>
      <c r="M283" s="18"/>
      <c r="N283" s="17"/>
      <c r="O283" s="17"/>
      <c r="P283" s="17"/>
      <c r="Q283" s="20" t="str">
        <f>IF(OR(B283="",J283=""),"",IF(SUMPRODUCT((J283&gt;=HolidayStart)*(J283&lt;=HolidayEnd)*(HolidayStart&lt;&gt;""))&gt;0,"Conflict: "&amp;INDEX(HolidayName,SUMPRODUCT((J283&gt;=HolidayStart)*(J283&lt;=HolidayEnd)*(HolidayStart&lt;&gt;"")*ROW(HolidayStart))-ROW(INDEX(HolidayStart,1,1))+1),""))</f>
        <v/>
      </c>
    </row>
    <row r="284" spans="1:17" ht="24" customHeight="1">
      <c r="A284" s="21">
        <v>280</v>
      </c>
      <c r="B284" s="22"/>
      <c r="C284" s="23"/>
      <c r="D284" s="23"/>
      <c r="E284" s="24"/>
      <c r="F284" s="25"/>
      <c r="G284" s="25"/>
      <c r="H284" s="25"/>
      <c r="I284" s="26"/>
      <c r="J284" s="26"/>
      <c r="K284" s="25"/>
      <c r="L284" s="25"/>
      <c r="M284" s="25"/>
      <c r="N284" s="24"/>
      <c r="O284" s="24"/>
      <c r="P284" s="24"/>
      <c r="Q284" s="27" t="str">
        <f>IF(OR(B284="",J284=""),"",IF(SUMPRODUCT((J284&gt;=HolidayStart)*(J284&lt;=HolidayEnd)*(HolidayStart&lt;&gt;""))&gt;0,"Conflict: "&amp;INDEX(HolidayName,SUMPRODUCT((J284&gt;=HolidayStart)*(J284&lt;=HolidayEnd)*(HolidayStart&lt;&gt;"")*ROW(HolidayStart))-ROW(INDEX(HolidayStart,1,1))+1),""))</f>
        <v/>
      </c>
    </row>
    <row r="285" spans="1:17" ht="24" customHeight="1">
      <c r="A285" s="14">
        <v>281</v>
      </c>
      <c r="B285" s="15"/>
      <c r="C285" s="16"/>
      <c r="D285" s="16"/>
      <c r="E285" s="17"/>
      <c r="F285" s="18"/>
      <c r="G285" s="18"/>
      <c r="H285" s="18"/>
      <c r="I285" s="19"/>
      <c r="J285" s="19"/>
      <c r="K285" s="18"/>
      <c r="L285" s="18"/>
      <c r="M285" s="18"/>
      <c r="N285" s="17"/>
      <c r="O285" s="17"/>
      <c r="P285" s="17"/>
      <c r="Q285" s="20" t="str">
        <f>IF(OR(B285="",J285=""),"",IF(SUMPRODUCT((J285&gt;=HolidayStart)*(J285&lt;=HolidayEnd)*(HolidayStart&lt;&gt;""))&gt;0,"Conflict: "&amp;INDEX(HolidayName,SUMPRODUCT((J285&gt;=HolidayStart)*(J285&lt;=HolidayEnd)*(HolidayStart&lt;&gt;"")*ROW(HolidayStart))-ROW(INDEX(HolidayStart,1,1))+1),""))</f>
        <v/>
      </c>
    </row>
    <row r="286" spans="1:17" ht="24" customHeight="1">
      <c r="A286" s="21">
        <v>282</v>
      </c>
      <c r="B286" s="22"/>
      <c r="C286" s="23"/>
      <c r="D286" s="23"/>
      <c r="E286" s="24"/>
      <c r="F286" s="25"/>
      <c r="G286" s="25"/>
      <c r="H286" s="25"/>
      <c r="I286" s="26"/>
      <c r="J286" s="26"/>
      <c r="K286" s="25"/>
      <c r="L286" s="25"/>
      <c r="M286" s="25"/>
      <c r="N286" s="24"/>
      <c r="O286" s="24"/>
      <c r="P286" s="24"/>
      <c r="Q286" s="27" t="str">
        <f>IF(OR(B286="",J286=""),"",IF(SUMPRODUCT((J286&gt;=HolidayStart)*(J286&lt;=HolidayEnd)*(HolidayStart&lt;&gt;""))&gt;0,"Conflict: "&amp;INDEX(HolidayName,SUMPRODUCT((J286&gt;=HolidayStart)*(J286&lt;=HolidayEnd)*(HolidayStart&lt;&gt;"")*ROW(HolidayStart))-ROW(INDEX(HolidayStart,1,1))+1),""))</f>
        <v/>
      </c>
    </row>
    <row r="287" spans="1:17" ht="24" customHeight="1">
      <c r="A287" s="14">
        <v>283</v>
      </c>
      <c r="B287" s="15"/>
      <c r="C287" s="16"/>
      <c r="D287" s="16"/>
      <c r="E287" s="17"/>
      <c r="F287" s="18"/>
      <c r="G287" s="18"/>
      <c r="H287" s="18"/>
      <c r="I287" s="19"/>
      <c r="J287" s="19"/>
      <c r="K287" s="18"/>
      <c r="L287" s="18"/>
      <c r="M287" s="18"/>
      <c r="N287" s="17"/>
      <c r="O287" s="17"/>
      <c r="P287" s="17"/>
      <c r="Q287" s="20" t="str">
        <f>IF(OR(B287="",J287=""),"",IF(SUMPRODUCT((J287&gt;=HolidayStart)*(J287&lt;=HolidayEnd)*(HolidayStart&lt;&gt;""))&gt;0,"Conflict: "&amp;INDEX(HolidayName,SUMPRODUCT((J287&gt;=HolidayStart)*(J287&lt;=HolidayEnd)*(HolidayStart&lt;&gt;"")*ROW(HolidayStart))-ROW(INDEX(HolidayStart,1,1))+1),""))</f>
        <v/>
      </c>
    </row>
    <row r="288" spans="1:17" ht="24" customHeight="1">
      <c r="A288" s="21">
        <v>284</v>
      </c>
      <c r="B288" s="22"/>
      <c r="C288" s="23"/>
      <c r="D288" s="23"/>
      <c r="E288" s="24"/>
      <c r="F288" s="25"/>
      <c r="G288" s="25"/>
      <c r="H288" s="25"/>
      <c r="I288" s="26"/>
      <c r="J288" s="26"/>
      <c r="K288" s="25"/>
      <c r="L288" s="25"/>
      <c r="M288" s="25"/>
      <c r="N288" s="24"/>
      <c r="O288" s="24"/>
      <c r="P288" s="24"/>
      <c r="Q288" s="27" t="str">
        <f>IF(OR(B288="",J288=""),"",IF(SUMPRODUCT((J288&gt;=HolidayStart)*(J288&lt;=HolidayEnd)*(HolidayStart&lt;&gt;""))&gt;0,"Conflict: "&amp;INDEX(HolidayName,SUMPRODUCT((J288&gt;=HolidayStart)*(J288&lt;=HolidayEnd)*(HolidayStart&lt;&gt;"")*ROW(HolidayStart))-ROW(INDEX(HolidayStart,1,1))+1),""))</f>
        <v/>
      </c>
    </row>
    <row r="289" spans="1:17" ht="24" customHeight="1">
      <c r="A289" s="14">
        <v>285</v>
      </c>
      <c r="B289" s="15"/>
      <c r="C289" s="16"/>
      <c r="D289" s="16"/>
      <c r="E289" s="17"/>
      <c r="F289" s="18"/>
      <c r="G289" s="18"/>
      <c r="H289" s="18"/>
      <c r="I289" s="19"/>
      <c r="J289" s="19"/>
      <c r="K289" s="18"/>
      <c r="L289" s="18"/>
      <c r="M289" s="18"/>
      <c r="N289" s="17"/>
      <c r="O289" s="17"/>
      <c r="P289" s="17"/>
      <c r="Q289" s="20" t="str">
        <f>IF(OR(B289="",J289=""),"",IF(SUMPRODUCT((J289&gt;=HolidayStart)*(J289&lt;=HolidayEnd)*(HolidayStart&lt;&gt;""))&gt;0,"Conflict: "&amp;INDEX(HolidayName,SUMPRODUCT((J289&gt;=HolidayStart)*(J289&lt;=HolidayEnd)*(HolidayStart&lt;&gt;"")*ROW(HolidayStart))-ROW(INDEX(HolidayStart,1,1))+1),""))</f>
        <v/>
      </c>
    </row>
    <row r="290" spans="1:17" ht="24" customHeight="1">
      <c r="A290" s="21">
        <v>286</v>
      </c>
      <c r="B290" s="22"/>
      <c r="C290" s="23"/>
      <c r="D290" s="23"/>
      <c r="E290" s="24"/>
      <c r="F290" s="25"/>
      <c r="G290" s="25"/>
      <c r="H290" s="25"/>
      <c r="I290" s="26"/>
      <c r="J290" s="26"/>
      <c r="K290" s="25"/>
      <c r="L290" s="25"/>
      <c r="M290" s="25"/>
      <c r="N290" s="24"/>
      <c r="O290" s="24"/>
      <c r="P290" s="24"/>
      <c r="Q290" s="27" t="str">
        <f>IF(OR(B290="",J290=""),"",IF(SUMPRODUCT((J290&gt;=HolidayStart)*(J290&lt;=HolidayEnd)*(HolidayStart&lt;&gt;""))&gt;0,"Conflict: "&amp;INDEX(HolidayName,SUMPRODUCT((J290&gt;=HolidayStart)*(J290&lt;=HolidayEnd)*(HolidayStart&lt;&gt;"")*ROW(HolidayStart))-ROW(INDEX(HolidayStart,1,1))+1),""))</f>
        <v/>
      </c>
    </row>
    <row r="291" spans="1:17" ht="24" customHeight="1">
      <c r="A291" s="14">
        <v>287</v>
      </c>
      <c r="B291" s="15"/>
      <c r="C291" s="16"/>
      <c r="D291" s="16"/>
      <c r="E291" s="17"/>
      <c r="F291" s="18"/>
      <c r="G291" s="18"/>
      <c r="H291" s="18"/>
      <c r="I291" s="19"/>
      <c r="J291" s="19"/>
      <c r="K291" s="18"/>
      <c r="L291" s="18"/>
      <c r="M291" s="18"/>
      <c r="N291" s="17"/>
      <c r="O291" s="17"/>
      <c r="P291" s="17"/>
      <c r="Q291" s="20" t="str">
        <f>IF(OR(B291="",J291=""),"",IF(SUMPRODUCT((J291&gt;=HolidayStart)*(J291&lt;=HolidayEnd)*(HolidayStart&lt;&gt;""))&gt;0,"Conflict: "&amp;INDEX(HolidayName,SUMPRODUCT((J291&gt;=HolidayStart)*(J291&lt;=HolidayEnd)*(HolidayStart&lt;&gt;"")*ROW(HolidayStart))-ROW(INDEX(HolidayStart,1,1))+1),""))</f>
        <v/>
      </c>
    </row>
    <row r="292" spans="1:17" ht="24" customHeight="1">
      <c r="A292" s="21">
        <v>288</v>
      </c>
      <c r="B292" s="22"/>
      <c r="C292" s="23"/>
      <c r="D292" s="23"/>
      <c r="E292" s="24"/>
      <c r="F292" s="25"/>
      <c r="G292" s="25"/>
      <c r="H292" s="25"/>
      <c r="I292" s="26"/>
      <c r="J292" s="26"/>
      <c r="K292" s="25"/>
      <c r="L292" s="25"/>
      <c r="M292" s="25"/>
      <c r="N292" s="24"/>
      <c r="O292" s="24"/>
      <c r="P292" s="24"/>
      <c r="Q292" s="27" t="str">
        <f>IF(OR(B292="",J292=""),"",IF(SUMPRODUCT((J292&gt;=HolidayStart)*(J292&lt;=HolidayEnd)*(HolidayStart&lt;&gt;""))&gt;0,"Conflict: "&amp;INDEX(HolidayName,SUMPRODUCT((J292&gt;=HolidayStart)*(J292&lt;=HolidayEnd)*(HolidayStart&lt;&gt;"")*ROW(HolidayStart))-ROW(INDEX(HolidayStart,1,1))+1),""))</f>
        <v/>
      </c>
    </row>
    <row r="293" spans="1:17" ht="24" customHeight="1">
      <c r="A293" s="14">
        <v>289</v>
      </c>
      <c r="B293" s="15"/>
      <c r="C293" s="16"/>
      <c r="D293" s="16"/>
      <c r="E293" s="17"/>
      <c r="F293" s="18"/>
      <c r="G293" s="18"/>
      <c r="H293" s="18"/>
      <c r="I293" s="19"/>
      <c r="J293" s="19"/>
      <c r="K293" s="18"/>
      <c r="L293" s="18"/>
      <c r="M293" s="18"/>
      <c r="N293" s="17"/>
      <c r="O293" s="17"/>
      <c r="P293" s="17"/>
      <c r="Q293" s="20" t="str">
        <f>IF(OR(B293="",J293=""),"",IF(SUMPRODUCT((J293&gt;=HolidayStart)*(J293&lt;=HolidayEnd)*(HolidayStart&lt;&gt;""))&gt;0,"Conflict: "&amp;INDEX(HolidayName,SUMPRODUCT((J293&gt;=HolidayStart)*(J293&lt;=HolidayEnd)*(HolidayStart&lt;&gt;"")*ROW(HolidayStart))-ROW(INDEX(HolidayStart,1,1))+1),""))</f>
        <v/>
      </c>
    </row>
    <row r="294" spans="1:17" ht="24" customHeight="1">
      <c r="A294" s="21">
        <v>290</v>
      </c>
      <c r="B294" s="22"/>
      <c r="C294" s="23"/>
      <c r="D294" s="23"/>
      <c r="E294" s="24"/>
      <c r="F294" s="25"/>
      <c r="G294" s="25"/>
      <c r="H294" s="25"/>
      <c r="I294" s="26"/>
      <c r="J294" s="26"/>
      <c r="K294" s="25"/>
      <c r="L294" s="25"/>
      <c r="M294" s="25"/>
      <c r="N294" s="24"/>
      <c r="O294" s="24"/>
      <c r="P294" s="24"/>
      <c r="Q294" s="27" t="str">
        <f>IF(OR(B294="",J294=""),"",IF(SUMPRODUCT((J294&gt;=HolidayStart)*(J294&lt;=HolidayEnd)*(HolidayStart&lt;&gt;""))&gt;0,"Conflict: "&amp;INDEX(HolidayName,SUMPRODUCT((J294&gt;=HolidayStart)*(J294&lt;=HolidayEnd)*(HolidayStart&lt;&gt;"")*ROW(HolidayStart))-ROW(INDEX(HolidayStart,1,1))+1),""))</f>
        <v/>
      </c>
    </row>
    <row r="295" spans="1:17" ht="24" customHeight="1">
      <c r="A295" s="14">
        <v>291</v>
      </c>
      <c r="B295" s="15"/>
      <c r="C295" s="16"/>
      <c r="D295" s="16"/>
      <c r="E295" s="17"/>
      <c r="F295" s="18"/>
      <c r="G295" s="18"/>
      <c r="H295" s="18"/>
      <c r="I295" s="19"/>
      <c r="J295" s="19"/>
      <c r="K295" s="18"/>
      <c r="L295" s="18"/>
      <c r="M295" s="18"/>
      <c r="N295" s="17"/>
      <c r="O295" s="17"/>
      <c r="P295" s="17"/>
      <c r="Q295" s="20" t="str">
        <f>IF(OR(B295="",J295=""),"",IF(SUMPRODUCT((J295&gt;=HolidayStart)*(J295&lt;=HolidayEnd)*(HolidayStart&lt;&gt;""))&gt;0,"Conflict: "&amp;INDEX(HolidayName,SUMPRODUCT((J295&gt;=HolidayStart)*(J295&lt;=HolidayEnd)*(HolidayStart&lt;&gt;"")*ROW(HolidayStart))-ROW(INDEX(HolidayStart,1,1))+1),""))</f>
        <v/>
      </c>
    </row>
    <row r="296" spans="1:17" ht="24" customHeight="1">
      <c r="A296" s="21">
        <v>292</v>
      </c>
      <c r="B296" s="22"/>
      <c r="C296" s="23"/>
      <c r="D296" s="23"/>
      <c r="E296" s="24"/>
      <c r="F296" s="25"/>
      <c r="G296" s="25"/>
      <c r="H296" s="25"/>
      <c r="I296" s="26"/>
      <c r="J296" s="26"/>
      <c r="K296" s="25"/>
      <c r="L296" s="25"/>
      <c r="M296" s="25"/>
      <c r="N296" s="24"/>
      <c r="O296" s="24"/>
      <c r="P296" s="24"/>
      <c r="Q296" s="27" t="str">
        <f>IF(OR(B296="",J296=""),"",IF(SUMPRODUCT((J296&gt;=HolidayStart)*(J296&lt;=HolidayEnd)*(HolidayStart&lt;&gt;""))&gt;0,"Conflict: "&amp;INDEX(HolidayName,SUMPRODUCT((J296&gt;=HolidayStart)*(J296&lt;=HolidayEnd)*(HolidayStart&lt;&gt;"")*ROW(HolidayStart))-ROW(INDEX(HolidayStart,1,1))+1),""))</f>
        <v/>
      </c>
    </row>
    <row r="297" spans="1:17" ht="24" customHeight="1">
      <c r="A297" s="14">
        <v>293</v>
      </c>
      <c r="B297" s="15"/>
      <c r="C297" s="16"/>
      <c r="D297" s="16"/>
      <c r="E297" s="17"/>
      <c r="F297" s="18"/>
      <c r="G297" s="18"/>
      <c r="H297" s="18"/>
      <c r="I297" s="19"/>
      <c r="J297" s="19"/>
      <c r="K297" s="18"/>
      <c r="L297" s="18"/>
      <c r="M297" s="18"/>
      <c r="N297" s="17"/>
      <c r="O297" s="17"/>
      <c r="P297" s="17"/>
      <c r="Q297" s="20" t="str">
        <f>IF(OR(B297="",J297=""),"",IF(SUMPRODUCT((J297&gt;=HolidayStart)*(J297&lt;=HolidayEnd)*(HolidayStart&lt;&gt;""))&gt;0,"Conflict: "&amp;INDEX(HolidayName,SUMPRODUCT((J297&gt;=HolidayStart)*(J297&lt;=HolidayEnd)*(HolidayStart&lt;&gt;"")*ROW(HolidayStart))-ROW(INDEX(HolidayStart,1,1))+1),""))</f>
        <v/>
      </c>
    </row>
    <row r="298" spans="1:17" ht="24" customHeight="1">
      <c r="A298" s="21">
        <v>294</v>
      </c>
      <c r="B298" s="22"/>
      <c r="C298" s="23"/>
      <c r="D298" s="23"/>
      <c r="E298" s="24"/>
      <c r="F298" s="25"/>
      <c r="G298" s="25"/>
      <c r="H298" s="25"/>
      <c r="I298" s="26"/>
      <c r="J298" s="26"/>
      <c r="K298" s="25"/>
      <c r="L298" s="25"/>
      <c r="M298" s="25"/>
      <c r="N298" s="24"/>
      <c r="O298" s="24"/>
      <c r="P298" s="24"/>
      <c r="Q298" s="27" t="str">
        <f>IF(OR(B298="",J298=""),"",IF(SUMPRODUCT((J298&gt;=HolidayStart)*(J298&lt;=HolidayEnd)*(HolidayStart&lt;&gt;""))&gt;0,"Conflict: "&amp;INDEX(HolidayName,SUMPRODUCT((J298&gt;=HolidayStart)*(J298&lt;=HolidayEnd)*(HolidayStart&lt;&gt;"")*ROW(HolidayStart))-ROW(INDEX(HolidayStart,1,1))+1),""))</f>
        <v/>
      </c>
    </row>
    <row r="299" spans="1:17" ht="24" customHeight="1">
      <c r="A299" s="14">
        <v>295</v>
      </c>
      <c r="B299" s="15"/>
      <c r="C299" s="16"/>
      <c r="D299" s="16"/>
      <c r="E299" s="17"/>
      <c r="F299" s="18"/>
      <c r="G299" s="18"/>
      <c r="H299" s="18"/>
      <c r="I299" s="19"/>
      <c r="J299" s="19"/>
      <c r="K299" s="18"/>
      <c r="L299" s="18"/>
      <c r="M299" s="18"/>
      <c r="N299" s="17"/>
      <c r="O299" s="17"/>
      <c r="P299" s="17"/>
      <c r="Q299" s="20" t="str">
        <f>IF(OR(B299="",J299=""),"",IF(SUMPRODUCT((J299&gt;=HolidayStart)*(J299&lt;=HolidayEnd)*(HolidayStart&lt;&gt;""))&gt;0,"Conflict: "&amp;INDEX(HolidayName,SUMPRODUCT((J299&gt;=HolidayStart)*(J299&lt;=HolidayEnd)*(HolidayStart&lt;&gt;"")*ROW(HolidayStart))-ROW(INDEX(HolidayStart,1,1))+1),""))</f>
        <v/>
      </c>
    </row>
    <row r="300" spans="1:17" ht="24" customHeight="1">
      <c r="A300" s="21">
        <v>296</v>
      </c>
      <c r="B300" s="22"/>
      <c r="C300" s="23"/>
      <c r="D300" s="23"/>
      <c r="E300" s="24"/>
      <c r="F300" s="25"/>
      <c r="G300" s="25"/>
      <c r="H300" s="25"/>
      <c r="I300" s="26"/>
      <c r="J300" s="26"/>
      <c r="K300" s="25"/>
      <c r="L300" s="25"/>
      <c r="M300" s="25"/>
      <c r="N300" s="24"/>
      <c r="O300" s="24"/>
      <c r="P300" s="24"/>
      <c r="Q300" s="27" t="str">
        <f>IF(OR(B300="",J300=""),"",IF(SUMPRODUCT((J300&gt;=HolidayStart)*(J300&lt;=HolidayEnd)*(HolidayStart&lt;&gt;""))&gt;0,"Conflict: "&amp;INDEX(HolidayName,SUMPRODUCT((J300&gt;=HolidayStart)*(J300&lt;=HolidayEnd)*(HolidayStart&lt;&gt;"")*ROW(HolidayStart))-ROW(INDEX(HolidayStart,1,1))+1),""))</f>
        <v/>
      </c>
    </row>
    <row r="301" spans="1:17" ht="24" customHeight="1">
      <c r="A301" s="14">
        <v>297</v>
      </c>
      <c r="B301" s="15"/>
      <c r="C301" s="16"/>
      <c r="D301" s="16"/>
      <c r="E301" s="17"/>
      <c r="F301" s="18"/>
      <c r="G301" s="18"/>
      <c r="H301" s="18"/>
      <c r="I301" s="19"/>
      <c r="J301" s="19"/>
      <c r="K301" s="18"/>
      <c r="L301" s="18"/>
      <c r="M301" s="18"/>
      <c r="N301" s="17"/>
      <c r="O301" s="17"/>
      <c r="P301" s="17"/>
      <c r="Q301" s="20" t="str">
        <f>IF(OR(B301="",J301=""),"",IF(SUMPRODUCT((J301&gt;=HolidayStart)*(J301&lt;=HolidayEnd)*(HolidayStart&lt;&gt;""))&gt;0,"Conflict: "&amp;INDEX(HolidayName,SUMPRODUCT((J301&gt;=HolidayStart)*(J301&lt;=HolidayEnd)*(HolidayStart&lt;&gt;"")*ROW(HolidayStart))-ROW(INDEX(HolidayStart,1,1))+1),""))</f>
        <v/>
      </c>
    </row>
    <row r="302" spans="1:17" ht="24" customHeight="1">
      <c r="A302" s="21">
        <v>298</v>
      </c>
      <c r="B302" s="22"/>
      <c r="C302" s="23"/>
      <c r="D302" s="23"/>
      <c r="E302" s="24"/>
      <c r="F302" s="25"/>
      <c r="G302" s="25"/>
      <c r="H302" s="25"/>
      <c r="I302" s="26"/>
      <c r="J302" s="26"/>
      <c r="K302" s="25"/>
      <c r="L302" s="25"/>
      <c r="M302" s="25"/>
      <c r="N302" s="24"/>
      <c r="O302" s="24"/>
      <c r="P302" s="24"/>
      <c r="Q302" s="27" t="str">
        <f>IF(OR(B302="",J302=""),"",IF(SUMPRODUCT((J302&gt;=HolidayStart)*(J302&lt;=HolidayEnd)*(HolidayStart&lt;&gt;""))&gt;0,"Conflict: "&amp;INDEX(HolidayName,SUMPRODUCT((J302&gt;=HolidayStart)*(J302&lt;=HolidayEnd)*(HolidayStart&lt;&gt;"")*ROW(HolidayStart))-ROW(INDEX(HolidayStart,1,1))+1),""))</f>
        <v/>
      </c>
    </row>
    <row r="303" spans="1:17" ht="24" customHeight="1">
      <c r="A303" s="14">
        <v>299</v>
      </c>
      <c r="B303" s="15"/>
      <c r="C303" s="16"/>
      <c r="D303" s="16"/>
      <c r="E303" s="17"/>
      <c r="F303" s="18"/>
      <c r="G303" s="18"/>
      <c r="H303" s="18"/>
      <c r="I303" s="19"/>
      <c r="J303" s="19"/>
      <c r="K303" s="18"/>
      <c r="L303" s="18"/>
      <c r="M303" s="18"/>
      <c r="N303" s="17"/>
      <c r="O303" s="17"/>
      <c r="P303" s="17"/>
      <c r="Q303" s="20" t="str">
        <f>IF(OR(B303="",J303=""),"",IF(SUMPRODUCT((J303&gt;=HolidayStart)*(J303&lt;=HolidayEnd)*(HolidayStart&lt;&gt;""))&gt;0,"Conflict: "&amp;INDEX(HolidayName,SUMPRODUCT((J303&gt;=HolidayStart)*(J303&lt;=HolidayEnd)*(HolidayStart&lt;&gt;"")*ROW(HolidayStart))-ROW(INDEX(HolidayStart,1,1))+1),""))</f>
        <v/>
      </c>
    </row>
    <row r="304" spans="1:17" ht="24" customHeight="1">
      <c r="A304" s="21">
        <v>300</v>
      </c>
      <c r="B304" s="22"/>
      <c r="C304" s="23"/>
      <c r="D304" s="23"/>
      <c r="E304" s="24"/>
      <c r="F304" s="25"/>
      <c r="G304" s="25"/>
      <c r="H304" s="25"/>
      <c r="I304" s="26"/>
      <c r="J304" s="26"/>
      <c r="K304" s="25"/>
      <c r="L304" s="25"/>
      <c r="M304" s="25"/>
      <c r="N304" s="24"/>
      <c r="O304" s="24"/>
      <c r="P304" s="24"/>
      <c r="Q304" s="27" t="str">
        <f>IF(OR(B304="",J304=""),"",IF(SUMPRODUCT((J304&gt;=HolidayStart)*(J304&lt;=HolidayEnd)*(HolidayStart&lt;&gt;""))&gt;0,"Conflict: "&amp;INDEX(HolidayName,SUMPRODUCT((J304&gt;=HolidayStart)*(J304&lt;=HolidayEnd)*(HolidayStart&lt;&gt;"")*ROW(HolidayStart))-ROW(INDEX(HolidayStart,1,1))+1),""))</f>
        <v/>
      </c>
    </row>
    <row r="305" spans="1:17" ht="24" customHeight="1">
      <c r="A305" s="14">
        <v>301</v>
      </c>
      <c r="B305" s="15"/>
      <c r="C305" s="16"/>
      <c r="D305" s="16"/>
      <c r="E305" s="17"/>
      <c r="F305" s="18"/>
      <c r="G305" s="18"/>
      <c r="H305" s="18"/>
      <c r="I305" s="19"/>
      <c r="J305" s="19"/>
      <c r="K305" s="18"/>
      <c r="L305" s="18"/>
      <c r="M305" s="18"/>
      <c r="N305" s="17"/>
      <c r="O305" s="17"/>
      <c r="P305" s="17"/>
      <c r="Q305" s="20" t="str">
        <f>IF(OR(B305="",J305=""),"",IF(SUMPRODUCT((J305&gt;=HolidayStart)*(J305&lt;=HolidayEnd)*(HolidayStart&lt;&gt;""))&gt;0,"Conflict: "&amp;INDEX(HolidayName,SUMPRODUCT((J305&gt;=HolidayStart)*(J305&lt;=HolidayEnd)*(HolidayStart&lt;&gt;"")*ROW(HolidayStart))-ROW(INDEX(HolidayStart,1,1))+1),""))</f>
        <v/>
      </c>
    </row>
    <row r="306" spans="1:17" ht="24" customHeight="1">
      <c r="A306" s="21">
        <v>302</v>
      </c>
      <c r="B306" s="22"/>
      <c r="C306" s="23"/>
      <c r="D306" s="23"/>
      <c r="E306" s="24"/>
      <c r="F306" s="25"/>
      <c r="G306" s="25"/>
      <c r="H306" s="25"/>
      <c r="I306" s="26"/>
      <c r="J306" s="26"/>
      <c r="K306" s="25"/>
      <c r="L306" s="25"/>
      <c r="M306" s="25"/>
      <c r="N306" s="24"/>
      <c r="O306" s="24"/>
      <c r="P306" s="24"/>
      <c r="Q306" s="27" t="str">
        <f>IF(OR(B306="",J306=""),"",IF(SUMPRODUCT((J306&gt;=HolidayStart)*(J306&lt;=HolidayEnd)*(HolidayStart&lt;&gt;""))&gt;0,"Conflict: "&amp;INDEX(HolidayName,SUMPRODUCT((J306&gt;=HolidayStart)*(J306&lt;=HolidayEnd)*(HolidayStart&lt;&gt;"")*ROW(HolidayStart))-ROW(INDEX(HolidayStart,1,1))+1),""))</f>
        <v/>
      </c>
    </row>
    <row r="307" spans="1:17" ht="24" customHeight="1">
      <c r="A307" s="14">
        <v>303</v>
      </c>
      <c r="B307" s="15"/>
      <c r="C307" s="16"/>
      <c r="D307" s="16"/>
      <c r="E307" s="17"/>
      <c r="F307" s="18"/>
      <c r="G307" s="18"/>
      <c r="H307" s="18"/>
      <c r="I307" s="19"/>
      <c r="J307" s="19"/>
      <c r="K307" s="18"/>
      <c r="L307" s="18"/>
      <c r="M307" s="18"/>
      <c r="N307" s="17"/>
      <c r="O307" s="17"/>
      <c r="P307" s="17"/>
      <c r="Q307" s="20" t="str">
        <f>IF(OR(B307="",J307=""),"",IF(SUMPRODUCT((J307&gt;=HolidayStart)*(J307&lt;=HolidayEnd)*(HolidayStart&lt;&gt;""))&gt;0,"Conflict: "&amp;INDEX(HolidayName,SUMPRODUCT((J307&gt;=HolidayStart)*(J307&lt;=HolidayEnd)*(HolidayStart&lt;&gt;"")*ROW(HolidayStart))-ROW(INDEX(HolidayStart,1,1))+1),""))</f>
        <v/>
      </c>
    </row>
    <row r="308" spans="1:17" ht="24" customHeight="1">
      <c r="A308" s="21">
        <v>304</v>
      </c>
      <c r="B308" s="22"/>
      <c r="C308" s="23"/>
      <c r="D308" s="23"/>
      <c r="E308" s="24"/>
      <c r="F308" s="25"/>
      <c r="G308" s="25"/>
      <c r="H308" s="25"/>
      <c r="I308" s="26"/>
      <c r="J308" s="26"/>
      <c r="K308" s="25"/>
      <c r="L308" s="25"/>
      <c r="M308" s="25"/>
      <c r="N308" s="24"/>
      <c r="O308" s="24"/>
      <c r="P308" s="24"/>
      <c r="Q308" s="27" t="str">
        <f>IF(OR(B308="",J308=""),"",IF(SUMPRODUCT((J308&gt;=HolidayStart)*(J308&lt;=HolidayEnd)*(HolidayStart&lt;&gt;""))&gt;0,"Conflict: "&amp;INDEX(HolidayName,SUMPRODUCT((J308&gt;=HolidayStart)*(J308&lt;=HolidayEnd)*(HolidayStart&lt;&gt;"")*ROW(HolidayStart))-ROW(INDEX(HolidayStart,1,1))+1),""))</f>
        <v/>
      </c>
    </row>
    <row r="309" spans="1:17" ht="24" customHeight="1">
      <c r="A309" s="14">
        <v>305</v>
      </c>
      <c r="B309" s="15"/>
      <c r="C309" s="16"/>
      <c r="D309" s="16"/>
      <c r="E309" s="17"/>
      <c r="F309" s="18"/>
      <c r="G309" s="18"/>
      <c r="H309" s="18"/>
      <c r="I309" s="19"/>
      <c r="J309" s="19"/>
      <c r="K309" s="18"/>
      <c r="L309" s="18"/>
      <c r="M309" s="18"/>
      <c r="N309" s="17"/>
      <c r="O309" s="17"/>
      <c r="P309" s="17"/>
      <c r="Q309" s="20" t="str">
        <f>IF(OR(B309="",J309=""),"",IF(SUMPRODUCT((J309&gt;=HolidayStart)*(J309&lt;=HolidayEnd)*(HolidayStart&lt;&gt;""))&gt;0,"Conflict: "&amp;INDEX(HolidayName,SUMPRODUCT((J309&gt;=HolidayStart)*(J309&lt;=HolidayEnd)*(HolidayStart&lt;&gt;"")*ROW(HolidayStart))-ROW(INDEX(HolidayStart,1,1))+1),""))</f>
        <v/>
      </c>
    </row>
    <row r="310" spans="1:17" ht="24" customHeight="1">
      <c r="A310" s="21">
        <v>306</v>
      </c>
      <c r="B310" s="22"/>
      <c r="C310" s="23"/>
      <c r="D310" s="23"/>
      <c r="E310" s="24"/>
      <c r="F310" s="25"/>
      <c r="G310" s="25"/>
      <c r="H310" s="25"/>
      <c r="I310" s="26"/>
      <c r="J310" s="26"/>
      <c r="K310" s="25"/>
      <c r="L310" s="25"/>
      <c r="M310" s="25"/>
      <c r="N310" s="24"/>
      <c r="O310" s="24"/>
      <c r="P310" s="24"/>
      <c r="Q310" s="27" t="str">
        <f>IF(OR(B310="",J310=""),"",IF(SUMPRODUCT((J310&gt;=HolidayStart)*(J310&lt;=HolidayEnd)*(HolidayStart&lt;&gt;""))&gt;0,"Conflict: "&amp;INDEX(HolidayName,SUMPRODUCT((J310&gt;=HolidayStart)*(J310&lt;=HolidayEnd)*(HolidayStart&lt;&gt;"")*ROW(HolidayStart))-ROW(INDEX(HolidayStart,1,1))+1),""))</f>
        <v/>
      </c>
    </row>
    <row r="311" spans="1:17" ht="24" customHeight="1">
      <c r="A311" s="14">
        <v>307</v>
      </c>
      <c r="B311" s="15"/>
      <c r="C311" s="16"/>
      <c r="D311" s="16"/>
      <c r="E311" s="17"/>
      <c r="F311" s="18"/>
      <c r="G311" s="18"/>
      <c r="H311" s="18"/>
      <c r="I311" s="19"/>
      <c r="J311" s="19"/>
      <c r="K311" s="18"/>
      <c r="L311" s="18"/>
      <c r="M311" s="18"/>
      <c r="N311" s="17"/>
      <c r="O311" s="17"/>
      <c r="P311" s="17"/>
      <c r="Q311" s="20" t="str">
        <f>IF(OR(B311="",J311=""),"",IF(SUMPRODUCT((J311&gt;=HolidayStart)*(J311&lt;=HolidayEnd)*(HolidayStart&lt;&gt;""))&gt;0,"Conflict: "&amp;INDEX(HolidayName,SUMPRODUCT((J311&gt;=HolidayStart)*(J311&lt;=HolidayEnd)*(HolidayStart&lt;&gt;"")*ROW(HolidayStart))-ROW(INDEX(HolidayStart,1,1))+1),""))</f>
        <v/>
      </c>
    </row>
    <row r="312" spans="1:17" ht="24" customHeight="1">
      <c r="A312" s="21">
        <v>308</v>
      </c>
      <c r="B312" s="22"/>
      <c r="C312" s="23"/>
      <c r="D312" s="23"/>
      <c r="E312" s="24"/>
      <c r="F312" s="25"/>
      <c r="G312" s="25"/>
      <c r="H312" s="25"/>
      <c r="I312" s="26"/>
      <c r="J312" s="26"/>
      <c r="K312" s="25"/>
      <c r="L312" s="25"/>
      <c r="M312" s="25"/>
      <c r="N312" s="24"/>
      <c r="O312" s="24"/>
      <c r="P312" s="24"/>
      <c r="Q312" s="27" t="str">
        <f>IF(OR(B312="",J312=""),"",IF(SUMPRODUCT((J312&gt;=HolidayStart)*(J312&lt;=HolidayEnd)*(HolidayStart&lt;&gt;""))&gt;0,"Conflict: "&amp;INDEX(HolidayName,SUMPRODUCT((J312&gt;=HolidayStart)*(J312&lt;=HolidayEnd)*(HolidayStart&lt;&gt;"")*ROW(HolidayStart))-ROW(INDEX(HolidayStart,1,1))+1),""))</f>
        <v/>
      </c>
    </row>
    <row r="313" spans="1:17" ht="24" customHeight="1">
      <c r="A313" s="14">
        <v>309</v>
      </c>
      <c r="B313" s="15"/>
      <c r="C313" s="16"/>
      <c r="D313" s="16"/>
      <c r="E313" s="17"/>
      <c r="F313" s="18"/>
      <c r="G313" s="18"/>
      <c r="H313" s="18"/>
      <c r="I313" s="19"/>
      <c r="J313" s="19"/>
      <c r="K313" s="18"/>
      <c r="L313" s="18"/>
      <c r="M313" s="18"/>
      <c r="N313" s="17"/>
      <c r="O313" s="17"/>
      <c r="P313" s="17"/>
      <c r="Q313" s="20" t="str">
        <f>IF(OR(B313="",J313=""),"",IF(SUMPRODUCT((J313&gt;=HolidayStart)*(J313&lt;=HolidayEnd)*(HolidayStart&lt;&gt;""))&gt;0,"Conflict: "&amp;INDEX(HolidayName,SUMPRODUCT((J313&gt;=HolidayStart)*(J313&lt;=HolidayEnd)*(HolidayStart&lt;&gt;"")*ROW(HolidayStart))-ROW(INDEX(HolidayStart,1,1))+1),""))</f>
        <v/>
      </c>
    </row>
    <row r="314" spans="1:17" ht="24" customHeight="1">
      <c r="A314" s="21">
        <v>310</v>
      </c>
      <c r="B314" s="22"/>
      <c r="C314" s="23"/>
      <c r="D314" s="23"/>
      <c r="E314" s="24"/>
      <c r="F314" s="25"/>
      <c r="G314" s="25"/>
      <c r="H314" s="25"/>
      <c r="I314" s="26"/>
      <c r="J314" s="26"/>
      <c r="K314" s="25"/>
      <c r="L314" s="25"/>
      <c r="M314" s="25"/>
      <c r="N314" s="24"/>
      <c r="O314" s="24"/>
      <c r="P314" s="24"/>
      <c r="Q314" s="27" t="str">
        <f>IF(OR(B314="",J314=""),"",IF(SUMPRODUCT((J314&gt;=HolidayStart)*(J314&lt;=HolidayEnd)*(HolidayStart&lt;&gt;""))&gt;0,"Conflict: "&amp;INDEX(HolidayName,SUMPRODUCT((J314&gt;=HolidayStart)*(J314&lt;=HolidayEnd)*(HolidayStart&lt;&gt;"")*ROW(HolidayStart))-ROW(INDEX(HolidayStart,1,1))+1),""))</f>
        <v/>
      </c>
    </row>
    <row r="315" spans="1:17" ht="24" customHeight="1">
      <c r="A315" s="14">
        <v>311</v>
      </c>
      <c r="B315" s="15"/>
      <c r="C315" s="16"/>
      <c r="D315" s="16"/>
      <c r="E315" s="17"/>
      <c r="F315" s="18"/>
      <c r="G315" s="18"/>
      <c r="H315" s="18"/>
      <c r="I315" s="19"/>
      <c r="J315" s="19"/>
      <c r="K315" s="18"/>
      <c r="L315" s="18"/>
      <c r="M315" s="18"/>
      <c r="N315" s="17"/>
      <c r="O315" s="17"/>
      <c r="P315" s="17"/>
      <c r="Q315" s="20" t="str">
        <f>IF(OR(B315="",J315=""),"",IF(SUMPRODUCT((J315&gt;=HolidayStart)*(J315&lt;=HolidayEnd)*(HolidayStart&lt;&gt;""))&gt;0,"Conflict: "&amp;INDEX(HolidayName,SUMPRODUCT((J315&gt;=HolidayStart)*(J315&lt;=HolidayEnd)*(HolidayStart&lt;&gt;"")*ROW(HolidayStart))-ROW(INDEX(HolidayStart,1,1))+1),""))</f>
        <v/>
      </c>
    </row>
    <row r="316" spans="1:17" ht="24" customHeight="1">
      <c r="A316" s="21">
        <v>312</v>
      </c>
      <c r="B316" s="22"/>
      <c r="C316" s="23"/>
      <c r="D316" s="23"/>
      <c r="E316" s="24"/>
      <c r="F316" s="25"/>
      <c r="G316" s="25"/>
      <c r="H316" s="25"/>
      <c r="I316" s="26"/>
      <c r="J316" s="26"/>
      <c r="K316" s="25"/>
      <c r="L316" s="25"/>
      <c r="M316" s="25"/>
      <c r="N316" s="24"/>
      <c r="O316" s="24"/>
      <c r="P316" s="24"/>
      <c r="Q316" s="27" t="str">
        <f>IF(OR(B316="",J316=""),"",IF(SUMPRODUCT((J316&gt;=HolidayStart)*(J316&lt;=HolidayEnd)*(HolidayStart&lt;&gt;""))&gt;0,"Conflict: "&amp;INDEX(HolidayName,SUMPRODUCT((J316&gt;=HolidayStart)*(J316&lt;=HolidayEnd)*(HolidayStart&lt;&gt;"")*ROW(HolidayStart))-ROW(INDEX(HolidayStart,1,1))+1),""))</f>
        <v/>
      </c>
    </row>
    <row r="317" spans="1:17" ht="24" customHeight="1">
      <c r="A317" s="14">
        <v>313</v>
      </c>
      <c r="B317" s="15"/>
      <c r="C317" s="16"/>
      <c r="D317" s="16"/>
      <c r="E317" s="17"/>
      <c r="F317" s="18"/>
      <c r="G317" s="18"/>
      <c r="H317" s="18"/>
      <c r="I317" s="19"/>
      <c r="J317" s="19"/>
      <c r="K317" s="18"/>
      <c r="L317" s="18"/>
      <c r="M317" s="18"/>
      <c r="N317" s="17"/>
      <c r="O317" s="17"/>
      <c r="P317" s="17"/>
      <c r="Q317" s="20" t="str">
        <f>IF(OR(B317="",J317=""),"",IF(SUMPRODUCT((J317&gt;=HolidayStart)*(J317&lt;=HolidayEnd)*(HolidayStart&lt;&gt;""))&gt;0,"Conflict: "&amp;INDEX(HolidayName,SUMPRODUCT((J317&gt;=HolidayStart)*(J317&lt;=HolidayEnd)*(HolidayStart&lt;&gt;"")*ROW(HolidayStart))-ROW(INDEX(HolidayStart,1,1))+1),""))</f>
        <v/>
      </c>
    </row>
    <row r="318" spans="1:17" ht="24" customHeight="1">
      <c r="A318" s="21">
        <v>314</v>
      </c>
      <c r="B318" s="22"/>
      <c r="C318" s="23"/>
      <c r="D318" s="23"/>
      <c r="E318" s="24"/>
      <c r="F318" s="25"/>
      <c r="G318" s="25"/>
      <c r="H318" s="25"/>
      <c r="I318" s="26"/>
      <c r="J318" s="26"/>
      <c r="K318" s="25"/>
      <c r="L318" s="25"/>
      <c r="M318" s="25"/>
      <c r="N318" s="24"/>
      <c r="O318" s="24"/>
      <c r="P318" s="24"/>
      <c r="Q318" s="27" t="str">
        <f>IF(OR(B318="",J318=""),"",IF(SUMPRODUCT((J318&gt;=HolidayStart)*(J318&lt;=HolidayEnd)*(HolidayStart&lt;&gt;""))&gt;0,"Conflict: "&amp;INDEX(HolidayName,SUMPRODUCT((J318&gt;=HolidayStart)*(J318&lt;=HolidayEnd)*(HolidayStart&lt;&gt;"")*ROW(HolidayStart))-ROW(INDEX(HolidayStart,1,1))+1),""))</f>
        <v/>
      </c>
    </row>
    <row r="319" spans="1:17" ht="24" customHeight="1">
      <c r="A319" s="14">
        <v>315</v>
      </c>
      <c r="B319" s="15"/>
      <c r="C319" s="16"/>
      <c r="D319" s="16"/>
      <c r="E319" s="17"/>
      <c r="F319" s="18"/>
      <c r="G319" s="18"/>
      <c r="H319" s="18"/>
      <c r="I319" s="19"/>
      <c r="J319" s="19"/>
      <c r="K319" s="18"/>
      <c r="L319" s="18"/>
      <c r="M319" s="18"/>
      <c r="N319" s="17"/>
      <c r="O319" s="17"/>
      <c r="P319" s="17"/>
      <c r="Q319" s="20" t="str">
        <f>IF(OR(B319="",J319=""),"",IF(SUMPRODUCT((J319&gt;=HolidayStart)*(J319&lt;=HolidayEnd)*(HolidayStart&lt;&gt;""))&gt;0,"Conflict: "&amp;INDEX(HolidayName,SUMPRODUCT((J319&gt;=HolidayStart)*(J319&lt;=HolidayEnd)*(HolidayStart&lt;&gt;"")*ROW(HolidayStart))-ROW(INDEX(HolidayStart,1,1))+1),""))</f>
        <v/>
      </c>
    </row>
    <row r="320" spans="1:17" ht="24" customHeight="1">
      <c r="A320" s="21">
        <v>316</v>
      </c>
      <c r="B320" s="22"/>
      <c r="C320" s="23"/>
      <c r="D320" s="23"/>
      <c r="E320" s="24"/>
      <c r="F320" s="25"/>
      <c r="G320" s="25"/>
      <c r="H320" s="25"/>
      <c r="I320" s="26"/>
      <c r="J320" s="26"/>
      <c r="K320" s="25"/>
      <c r="L320" s="25"/>
      <c r="M320" s="25"/>
      <c r="N320" s="24"/>
      <c r="O320" s="24"/>
      <c r="P320" s="24"/>
      <c r="Q320" s="27" t="str">
        <f>IF(OR(B320="",J320=""),"",IF(SUMPRODUCT((J320&gt;=HolidayStart)*(J320&lt;=HolidayEnd)*(HolidayStart&lt;&gt;""))&gt;0,"Conflict: "&amp;INDEX(HolidayName,SUMPRODUCT((J320&gt;=HolidayStart)*(J320&lt;=HolidayEnd)*(HolidayStart&lt;&gt;"")*ROW(HolidayStart))-ROW(INDEX(HolidayStart,1,1))+1),""))</f>
        <v/>
      </c>
    </row>
    <row r="321" spans="1:17" ht="24" customHeight="1">
      <c r="A321" s="14">
        <v>317</v>
      </c>
      <c r="B321" s="15"/>
      <c r="C321" s="16"/>
      <c r="D321" s="16"/>
      <c r="E321" s="17"/>
      <c r="F321" s="18"/>
      <c r="G321" s="18"/>
      <c r="H321" s="18"/>
      <c r="I321" s="19"/>
      <c r="J321" s="19"/>
      <c r="K321" s="18"/>
      <c r="L321" s="18"/>
      <c r="M321" s="18"/>
      <c r="N321" s="17"/>
      <c r="O321" s="17"/>
      <c r="P321" s="17"/>
      <c r="Q321" s="20" t="str">
        <f>IF(OR(B321="",J321=""),"",IF(SUMPRODUCT((J321&gt;=HolidayStart)*(J321&lt;=HolidayEnd)*(HolidayStart&lt;&gt;""))&gt;0,"Conflict: "&amp;INDEX(HolidayName,SUMPRODUCT((J321&gt;=HolidayStart)*(J321&lt;=HolidayEnd)*(HolidayStart&lt;&gt;"")*ROW(HolidayStart))-ROW(INDEX(HolidayStart,1,1))+1),""))</f>
        <v/>
      </c>
    </row>
    <row r="322" spans="1:17" ht="24" customHeight="1">
      <c r="A322" s="21">
        <v>318</v>
      </c>
      <c r="B322" s="22"/>
      <c r="C322" s="23"/>
      <c r="D322" s="23"/>
      <c r="E322" s="24"/>
      <c r="F322" s="25"/>
      <c r="G322" s="25"/>
      <c r="H322" s="25"/>
      <c r="I322" s="26"/>
      <c r="J322" s="26"/>
      <c r="K322" s="25"/>
      <c r="L322" s="25"/>
      <c r="M322" s="25"/>
      <c r="N322" s="24"/>
      <c r="O322" s="24"/>
      <c r="P322" s="24"/>
      <c r="Q322" s="27" t="str">
        <f>IF(OR(B322="",J322=""),"",IF(SUMPRODUCT((J322&gt;=HolidayStart)*(J322&lt;=HolidayEnd)*(HolidayStart&lt;&gt;""))&gt;0,"Conflict: "&amp;INDEX(HolidayName,SUMPRODUCT((J322&gt;=HolidayStart)*(J322&lt;=HolidayEnd)*(HolidayStart&lt;&gt;"")*ROW(HolidayStart))-ROW(INDEX(HolidayStart,1,1))+1),""))</f>
        <v/>
      </c>
    </row>
    <row r="323" spans="1:17" ht="24" customHeight="1">
      <c r="A323" s="14">
        <v>319</v>
      </c>
      <c r="B323" s="15"/>
      <c r="C323" s="16"/>
      <c r="D323" s="16"/>
      <c r="E323" s="17"/>
      <c r="F323" s="18"/>
      <c r="G323" s="18"/>
      <c r="H323" s="18"/>
      <c r="I323" s="19"/>
      <c r="J323" s="19"/>
      <c r="K323" s="18"/>
      <c r="L323" s="18"/>
      <c r="M323" s="18"/>
      <c r="N323" s="17"/>
      <c r="O323" s="17"/>
      <c r="P323" s="17"/>
      <c r="Q323" s="20" t="str">
        <f>IF(OR(B323="",J323=""),"",IF(SUMPRODUCT((J323&gt;=HolidayStart)*(J323&lt;=HolidayEnd)*(HolidayStart&lt;&gt;""))&gt;0,"Conflict: "&amp;INDEX(HolidayName,SUMPRODUCT((J323&gt;=HolidayStart)*(J323&lt;=HolidayEnd)*(HolidayStart&lt;&gt;"")*ROW(HolidayStart))-ROW(INDEX(HolidayStart,1,1))+1),""))</f>
        <v/>
      </c>
    </row>
    <row r="324" spans="1:17" ht="24" customHeight="1">
      <c r="A324" s="21">
        <v>320</v>
      </c>
      <c r="B324" s="22"/>
      <c r="C324" s="23"/>
      <c r="D324" s="23"/>
      <c r="E324" s="24"/>
      <c r="F324" s="25"/>
      <c r="G324" s="25"/>
      <c r="H324" s="25"/>
      <c r="I324" s="26"/>
      <c r="J324" s="26"/>
      <c r="K324" s="25"/>
      <c r="L324" s="25"/>
      <c r="M324" s="25"/>
      <c r="N324" s="24"/>
      <c r="O324" s="24"/>
      <c r="P324" s="24"/>
      <c r="Q324" s="27" t="str">
        <f>IF(OR(B324="",J324=""),"",IF(SUMPRODUCT((J324&gt;=HolidayStart)*(J324&lt;=HolidayEnd)*(HolidayStart&lt;&gt;""))&gt;0,"Conflict: "&amp;INDEX(HolidayName,SUMPRODUCT((J324&gt;=HolidayStart)*(J324&lt;=HolidayEnd)*(HolidayStart&lt;&gt;"")*ROW(HolidayStart))-ROW(INDEX(HolidayStart,1,1))+1),""))</f>
        <v/>
      </c>
    </row>
    <row r="325" spans="1:17" ht="24" customHeight="1">
      <c r="A325" s="14">
        <v>321</v>
      </c>
      <c r="B325" s="15"/>
      <c r="C325" s="16"/>
      <c r="D325" s="16"/>
      <c r="E325" s="17"/>
      <c r="F325" s="18"/>
      <c r="G325" s="18"/>
      <c r="H325" s="18"/>
      <c r="I325" s="19"/>
      <c r="J325" s="19"/>
      <c r="K325" s="18"/>
      <c r="L325" s="18"/>
      <c r="M325" s="18"/>
      <c r="N325" s="17"/>
      <c r="O325" s="17"/>
      <c r="P325" s="17"/>
      <c r="Q325" s="20" t="str">
        <f>IF(OR(B325="",J325=""),"",IF(SUMPRODUCT((J325&gt;=HolidayStart)*(J325&lt;=HolidayEnd)*(HolidayStart&lt;&gt;""))&gt;0,"Conflict: "&amp;INDEX(HolidayName,SUMPRODUCT((J325&gt;=HolidayStart)*(J325&lt;=HolidayEnd)*(HolidayStart&lt;&gt;"")*ROW(HolidayStart))-ROW(INDEX(HolidayStart,1,1))+1),""))</f>
        <v/>
      </c>
    </row>
    <row r="326" spans="1:17" ht="24" customHeight="1">
      <c r="A326" s="21">
        <v>322</v>
      </c>
      <c r="B326" s="22"/>
      <c r="C326" s="23"/>
      <c r="D326" s="23"/>
      <c r="E326" s="24"/>
      <c r="F326" s="25"/>
      <c r="G326" s="25"/>
      <c r="H326" s="25"/>
      <c r="I326" s="26"/>
      <c r="J326" s="26"/>
      <c r="K326" s="25"/>
      <c r="L326" s="25"/>
      <c r="M326" s="25"/>
      <c r="N326" s="24"/>
      <c r="O326" s="24"/>
      <c r="P326" s="24"/>
      <c r="Q326" s="27" t="str">
        <f>IF(OR(B326="",J326=""),"",IF(SUMPRODUCT((J326&gt;=HolidayStart)*(J326&lt;=HolidayEnd)*(HolidayStart&lt;&gt;""))&gt;0,"Conflict: "&amp;INDEX(HolidayName,SUMPRODUCT((J326&gt;=HolidayStart)*(J326&lt;=HolidayEnd)*(HolidayStart&lt;&gt;"")*ROW(HolidayStart))-ROW(INDEX(HolidayStart,1,1))+1),""))</f>
        <v/>
      </c>
    </row>
    <row r="327" spans="1:17" ht="24" customHeight="1">
      <c r="A327" s="14">
        <v>323</v>
      </c>
      <c r="B327" s="15"/>
      <c r="C327" s="16"/>
      <c r="D327" s="16"/>
      <c r="E327" s="17"/>
      <c r="F327" s="18"/>
      <c r="G327" s="18"/>
      <c r="H327" s="18"/>
      <c r="I327" s="19"/>
      <c r="J327" s="19"/>
      <c r="K327" s="18"/>
      <c r="L327" s="18"/>
      <c r="M327" s="18"/>
      <c r="N327" s="17"/>
      <c r="O327" s="17"/>
      <c r="P327" s="17"/>
      <c r="Q327" s="20" t="str">
        <f>IF(OR(B327="",J327=""),"",IF(SUMPRODUCT((J327&gt;=HolidayStart)*(J327&lt;=HolidayEnd)*(HolidayStart&lt;&gt;""))&gt;0,"Conflict: "&amp;INDEX(HolidayName,SUMPRODUCT((J327&gt;=HolidayStart)*(J327&lt;=HolidayEnd)*(HolidayStart&lt;&gt;"")*ROW(HolidayStart))-ROW(INDEX(HolidayStart,1,1))+1),""))</f>
        <v/>
      </c>
    </row>
    <row r="328" spans="1:17" ht="24" customHeight="1">
      <c r="A328" s="21">
        <v>324</v>
      </c>
      <c r="B328" s="22"/>
      <c r="C328" s="23"/>
      <c r="D328" s="23"/>
      <c r="E328" s="24"/>
      <c r="F328" s="25"/>
      <c r="G328" s="25"/>
      <c r="H328" s="25"/>
      <c r="I328" s="26"/>
      <c r="J328" s="26"/>
      <c r="K328" s="25"/>
      <c r="L328" s="25"/>
      <c r="M328" s="25"/>
      <c r="N328" s="24"/>
      <c r="O328" s="24"/>
      <c r="P328" s="24"/>
      <c r="Q328" s="27" t="str">
        <f>IF(OR(B328="",J328=""),"",IF(SUMPRODUCT((J328&gt;=HolidayStart)*(J328&lt;=HolidayEnd)*(HolidayStart&lt;&gt;""))&gt;0,"Conflict: "&amp;INDEX(HolidayName,SUMPRODUCT((J328&gt;=HolidayStart)*(J328&lt;=HolidayEnd)*(HolidayStart&lt;&gt;"")*ROW(HolidayStart))-ROW(INDEX(HolidayStart,1,1))+1),""))</f>
        <v/>
      </c>
    </row>
    <row r="329" spans="1:17" ht="24" customHeight="1">
      <c r="A329" s="14">
        <v>325</v>
      </c>
      <c r="B329" s="15"/>
      <c r="C329" s="16"/>
      <c r="D329" s="16"/>
      <c r="E329" s="17"/>
      <c r="F329" s="18"/>
      <c r="G329" s="18"/>
      <c r="H329" s="18"/>
      <c r="I329" s="19"/>
      <c r="J329" s="19"/>
      <c r="K329" s="18"/>
      <c r="L329" s="18"/>
      <c r="M329" s="18"/>
      <c r="N329" s="17"/>
      <c r="O329" s="17"/>
      <c r="P329" s="17"/>
      <c r="Q329" s="20" t="str">
        <f>IF(OR(B329="",J329=""),"",IF(SUMPRODUCT((J329&gt;=HolidayStart)*(J329&lt;=HolidayEnd)*(HolidayStart&lt;&gt;""))&gt;0,"Conflict: "&amp;INDEX(HolidayName,SUMPRODUCT((J329&gt;=HolidayStart)*(J329&lt;=HolidayEnd)*(HolidayStart&lt;&gt;"")*ROW(HolidayStart))-ROW(INDEX(HolidayStart,1,1))+1),""))</f>
        <v/>
      </c>
    </row>
    <row r="330" spans="1:17" ht="24" customHeight="1">
      <c r="A330" s="21">
        <v>326</v>
      </c>
      <c r="B330" s="22"/>
      <c r="C330" s="23"/>
      <c r="D330" s="23"/>
      <c r="E330" s="24"/>
      <c r="F330" s="25"/>
      <c r="G330" s="25"/>
      <c r="H330" s="25"/>
      <c r="I330" s="26"/>
      <c r="J330" s="26"/>
      <c r="K330" s="25"/>
      <c r="L330" s="25"/>
      <c r="M330" s="25"/>
      <c r="N330" s="24"/>
      <c r="O330" s="24"/>
      <c r="P330" s="24"/>
      <c r="Q330" s="27" t="str">
        <f>IF(OR(B330="",J330=""),"",IF(SUMPRODUCT((J330&gt;=HolidayStart)*(J330&lt;=HolidayEnd)*(HolidayStart&lt;&gt;""))&gt;0,"Conflict: "&amp;INDEX(HolidayName,SUMPRODUCT((J330&gt;=HolidayStart)*(J330&lt;=HolidayEnd)*(HolidayStart&lt;&gt;"")*ROW(HolidayStart))-ROW(INDEX(HolidayStart,1,1))+1),""))</f>
        <v/>
      </c>
    </row>
    <row r="331" spans="1:17" ht="24" customHeight="1">
      <c r="A331" s="14">
        <v>327</v>
      </c>
      <c r="B331" s="15"/>
      <c r="C331" s="16"/>
      <c r="D331" s="16"/>
      <c r="E331" s="17"/>
      <c r="F331" s="18"/>
      <c r="G331" s="18"/>
      <c r="H331" s="18"/>
      <c r="I331" s="19"/>
      <c r="J331" s="19"/>
      <c r="K331" s="18"/>
      <c r="L331" s="18"/>
      <c r="M331" s="18"/>
      <c r="N331" s="17"/>
      <c r="O331" s="17"/>
      <c r="P331" s="17"/>
      <c r="Q331" s="20" t="str">
        <f>IF(OR(B331="",J331=""),"",IF(SUMPRODUCT((J331&gt;=HolidayStart)*(J331&lt;=HolidayEnd)*(HolidayStart&lt;&gt;""))&gt;0,"Conflict: "&amp;INDEX(HolidayName,SUMPRODUCT((J331&gt;=HolidayStart)*(J331&lt;=HolidayEnd)*(HolidayStart&lt;&gt;"")*ROW(HolidayStart))-ROW(INDEX(HolidayStart,1,1))+1),""))</f>
        <v/>
      </c>
    </row>
    <row r="332" spans="1:17" ht="24" customHeight="1">
      <c r="A332" s="21">
        <v>328</v>
      </c>
      <c r="B332" s="22"/>
      <c r="C332" s="23"/>
      <c r="D332" s="23"/>
      <c r="E332" s="24"/>
      <c r="F332" s="25"/>
      <c r="G332" s="25"/>
      <c r="H332" s="25"/>
      <c r="I332" s="26"/>
      <c r="J332" s="26"/>
      <c r="K332" s="25"/>
      <c r="L332" s="25"/>
      <c r="M332" s="25"/>
      <c r="N332" s="24"/>
      <c r="O332" s="24"/>
      <c r="P332" s="24"/>
      <c r="Q332" s="27" t="str">
        <f>IF(OR(B332="",J332=""),"",IF(SUMPRODUCT((J332&gt;=HolidayStart)*(J332&lt;=HolidayEnd)*(HolidayStart&lt;&gt;""))&gt;0,"Conflict: "&amp;INDEX(HolidayName,SUMPRODUCT((J332&gt;=HolidayStart)*(J332&lt;=HolidayEnd)*(HolidayStart&lt;&gt;"")*ROW(HolidayStart))-ROW(INDEX(HolidayStart,1,1))+1),""))</f>
        <v/>
      </c>
    </row>
    <row r="333" spans="1:17" ht="24" customHeight="1">
      <c r="A333" s="14">
        <v>329</v>
      </c>
      <c r="B333" s="15"/>
      <c r="C333" s="16"/>
      <c r="D333" s="16"/>
      <c r="E333" s="17"/>
      <c r="F333" s="18"/>
      <c r="G333" s="18"/>
      <c r="H333" s="18"/>
      <c r="I333" s="19"/>
      <c r="J333" s="19"/>
      <c r="K333" s="18"/>
      <c r="L333" s="18"/>
      <c r="M333" s="18"/>
      <c r="N333" s="17"/>
      <c r="O333" s="17"/>
      <c r="P333" s="17"/>
      <c r="Q333" s="20" t="str">
        <f>IF(OR(B333="",J333=""),"",IF(SUMPRODUCT((J333&gt;=HolidayStart)*(J333&lt;=HolidayEnd)*(HolidayStart&lt;&gt;""))&gt;0,"Conflict: "&amp;INDEX(HolidayName,SUMPRODUCT((J333&gt;=HolidayStart)*(J333&lt;=HolidayEnd)*(HolidayStart&lt;&gt;"")*ROW(HolidayStart))-ROW(INDEX(HolidayStart,1,1))+1),""))</f>
        <v/>
      </c>
    </row>
    <row r="334" spans="1:17" ht="24" customHeight="1">
      <c r="A334" s="21">
        <v>330</v>
      </c>
      <c r="B334" s="22"/>
      <c r="C334" s="23"/>
      <c r="D334" s="23"/>
      <c r="E334" s="24"/>
      <c r="F334" s="25"/>
      <c r="G334" s="25"/>
      <c r="H334" s="25"/>
      <c r="I334" s="26"/>
      <c r="J334" s="26"/>
      <c r="K334" s="25"/>
      <c r="L334" s="25"/>
      <c r="M334" s="25"/>
      <c r="N334" s="24"/>
      <c r="O334" s="24"/>
      <c r="P334" s="24"/>
      <c r="Q334" s="27" t="str">
        <f>IF(OR(B334="",J334=""),"",IF(SUMPRODUCT((J334&gt;=HolidayStart)*(J334&lt;=HolidayEnd)*(HolidayStart&lt;&gt;""))&gt;0,"Conflict: "&amp;INDEX(HolidayName,SUMPRODUCT((J334&gt;=HolidayStart)*(J334&lt;=HolidayEnd)*(HolidayStart&lt;&gt;"")*ROW(HolidayStart))-ROW(INDEX(HolidayStart,1,1))+1),""))</f>
        <v/>
      </c>
    </row>
    <row r="335" spans="1:17" ht="24" customHeight="1">
      <c r="A335" s="14">
        <v>331</v>
      </c>
      <c r="B335" s="15"/>
      <c r="C335" s="16"/>
      <c r="D335" s="16"/>
      <c r="E335" s="17"/>
      <c r="F335" s="18"/>
      <c r="G335" s="18"/>
      <c r="H335" s="18"/>
      <c r="I335" s="19"/>
      <c r="J335" s="19"/>
      <c r="K335" s="18"/>
      <c r="L335" s="18"/>
      <c r="M335" s="18"/>
      <c r="N335" s="17"/>
      <c r="O335" s="17"/>
      <c r="P335" s="17"/>
      <c r="Q335" s="20" t="str">
        <f>IF(OR(B335="",J335=""),"",IF(SUMPRODUCT((J335&gt;=HolidayStart)*(J335&lt;=HolidayEnd)*(HolidayStart&lt;&gt;""))&gt;0,"Conflict: "&amp;INDEX(HolidayName,SUMPRODUCT((J335&gt;=HolidayStart)*(J335&lt;=HolidayEnd)*(HolidayStart&lt;&gt;"")*ROW(HolidayStart))-ROW(INDEX(HolidayStart,1,1))+1),""))</f>
        <v/>
      </c>
    </row>
    <row r="336" spans="1:17" ht="24" customHeight="1">
      <c r="A336" s="21">
        <v>332</v>
      </c>
      <c r="B336" s="22"/>
      <c r="C336" s="23"/>
      <c r="D336" s="23"/>
      <c r="E336" s="24"/>
      <c r="F336" s="25"/>
      <c r="G336" s="25"/>
      <c r="H336" s="25"/>
      <c r="I336" s="26"/>
      <c r="J336" s="26"/>
      <c r="K336" s="25"/>
      <c r="L336" s="25"/>
      <c r="M336" s="25"/>
      <c r="N336" s="24"/>
      <c r="O336" s="24"/>
      <c r="P336" s="24"/>
      <c r="Q336" s="27" t="str">
        <f>IF(OR(B336="",J336=""),"",IF(SUMPRODUCT((J336&gt;=HolidayStart)*(J336&lt;=HolidayEnd)*(HolidayStart&lt;&gt;""))&gt;0,"Conflict: "&amp;INDEX(HolidayName,SUMPRODUCT((J336&gt;=HolidayStart)*(J336&lt;=HolidayEnd)*(HolidayStart&lt;&gt;"")*ROW(HolidayStart))-ROW(INDEX(HolidayStart,1,1))+1),""))</f>
        <v/>
      </c>
    </row>
    <row r="337" spans="1:17" ht="24" customHeight="1">
      <c r="A337" s="14">
        <v>333</v>
      </c>
      <c r="B337" s="15"/>
      <c r="C337" s="16"/>
      <c r="D337" s="16"/>
      <c r="E337" s="17"/>
      <c r="F337" s="18"/>
      <c r="G337" s="18"/>
      <c r="H337" s="18"/>
      <c r="I337" s="19"/>
      <c r="J337" s="19"/>
      <c r="K337" s="18"/>
      <c r="L337" s="18"/>
      <c r="M337" s="18"/>
      <c r="N337" s="17"/>
      <c r="O337" s="17"/>
      <c r="P337" s="17"/>
      <c r="Q337" s="20" t="str">
        <f>IF(OR(B337="",J337=""),"",IF(SUMPRODUCT((J337&gt;=HolidayStart)*(J337&lt;=HolidayEnd)*(HolidayStart&lt;&gt;""))&gt;0,"Conflict: "&amp;INDEX(HolidayName,SUMPRODUCT((J337&gt;=HolidayStart)*(J337&lt;=HolidayEnd)*(HolidayStart&lt;&gt;"")*ROW(HolidayStart))-ROW(INDEX(HolidayStart,1,1))+1),""))</f>
        <v/>
      </c>
    </row>
    <row r="338" spans="1:17" ht="24" customHeight="1">
      <c r="A338" s="21">
        <v>334</v>
      </c>
      <c r="B338" s="22"/>
      <c r="C338" s="23"/>
      <c r="D338" s="23"/>
      <c r="E338" s="24"/>
      <c r="F338" s="25"/>
      <c r="G338" s="25"/>
      <c r="H338" s="25"/>
      <c r="I338" s="26"/>
      <c r="J338" s="26"/>
      <c r="K338" s="25"/>
      <c r="L338" s="25"/>
      <c r="M338" s="25"/>
      <c r="N338" s="24"/>
      <c r="O338" s="24"/>
      <c r="P338" s="24"/>
      <c r="Q338" s="27" t="str">
        <f>IF(OR(B338="",J338=""),"",IF(SUMPRODUCT((J338&gt;=HolidayStart)*(J338&lt;=HolidayEnd)*(HolidayStart&lt;&gt;""))&gt;0,"Conflict: "&amp;INDEX(HolidayName,SUMPRODUCT((J338&gt;=HolidayStart)*(J338&lt;=HolidayEnd)*(HolidayStart&lt;&gt;"")*ROW(HolidayStart))-ROW(INDEX(HolidayStart,1,1))+1),""))</f>
        <v/>
      </c>
    </row>
    <row r="339" spans="1:17" ht="24" customHeight="1">
      <c r="A339" s="14">
        <v>335</v>
      </c>
      <c r="B339" s="15"/>
      <c r="C339" s="16"/>
      <c r="D339" s="16"/>
      <c r="E339" s="17"/>
      <c r="F339" s="18"/>
      <c r="G339" s="18"/>
      <c r="H339" s="18"/>
      <c r="I339" s="19"/>
      <c r="J339" s="19"/>
      <c r="K339" s="18"/>
      <c r="L339" s="18"/>
      <c r="M339" s="18"/>
      <c r="N339" s="17"/>
      <c r="O339" s="17"/>
      <c r="P339" s="17"/>
      <c r="Q339" s="20" t="str">
        <f>IF(OR(B339="",J339=""),"",IF(SUMPRODUCT((J339&gt;=HolidayStart)*(J339&lt;=HolidayEnd)*(HolidayStart&lt;&gt;""))&gt;0,"Conflict: "&amp;INDEX(HolidayName,SUMPRODUCT((J339&gt;=HolidayStart)*(J339&lt;=HolidayEnd)*(HolidayStart&lt;&gt;"")*ROW(HolidayStart))-ROW(INDEX(HolidayStart,1,1))+1),""))</f>
        <v/>
      </c>
    </row>
    <row r="340" spans="1:17" ht="24" customHeight="1">
      <c r="A340" s="21">
        <v>336</v>
      </c>
      <c r="B340" s="22"/>
      <c r="C340" s="23"/>
      <c r="D340" s="23"/>
      <c r="E340" s="24"/>
      <c r="F340" s="25"/>
      <c r="G340" s="25"/>
      <c r="H340" s="25"/>
      <c r="I340" s="26"/>
      <c r="J340" s="26"/>
      <c r="K340" s="25"/>
      <c r="L340" s="25"/>
      <c r="M340" s="25"/>
      <c r="N340" s="24"/>
      <c r="O340" s="24"/>
      <c r="P340" s="24"/>
      <c r="Q340" s="27" t="str">
        <f>IF(OR(B340="",J340=""),"",IF(SUMPRODUCT((J340&gt;=HolidayStart)*(J340&lt;=HolidayEnd)*(HolidayStart&lt;&gt;""))&gt;0,"Conflict: "&amp;INDEX(HolidayName,SUMPRODUCT((J340&gt;=HolidayStart)*(J340&lt;=HolidayEnd)*(HolidayStart&lt;&gt;"")*ROW(HolidayStart))-ROW(INDEX(HolidayStart,1,1))+1),""))</f>
        <v/>
      </c>
    </row>
    <row r="341" spans="1:17" ht="24" customHeight="1">
      <c r="A341" s="14">
        <v>337</v>
      </c>
      <c r="B341" s="15"/>
      <c r="C341" s="16"/>
      <c r="D341" s="16"/>
      <c r="E341" s="17"/>
      <c r="F341" s="18"/>
      <c r="G341" s="18"/>
      <c r="H341" s="18"/>
      <c r="I341" s="19"/>
      <c r="J341" s="19"/>
      <c r="K341" s="18"/>
      <c r="L341" s="18"/>
      <c r="M341" s="18"/>
      <c r="N341" s="17"/>
      <c r="O341" s="17"/>
      <c r="P341" s="17"/>
      <c r="Q341" s="20" t="str">
        <f>IF(OR(B341="",J341=""),"",IF(SUMPRODUCT((J341&gt;=HolidayStart)*(J341&lt;=HolidayEnd)*(HolidayStart&lt;&gt;""))&gt;0,"Conflict: "&amp;INDEX(HolidayName,SUMPRODUCT((J341&gt;=HolidayStart)*(J341&lt;=HolidayEnd)*(HolidayStart&lt;&gt;"")*ROW(HolidayStart))-ROW(INDEX(HolidayStart,1,1))+1),""))</f>
        <v/>
      </c>
    </row>
    <row r="342" spans="1:17" ht="24" customHeight="1">
      <c r="A342" s="21">
        <v>338</v>
      </c>
      <c r="B342" s="22"/>
      <c r="C342" s="23"/>
      <c r="D342" s="23"/>
      <c r="E342" s="24"/>
      <c r="F342" s="25"/>
      <c r="G342" s="25"/>
      <c r="H342" s="25"/>
      <c r="I342" s="26"/>
      <c r="J342" s="26"/>
      <c r="K342" s="25"/>
      <c r="L342" s="25"/>
      <c r="M342" s="25"/>
      <c r="N342" s="24"/>
      <c r="O342" s="24"/>
      <c r="P342" s="24"/>
      <c r="Q342" s="27" t="str">
        <f>IF(OR(B342="",J342=""),"",IF(SUMPRODUCT((J342&gt;=HolidayStart)*(J342&lt;=HolidayEnd)*(HolidayStart&lt;&gt;""))&gt;0,"Conflict: "&amp;INDEX(HolidayName,SUMPRODUCT((J342&gt;=HolidayStart)*(J342&lt;=HolidayEnd)*(HolidayStart&lt;&gt;"")*ROW(HolidayStart))-ROW(INDEX(HolidayStart,1,1))+1),""))</f>
        <v/>
      </c>
    </row>
    <row r="343" spans="1:17" ht="24" customHeight="1">
      <c r="A343" s="14">
        <v>339</v>
      </c>
      <c r="B343" s="15"/>
      <c r="C343" s="16"/>
      <c r="D343" s="16"/>
      <c r="E343" s="17"/>
      <c r="F343" s="18"/>
      <c r="G343" s="18"/>
      <c r="H343" s="18"/>
      <c r="I343" s="19"/>
      <c r="J343" s="19"/>
      <c r="K343" s="18"/>
      <c r="L343" s="18"/>
      <c r="M343" s="18"/>
      <c r="N343" s="17"/>
      <c r="O343" s="17"/>
      <c r="P343" s="17"/>
      <c r="Q343" s="20" t="str">
        <f>IF(OR(B343="",J343=""),"",IF(SUMPRODUCT((J343&gt;=HolidayStart)*(J343&lt;=HolidayEnd)*(HolidayStart&lt;&gt;""))&gt;0,"Conflict: "&amp;INDEX(HolidayName,SUMPRODUCT((J343&gt;=HolidayStart)*(J343&lt;=HolidayEnd)*(HolidayStart&lt;&gt;"")*ROW(HolidayStart))-ROW(INDEX(HolidayStart,1,1))+1),""))</f>
        <v/>
      </c>
    </row>
    <row r="344" spans="1:17" ht="24" customHeight="1">
      <c r="A344" s="21">
        <v>340</v>
      </c>
      <c r="B344" s="22"/>
      <c r="C344" s="23"/>
      <c r="D344" s="23"/>
      <c r="E344" s="24"/>
      <c r="F344" s="25"/>
      <c r="G344" s="25"/>
      <c r="H344" s="25"/>
      <c r="I344" s="26"/>
      <c r="J344" s="26"/>
      <c r="K344" s="25"/>
      <c r="L344" s="25"/>
      <c r="M344" s="25"/>
      <c r="N344" s="24"/>
      <c r="O344" s="24"/>
      <c r="P344" s="24"/>
      <c r="Q344" s="27" t="str">
        <f>IF(OR(B344="",J344=""),"",IF(SUMPRODUCT((J344&gt;=HolidayStart)*(J344&lt;=HolidayEnd)*(HolidayStart&lt;&gt;""))&gt;0,"Conflict: "&amp;INDEX(HolidayName,SUMPRODUCT((J344&gt;=HolidayStart)*(J344&lt;=HolidayEnd)*(HolidayStart&lt;&gt;"")*ROW(HolidayStart))-ROW(INDEX(HolidayStart,1,1))+1),""))</f>
        <v/>
      </c>
    </row>
    <row r="345" spans="1:17" ht="24" customHeight="1">
      <c r="A345" s="14">
        <v>341</v>
      </c>
      <c r="B345" s="15"/>
      <c r="C345" s="16"/>
      <c r="D345" s="16"/>
      <c r="E345" s="17"/>
      <c r="F345" s="18"/>
      <c r="G345" s="18"/>
      <c r="H345" s="18"/>
      <c r="I345" s="19"/>
      <c r="J345" s="19"/>
      <c r="K345" s="18"/>
      <c r="L345" s="18"/>
      <c r="M345" s="18"/>
      <c r="N345" s="17"/>
      <c r="O345" s="17"/>
      <c r="P345" s="17"/>
      <c r="Q345" s="20" t="str">
        <f>IF(OR(B345="",J345=""),"",IF(SUMPRODUCT((J345&gt;=HolidayStart)*(J345&lt;=HolidayEnd)*(HolidayStart&lt;&gt;""))&gt;0,"Conflict: "&amp;INDEX(HolidayName,SUMPRODUCT((J345&gt;=HolidayStart)*(J345&lt;=HolidayEnd)*(HolidayStart&lt;&gt;"")*ROW(HolidayStart))-ROW(INDEX(HolidayStart,1,1))+1),""))</f>
        <v/>
      </c>
    </row>
    <row r="346" spans="1:17" ht="24" customHeight="1">
      <c r="A346" s="21">
        <v>342</v>
      </c>
      <c r="B346" s="22"/>
      <c r="C346" s="23"/>
      <c r="D346" s="23"/>
      <c r="E346" s="24"/>
      <c r="F346" s="25"/>
      <c r="G346" s="25"/>
      <c r="H346" s="25"/>
      <c r="I346" s="26"/>
      <c r="J346" s="26"/>
      <c r="K346" s="25"/>
      <c r="L346" s="25"/>
      <c r="M346" s="25"/>
      <c r="N346" s="24"/>
      <c r="O346" s="24"/>
      <c r="P346" s="24"/>
      <c r="Q346" s="27" t="str">
        <f>IF(OR(B346="",J346=""),"",IF(SUMPRODUCT((J346&gt;=HolidayStart)*(J346&lt;=HolidayEnd)*(HolidayStart&lt;&gt;""))&gt;0,"Conflict: "&amp;INDEX(HolidayName,SUMPRODUCT((J346&gt;=HolidayStart)*(J346&lt;=HolidayEnd)*(HolidayStart&lt;&gt;"")*ROW(HolidayStart))-ROW(INDEX(HolidayStart,1,1))+1),""))</f>
        <v/>
      </c>
    </row>
    <row r="347" spans="1:17" ht="24" customHeight="1">
      <c r="A347" s="14">
        <v>343</v>
      </c>
      <c r="B347" s="15"/>
      <c r="C347" s="16"/>
      <c r="D347" s="16"/>
      <c r="E347" s="17"/>
      <c r="F347" s="18"/>
      <c r="G347" s="18"/>
      <c r="H347" s="18"/>
      <c r="I347" s="19"/>
      <c r="J347" s="19"/>
      <c r="K347" s="18"/>
      <c r="L347" s="18"/>
      <c r="M347" s="18"/>
      <c r="N347" s="17"/>
      <c r="O347" s="17"/>
      <c r="P347" s="17"/>
      <c r="Q347" s="20" t="str">
        <f>IF(OR(B347="",J347=""),"",IF(SUMPRODUCT((J347&gt;=HolidayStart)*(J347&lt;=HolidayEnd)*(HolidayStart&lt;&gt;""))&gt;0,"Conflict: "&amp;INDEX(HolidayName,SUMPRODUCT((J347&gt;=HolidayStart)*(J347&lt;=HolidayEnd)*(HolidayStart&lt;&gt;"")*ROW(HolidayStart))-ROW(INDEX(HolidayStart,1,1))+1),""))</f>
        <v/>
      </c>
    </row>
    <row r="348" spans="1:17" ht="24" customHeight="1">
      <c r="A348" s="21">
        <v>344</v>
      </c>
      <c r="B348" s="22"/>
      <c r="C348" s="23"/>
      <c r="D348" s="23"/>
      <c r="E348" s="24"/>
      <c r="F348" s="25"/>
      <c r="G348" s="25"/>
      <c r="H348" s="25"/>
      <c r="I348" s="26"/>
      <c r="J348" s="26"/>
      <c r="K348" s="25"/>
      <c r="L348" s="25"/>
      <c r="M348" s="25"/>
      <c r="N348" s="24"/>
      <c r="O348" s="24"/>
      <c r="P348" s="24"/>
      <c r="Q348" s="27" t="str">
        <f>IF(OR(B348="",J348=""),"",IF(SUMPRODUCT((J348&gt;=HolidayStart)*(J348&lt;=HolidayEnd)*(HolidayStart&lt;&gt;""))&gt;0,"Conflict: "&amp;INDEX(HolidayName,SUMPRODUCT((J348&gt;=HolidayStart)*(J348&lt;=HolidayEnd)*(HolidayStart&lt;&gt;"")*ROW(HolidayStart))-ROW(INDEX(HolidayStart,1,1))+1),""))</f>
        <v/>
      </c>
    </row>
    <row r="349" spans="1:17" ht="24" customHeight="1">
      <c r="A349" s="14">
        <v>345</v>
      </c>
      <c r="B349" s="15"/>
      <c r="C349" s="16"/>
      <c r="D349" s="16"/>
      <c r="E349" s="17"/>
      <c r="F349" s="18"/>
      <c r="G349" s="18"/>
      <c r="H349" s="18"/>
      <c r="I349" s="19"/>
      <c r="J349" s="19"/>
      <c r="K349" s="18"/>
      <c r="L349" s="18"/>
      <c r="M349" s="18"/>
      <c r="N349" s="17"/>
      <c r="O349" s="17"/>
      <c r="P349" s="17"/>
      <c r="Q349" s="20" t="str">
        <f>IF(OR(B349="",J349=""),"",IF(SUMPRODUCT((J349&gt;=HolidayStart)*(J349&lt;=HolidayEnd)*(HolidayStart&lt;&gt;""))&gt;0,"Conflict: "&amp;INDEX(HolidayName,SUMPRODUCT((J349&gt;=HolidayStart)*(J349&lt;=HolidayEnd)*(HolidayStart&lt;&gt;"")*ROW(HolidayStart))-ROW(INDEX(HolidayStart,1,1))+1),""))</f>
        <v/>
      </c>
    </row>
    <row r="350" spans="1:17" ht="24" customHeight="1">
      <c r="A350" s="21">
        <v>346</v>
      </c>
      <c r="B350" s="22"/>
      <c r="C350" s="23"/>
      <c r="D350" s="23"/>
      <c r="E350" s="24"/>
      <c r="F350" s="25"/>
      <c r="G350" s="25"/>
      <c r="H350" s="25"/>
      <c r="I350" s="26"/>
      <c r="J350" s="26"/>
      <c r="K350" s="25"/>
      <c r="L350" s="25"/>
      <c r="M350" s="25"/>
      <c r="N350" s="24"/>
      <c r="O350" s="24"/>
      <c r="P350" s="24"/>
      <c r="Q350" s="27" t="str">
        <f>IF(OR(B350="",J350=""),"",IF(SUMPRODUCT((J350&gt;=HolidayStart)*(J350&lt;=HolidayEnd)*(HolidayStart&lt;&gt;""))&gt;0,"Conflict: "&amp;INDEX(HolidayName,SUMPRODUCT((J350&gt;=HolidayStart)*(J350&lt;=HolidayEnd)*(HolidayStart&lt;&gt;"")*ROW(HolidayStart))-ROW(INDEX(HolidayStart,1,1))+1),""))</f>
        <v/>
      </c>
    </row>
    <row r="351" spans="1:17" ht="24" customHeight="1">
      <c r="A351" s="14">
        <v>347</v>
      </c>
      <c r="B351" s="15"/>
      <c r="C351" s="16"/>
      <c r="D351" s="16"/>
      <c r="E351" s="17"/>
      <c r="F351" s="18"/>
      <c r="G351" s="18"/>
      <c r="H351" s="18"/>
      <c r="I351" s="19"/>
      <c r="J351" s="19"/>
      <c r="K351" s="18"/>
      <c r="L351" s="18"/>
      <c r="M351" s="18"/>
      <c r="N351" s="17"/>
      <c r="O351" s="17"/>
      <c r="P351" s="17"/>
      <c r="Q351" s="20" t="str">
        <f>IF(OR(B351="",J351=""),"",IF(SUMPRODUCT((J351&gt;=HolidayStart)*(J351&lt;=HolidayEnd)*(HolidayStart&lt;&gt;""))&gt;0,"Conflict: "&amp;INDEX(HolidayName,SUMPRODUCT((J351&gt;=HolidayStart)*(J351&lt;=HolidayEnd)*(HolidayStart&lt;&gt;"")*ROW(HolidayStart))-ROW(INDEX(HolidayStart,1,1))+1),""))</f>
        <v/>
      </c>
    </row>
    <row r="352" spans="1:17" ht="24" customHeight="1">
      <c r="A352" s="21">
        <v>348</v>
      </c>
      <c r="B352" s="22"/>
      <c r="C352" s="23"/>
      <c r="D352" s="23"/>
      <c r="E352" s="24"/>
      <c r="F352" s="25"/>
      <c r="G352" s="25"/>
      <c r="H352" s="25"/>
      <c r="I352" s="26"/>
      <c r="J352" s="26"/>
      <c r="K352" s="25"/>
      <c r="L352" s="25"/>
      <c r="M352" s="25"/>
      <c r="N352" s="24"/>
      <c r="O352" s="24"/>
      <c r="P352" s="24"/>
      <c r="Q352" s="27" t="str">
        <f>IF(OR(B352="",J352=""),"",IF(SUMPRODUCT((J352&gt;=HolidayStart)*(J352&lt;=HolidayEnd)*(HolidayStart&lt;&gt;""))&gt;0,"Conflict: "&amp;INDEX(HolidayName,SUMPRODUCT((J352&gt;=HolidayStart)*(J352&lt;=HolidayEnd)*(HolidayStart&lt;&gt;"")*ROW(HolidayStart))-ROW(INDEX(HolidayStart,1,1))+1),""))</f>
        <v/>
      </c>
    </row>
    <row r="353" spans="1:17" ht="24" customHeight="1">
      <c r="A353" s="14">
        <v>349</v>
      </c>
      <c r="B353" s="15"/>
      <c r="C353" s="16"/>
      <c r="D353" s="16"/>
      <c r="E353" s="17"/>
      <c r="F353" s="18"/>
      <c r="G353" s="18"/>
      <c r="H353" s="18"/>
      <c r="I353" s="19"/>
      <c r="J353" s="19"/>
      <c r="K353" s="18"/>
      <c r="L353" s="18"/>
      <c r="M353" s="18"/>
      <c r="N353" s="17"/>
      <c r="O353" s="17"/>
      <c r="P353" s="17"/>
      <c r="Q353" s="20" t="str">
        <f>IF(OR(B353="",J353=""),"",IF(SUMPRODUCT((J353&gt;=HolidayStart)*(J353&lt;=HolidayEnd)*(HolidayStart&lt;&gt;""))&gt;0,"Conflict: "&amp;INDEX(HolidayName,SUMPRODUCT((J353&gt;=HolidayStart)*(J353&lt;=HolidayEnd)*(HolidayStart&lt;&gt;"")*ROW(HolidayStart))-ROW(INDEX(HolidayStart,1,1))+1),""))</f>
        <v/>
      </c>
    </row>
    <row r="354" spans="1:17" ht="24" customHeight="1">
      <c r="A354" s="21">
        <v>350</v>
      </c>
      <c r="B354" s="22"/>
      <c r="C354" s="23"/>
      <c r="D354" s="23"/>
      <c r="E354" s="24"/>
      <c r="F354" s="25"/>
      <c r="G354" s="25"/>
      <c r="H354" s="25"/>
      <c r="I354" s="26"/>
      <c r="J354" s="26"/>
      <c r="K354" s="25"/>
      <c r="L354" s="25"/>
      <c r="M354" s="25"/>
      <c r="N354" s="24"/>
      <c r="O354" s="24"/>
      <c r="P354" s="24"/>
      <c r="Q354" s="27" t="str">
        <f>IF(OR(B354="",J354=""),"",IF(SUMPRODUCT((J354&gt;=HolidayStart)*(J354&lt;=HolidayEnd)*(HolidayStart&lt;&gt;""))&gt;0,"Conflict: "&amp;INDEX(HolidayName,SUMPRODUCT((J354&gt;=HolidayStart)*(J354&lt;=HolidayEnd)*(HolidayStart&lt;&gt;"")*ROW(HolidayStart))-ROW(INDEX(HolidayStart,1,1))+1),""))</f>
        <v/>
      </c>
    </row>
    <row r="355" spans="1:17" ht="24" customHeight="1">
      <c r="A355" s="14">
        <v>351</v>
      </c>
      <c r="B355" s="15"/>
      <c r="C355" s="16"/>
      <c r="D355" s="16"/>
      <c r="E355" s="17"/>
      <c r="F355" s="18"/>
      <c r="G355" s="18"/>
      <c r="H355" s="18"/>
      <c r="I355" s="19"/>
      <c r="J355" s="19"/>
      <c r="K355" s="18"/>
      <c r="L355" s="18"/>
      <c r="M355" s="18"/>
      <c r="N355" s="17"/>
      <c r="O355" s="17"/>
      <c r="P355" s="17"/>
      <c r="Q355" s="20" t="str">
        <f>IF(OR(B355="",J355=""),"",IF(SUMPRODUCT((J355&gt;=HolidayStart)*(J355&lt;=HolidayEnd)*(HolidayStart&lt;&gt;""))&gt;0,"Conflict: "&amp;INDEX(HolidayName,SUMPRODUCT((J355&gt;=HolidayStart)*(J355&lt;=HolidayEnd)*(HolidayStart&lt;&gt;"")*ROW(HolidayStart))-ROW(INDEX(HolidayStart,1,1))+1),""))</f>
        <v/>
      </c>
    </row>
    <row r="356" spans="1:17" ht="24" customHeight="1">
      <c r="A356" s="21">
        <v>352</v>
      </c>
      <c r="B356" s="22"/>
      <c r="C356" s="23"/>
      <c r="D356" s="23"/>
      <c r="E356" s="24"/>
      <c r="F356" s="25"/>
      <c r="G356" s="25"/>
      <c r="H356" s="25"/>
      <c r="I356" s="26"/>
      <c r="J356" s="26"/>
      <c r="K356" s="25"/>
      <c r="L356" s="25"/>
      <c r="M356" s="25"/>
      <c r="N356" s="24"/>
      <c r="O356" s="24"/>
      <c r="P356" s="24"/>
      <c r="Q356" s="27" t="str">
        <f>IF(OR(B356="",J356=""),"",IF(SUMPRODUCT((J356&gt;=HolidayStart)*(J356&lt;=HolidayEnd)*(HolidayStart&lt;&gt;""))&gt;0,"Conflict: "&amp;INDEX(HolidayName,SUMPRODUCT((J356&gt;=HolidayStart)*(J356&lt;=HolidayEnd)*(HolidayStart&lt;&gt;"")*ROW(HolidayStart))-ROW(INDEX(HolidayStart,1,1))+1),""))</f>
        <v/>
      </c>
    </row>
    <row r="357" spans="1:17" ht="24" customHeight="1">
      <c r="A357" s="14">
        <v>353</v>
      </c>
      <c r="B357" s="15"/>
      <c r="C357" s="16"/>
      <c r="D357" s="16"/>
      <c r="E357" s="17"/>
      <c r="F357" s="18"/>
      <c r="G357" s="18"/>
      <c r="H357" s="18"/>
      <c r="I357" s="19"/>
      <c r="J357" s="19"/>
      <c r="K357" s="18"/>
      <c r="L357" s="18"/>
      <c r="M357" s="18"/>
      <c r="N357" s="17"/>
      <c r="O357" s="17"/>
      <c r="P357" s="17"/>
      <c r="Q357" s="20" t="str">
        <f>IF(OR(B357="",J357=""),"",IF(SUMPRODUCT((J357&gt;=HolidayStart)*(J357&lt;=HolidayEnd)*(HolidayStart&lt;&gt;""))&gt;0,"Conflict: "&amp;INDEX(HolidayName,SUMPRODUCT((J357&gt;=HolidayStart)*(J357&lt;=HolidayEnd)*(HolidayStart&lt;&gt;"")*ROW(HolidayStart))-ROW(INDEX(HolidayStart,1,1))+1),""))</f>
        <v/>
      </c>
    </row>
    <row r="358" spans="1:17" ht="24" customHeight="1">
      <c r="A358" s="21">
        <v>354</v>
      </c>
      <c r="B358" s="22"/>
      <c r="C358" s="23"/>
      <c r="D358" s="23"/>
      <c r="E358" s="24"/>
      <c r="F358" s="25"/>
      <c r="G358" s="25"/>
      <c r="H358" s="25"/>
      <c r="I358" s="26"/>
      <c r="J358" s="26"/>
      <c r="K358" s="25"/>
      <c r="L358" s="25"/>
      <c r="M358" s="25"/>
      <c r="N358" s="24"/>
      <c r="O358" s="24"/>
      <c r="P358" s="24"/>
      <c r="Q358" s="27" t="str">
        <f>IF(OR(B358="",J358=""),"",IF(SUMPRODUCT((J358&gt;=HolidayStart)*(J358&lt;=HolidayEnd)*(HolidayStart&lt;&gt;""))&gt;0,"Conflict: "&amp;INDEX(HolidayName,SUMPRODUCT((J358&gt;=HolidayStart)*(J358&lt;=HolidayEnd)*(HolidayStart&lt;&gt;"")*ROW(HolidayStart))-ROW(INDEX(HolidayStart,1,1))+1),""))</f>
        <v/>
      </c>
    </row>
    <row r="359" spans="1:17" ht="24" customHeight="1">
      <c r="A359" s="14">
        <v>355</v>
      </c>
      <c r="B359" s="15"/>
      <c r="C359" s="16"/>
      <c r="D359" s="16"/>
      <c r="E359" s="17"/>
      <c r="F359" s="18"/>
      <c r="G359" s="18"/>
      <c r="H359" s="18"/>
      <c r="I359" s="19"/>
      <c r="J359" s="19"/>
      <c r="K359" s="18"/>
      <c r="L359" s="18"/>
      <c r="M359" s="18"/>
      <c r="N359" s="17"/>
      <c r="O359" s="17"/>
      <c r="P359" s="17"/>
      <c r="Q359" s="20" t="str">
        <f>IF(OR(B359="",J359=""),"",IF(SUMPRODUCT((J359&gt;=HolidayStart)*(J359&lt;=HolidayEnd)*(HolidayStart&lt;&gt;""))&gt;0,"Conflict: "&amp;INDEX(HolidayName,SUMPRODUCT((J359&gt;=HolidayStart)*(J359&lt;=HolidayEnd)*(HolidayStart&lt;&gt;"")*ROW(HolidayStart))-ROW(INDEX(HolidayStart,1,1))+1),""))</f>
        <v/>
      </c>
    </row>
    <row r="360" spans="1:17" ht="24" customHeight="1">
      <c r="A360" s="21">
        <v>356</v>
      </c>
      <c r="B360" s="22"/>
      <c r="C360" s="23"/>
      <c r="D360" s="23"/>
      <c r="E360" s="24"/>
      <c r="F360" s="25"/>
      <c r="G360" s="25"/>
      <c r="H360" s="25"/>
      <c r="I360" s="26"/>
      <c r="J360" s="26"/>
      <c r="K360" s="25"/>
      <c r="L360" s="25"/>
      <c r="M360" s="25"/>
      <c r="N360" s="24"/>
      <c r="O360" s="24"/>
      <c r="P360" s="24"/>
      <c r="Q360" s="27" t="str">
        <f>IF(OR(B360="",J360=""),"",IF(SUMPRODUCT((J360&gt;=HolidayStart)*(J360&lt;=HolidayEnd)*(HolidayStart&lt;&gt;""))&gt;0,"Conflict: "&amp;INDEX(HolidayName,SUMPRODUCT((J360&gt;=HolidayStart)*(J360&lt;=HolidayEnd)*(HolidayStart&lt;&gt;"")*ROW(HolidayStart))-ROW(INDEX(HolidayStart,1,1))+1),""))</f>
        <v/>
      </c>
    </row>
    <row r="361" spans="1:17" ht="24" customHeight="1">
      <c r="A361" s="14">
        <v>357</v>
      </c>
      <c r="B361" s="15"/>
      <c r="C361" s="16"/>
      <c r="D361" s="16"/>
      <c r="E361" s="17"/>
      <c r="F361" s="18"/>
      <c r="G361" s="18"/>
      <c r="H361" s="18"/>
      <c r="I361" s="19"/>
      <c r="J361" s="19"/>
      <c r="K361" s="18"/>
      <c r="L361" s="18"/>
      <c r="M361" s="18"/>
      <c r="N361" s="17"/>
      <c r="O361" s="17"/>
      <c r="P361" s="17"/>
      <c r="Q361" s="20" t="str">
        <f>IF(OR(B361="",J361=""),"",IF(SUMPRODUCT((J361&gt;=HolidayStart)*(J361&lt;=HolidayEnd)*(HolidayStart&lt;&gt;""))&gt;0,"Conflict: "&amp;INDEX(HolidayName,SUMPRODUCT((J361&gt;=HolidayStart)*(J361&lt;=HolidayEnd)*(HolidayStart&lt;&gt;"")*ROW(HolidayStart))-ROW(INDEX(HolidayStart,1,1))+1),""))</f>
        <v/>
      </c>
    </row>
    <row r="362" spans="1:17" ht="24" customHeight="1">
      <c r="A362" s="21">
        <v>358</v>
      </c>
      <c r="B362" s="22"/>
      <c r="C362" s="23"/>
      <c r="D362" s="23"/>
      <c r="E362" s="24"/>
      <c r="F362" s="25"/>
      <c r="G362" s="25"/>
      <c r="H362" s="25"/>
      <c r="I362" s="26"/>
      <c r="J362" s="26"/>
      <c r="K362" s="25"/>
      <c r="L362" s="25"/>
      <c r="M362" s="25"/>
      <c r="N362" s="24"/>
      <c r="O362" s="24"/>
      <c r="P362" s="24"/>
      <c r="Q362" s="27" t="str">
        <f>IF(OR(B362="",J362=""),"",IF(SUMPRODUCT((J362&gt;=HolidayStart)*(J362&lt;=HolidayEnd)*(HolidayStart&lt;&gt;""))&gt;0,"Conflict: "&amp;INDEX(HolidayName,SUMPRODUCT((J362&gt;=HolidayStart)*(J362&lt;=HolidayEnd)*(HolidayStart&lt;&gt;"")*ROW(HolidayStart))-ROW(INDEX(HolidayStart,1,1))+1),""))</f>
        <v/>
      </c>
    </row>
    <row r="363" spans="1:17" ht="24" customHeight="1">
      <c r="A363" s="14">
        <v>359</v>
      </c>
      <c r="B363" s="15"/>
      <c r="C363" s="16"/>
      <c r="D363" s="16"/>
      <c r="E363" s="17"/>
      <c r="F363" s="18"/>
      <c r="G363" s="18"/>
      <c r="H363" s="18"/>
      <c r="I363" s="19"/>
      <c r="J363" s="19"/>
      <c r="K363" s="18"/>
      <c r="L363" s="18"/>
      <c r="M363" s="18"/>
      <c r="N363" s="17"/>
      <c r="O363" s="17"/>
      <c r="P363" s="17"/>
      <c r="Q363" s="20" t="str">
        <f>IF(OR(B363="",J363=""),"",IF(SUMPRODUCT((J363&gt;=HolidayStart)*(J363&lt;=HolidayEnd)*(HolidayStart&lt;&gt;""))&gt;0,"Conflict: "&amp;INDEX(HolidayName,SUMPRODUCT((J363&gt;=HolidayStart)*(J363&lt;=HolidayEnd)*(HolidayStart&lt;&gt;"")*ROW(HolidayStart))-ROW(INDEX(HolidayStart,1,1))+1),""))</f>
        <v/>
      </c>
    </row>
    <row r="364" spans="1:17" ht="24" customHeight="1">
      <c r="A364" s="21">
        <v>360</v>
      </c>
      <c r="B364" s="22"/>
      <c r="C364" s="23"/>
      <c r="D364" s="23"/>
      <c r="E364" s="24"/>
      <c r="F364" s="25"/>
      <c r="G364" s="25"/>
      <c r="H364" s="25"/>
      <c r="I364" s="26"/>
      <c r="J364" s="26"/>
      <c r="K364" s="25"/>
      <c r="L364" s="25"/>
      <c r="M364" s="25"/>
      <c r="N364" s="24"/>
      <c r="O364" s="24"/>
      <c r="P364" s="24"/>
      <c r="Q364" s="27" t="str">
        <f>IF(OR(B364="",J364=""),"",IF(SUMPRODUCT((J364&gt;=HolidayStart)*(J364&lt;=HolidayEnd)*(HolidayStart&lt;&gt;""))&gt;0,"Conflict: "&amp;INDEX(HolidayName,SUMPRODUCT((J364&gt;=HolidayStart)*(J364&lt;=HolidayEnd)*(HolidayStart&lt;&gt;"")*ROW(HolidayStart))-ROW(INDEX(HolidayStart,1,1))+1),""))</f>
        <v/>
      </c>
    </row>
    <row r="365" spans="1:17" ht="24" customHeight="1">
      <c r="A365" s="14">
        <v>361</v>
      </c>
      <c r="B365" s="15"/>
      <c r="C365" s="16"/>
      <c r="D365" s="16"/>
      <c r="E365" s="17"/>
      <c r="F365" s="18"/>
      <c r="G365" s="18"/>
      <c r="H365" s="18"/>
      <c r="I365" s="19"/>
      <c r="J365" s="19"/>
      <c r="K365" s="18"/>
      <c r="L365" s="18"/>
      <c r="M365" s="18"/>
      <c r="N365" s="17"/>
      <c r="O365" s="17"/>
      <c r="P365" s="17"/>
      <c r="Q365" s="20" t="str">
        <f>IF(OR(B365="",J365=""),"",IF(SUMPRODUCT((J365&gt;=HolidayStart)*(J365&lt;=HolidayEnd)*(HolidayStart&lt;&gt;""))&gt;0,"Conflict: "&amp;INDEX(HolidayName,SUMPRODUCT((J365&gt;=HolidayStart)*(J365&lt;=HolidayEnd)*(HolidayStart&lt;&gt;"")*ROW(HolidayStart))-ROW(INDEX(HolidayStart,1,1))+1),""))</f>
        <v/>
      </c>
    </row>
    <row r="366" spans="1:17" ht="24" customHeight="1">
      <c r="A366" s="21">
        <v>362</v>
      </c>
      <c r="B366" s="22"/>
      <c r="C366" s="23"/>
      <c r="D366" s="23"/>
      <c r="E366" s="24"/>
      <c r="F366" s="25"/>
      <c r="G366" s="25"/>
      <c r="H366" s="25"/>
      <c r="I366" s="26"/>
      <c r="J366" s="26"/>
      <c r="K366" s="25"/>
      <c r="L366" s="25"/>
      <c r="M366" s="25"/>
      <c r="N366" s="24"/>
      <c r="O366" s="24"/>
      <c r="P366" s="24"/>
      <c r="Q366" s="27" t="str">
        <f>IF(OR(B366="",J366=""),"",IF(SUMPRODUCT((J366&gt;=HolidayStart)*(J366&lt;=HolidayEnd)*(HolidayStart&lt;&gt;""))&gt;0,"Conflict: "&amp;INDEX(HolidayName,SUMPRODUCT((J366&gt;=HolidayStart)*(J366&lt;=HolidayEnd)*(HolidayStart&lt;&gt;"")*ROW(HolidayStart))-ROW(INDEX(HolidayStart,1,1))+1),""))</f>
        <v/>
      </c>
    </row>
    <row r="367" spans="1:17" ht="24" customHeight="1">
      <c r="A367" s="14">
        <v>363</v>
      </c>
      <c r="B367" s="15"/>
      <c r="C367" s="16"/>
      <c r="D367" s="16"/>
      <c r="E367" s="17"/>
      <c r="F367" s="18"/>
      <c r="G367" s="18"/>
      <c r="H367" s="18"/>
      <c r="I367" s="19"/>
      <c r="J367" s="19"/>
      <c r="K367" s="18"/>
      <c r="L367" s="18"/>
      <c r="M367" s="18"/>
      <c r="N367" s="17"/>
      <c r="O367" s="17"/>
      <c r="P367" s="17"/>
      <c r="Q367" s="20" t="str">
        <f>IF(OR(B367="",J367=""),"",IF(SUMPRODUCT((J367&gt;=HolidayStart)*(J367&lt;=HolidayEnd)*(HolidayStart&lt;&gt;""))&gt;0,"Conflict: "&amp;INDEX(HolidayName,SUMPRODUCT((J367&gt;=HolidayStart)*(J367&lt;=HolidayEnd)*(HolidayStart&lt;&gt;"")*ROW(HolidayStart))-ROW(INDEX(HolidayStart,1,1))+1),""))</f>
        <v/>
      </c>
    </row>
    <row r="368" spans="1:17" ht="24" customHeight="1">
      <c r="A368" s="21">
        <v>364</v>
      </c>
      <c r="B368" s="22"/>
      <c r="C368" s="23"/>
      <c r="D368" s="23"/>
      <c r="E368" s="24"/>
      <c r="F368" s="25"/>
      <c r="G368" s="25"/>
      <c r="H368" s="25"/>
      <c r="I368" s="26"/>
      <c r="J368" s="26"/>
      <c r="K368" s="25"/>
      <c r="L368" s="25"/>
      <c r="M368" s="25"/>
      <c r="N368" s="24"/>
      <c r="O368" s="24"/>
      <c r="P368" s="24"/>
      <c r="Q368" s="27" t="str">
        <f>IF(OR(B368="",J368=""),"",IF(SUMPRODUCT((J368&gt;=HolidayStart)*(J368&lt;=HolidayEnd)*(HolidayStart&lt;&gt;""))&gt;0,"Conflict: "&amp;INDEX(HolidayName,SUMPRODUCT((J368&gt;=HolidayStart)*(J368&lt;=HolidayEnd)*(HolidayStart&lt;&gt;"")*ROW(HolidayStart))-ROW(INDEX(HolidayStart,1,1))+1),""))</f>
        <v/>
      </c>
    </row>
    <row r="369" spans="1:17" ht="24" customHeight="1">
      <c r="A369" s="14">
        <v>365</v>
      </c>
      <c r="B369" s="15"/>
      <c r="C369" s="16"/>
      <c r="D369" s="16"/>
      <c r="E369" s="17"/>
      <c r="F369" s="18"/>
      <c r="G369" s="18"/>
      <c r="H369" s="18"/>
      <c r="I369" s="19"/>
      <c r="J369" s="19"/>
      <c r="K369" s="18"/>
      <c r="L369" s="18"/>
      <c r="M369" s="18"/>
      <c r="N369" s="17"/>
      <c r="O369" s="17"/>
      <c r="P369" s="17"/>
      <c r="Q369" s="20" t="str">
        <f>IF(OR(B369="",J369=""),"",IF(SUMPRODUCT((J369&gt;=HolidayStart)*(J369&lt;=HolidayEnd)*(HolidayStart&lt;&gt;""))&gt;0,"Conflict: "&amp;INDEX(HolidayName,SUMPRODUCT((J369&gt;=HolidayStart)*(J369&lt;=HolidayEnd)*(HolidayStart&lt;&gt;"")*ROW(HolidayStart))-ROW(INDEX(HolidayStart,1,1))+1),""))</f>
        <v/>
      </c>
    </row>
    <row r="370" spans="1:17" ht="24" customHeight="1">
      <c r="A370" s="21">
        <v>366</v>
      </c>
      <c r="B370" s="22"/>
      <c r="C370" s="23"/>
      <c r="D370" s="23"/>
      <c r="E370" s="24"/>
      <c r="F370" s="25"/>
      <c r="G370" s="25"/>
      <c r="H370" s="25"/>
      <c r="I370" s="26"/>
      <c r="J370" s="26"/>
      <c r="K370" s="25"/>
      <c r="L370" s="25"/>
      <c r="M370" s="25"/>
      <c r="N370" s="24"/>
      <c r="O370" s="24"/>
      <c r="P370" s="24"/>
      <c r="Q370" s="27" t="str">
        <f>IF(OR(B370="",J370=""),"",IF(SUMPRODUCT((J370&gt;=HolidayStart)*(J370&lt;=HolidayEnd)*(HolidayStart&lt;&gt;""))&gt;0,"Conflict: "&amp;INDEX(HolidayName,SUMPRODUCT((J370&gt;=HolidayStart)*(J370&lt;=HolidayEnd)*(HolidayStart&lt;&gt;"")*ROW(HolidayStart))-ROW(INDEX(HolidayStart,1,1))+1),""))</f>
        <v/>
      </c>
    </row>
    <row r="371" spans="1:17" ht="24" customHeight="1">
      <c r="A371" s="14">
        <v>367</v>
      </c>
      <c r="B371" s="15"/>
      <c r="C371" s="16"/>
      <c r="D371" s="16"/>
      <c r="E371" s="17"/>
      <c r="F371" s="18"/>
      <c r="G371" s="18"/>
      <c r="H371" s="18"/>
      <c r="I371" s="19"/>
      <c r="J371" s="19"/>
      <c r="K371" s="18"/>
      <c r="L371" s="18"/>
      <c r="M371" s="18"/>
      <c r="N371" s="17"/>
      <c r="O371" s="17"/>
      <c r="P371" s="17"/>
      <c r="Q371" s="20" t="str">
        <f>IF(OR(B371="",J371=""),"",IF(SUMPRODUCT((J371&gt;=HolidayStart)*(J371&lt;=HolidayEnd)*(HolidayStart&lt;&gt;""))&gt;0,"Conflict: "&amp;INDEX(HolidayName,SUMPRODUCT((J371&gt;=HolidayStart)*(J371&lt;=HolidayEnd)*(HolidayStart&lt;&gt;"")*ROW(HolidayStart))-ROW(INDEX(HolidayStart,1,1))+1),""))</f>
        <v/>
      </c>
    </row>
    <row r="372" spans="1:17" ht="24" customHeight="1">
      <c r="A372" s="21">
        <v>368</v>
      </c>
      <c r="B372" s="22"/>
      <c r="C372" s="23"/>
      <c r="D372" s="23"/>
      <c r="E372" s="24"/>
      <c r="F372" s="25"/>
      <c r="G372" s="25"/>
      <c r="H372" s="25"/>
      <c r="I372" s="26"/>
      <c r="J372" s="26"/>
      <c r="K372" s="25"/>
      <c r="L372" s="25"/>
      <c r="M372" s="25"/>
      <c r="N372" s="24"/>
      <c r="O372" s="24"/>
      <c r="P372" s="24"/>
      <c r="Q372" s="27" t="str">
        <f>IF(OR(B372="",J372=""),"",IF(SUMPRODUCT((J372&gt;=HolidayStart)*(J372&lt;=HolidayEnd)*(HolidayStart&lt;&gt;""))&gt;0,"Conflict: "&amp;INDEX(HolidayName,SUMPRODUCT((J372&gt;=HolidayStart)*(J372&lt;=HolidayEnd)*(HolidayStart&lt;&gt;"")*ROW(HolidayStart))-ROW(INDEX(HolidayStart,1,1))+1),""))</f>
        <v/>
      </c>
    </row>
    <row r="373" spans="1:17" ht="24" customHeight="1">
      <c r="A373" s="14">
        <v>369</v>
      </c>
      <c r="B373" s="15"/>
      <c r="C373" s="16"/>
      <c r="D373" s="16"/>
      <c r="E373" s="17"/>
      <c r="F373" s="18"/>
      <c r="G373" s="18"/>
      <c r="H373" s="18"/>
      <c r="I373" s="19"/>
      <c r="J373" s="19"/>
      <c r="K373" s="18"/>
      <c r="L373" s="18"/>
      <c r="M373" s="18"/>
      <c r="N373" s="17"/>
      <c r="O373" s="17"/>
      <c r="P373" s="17"/>
      <c r="Q373" s="20" t="str">
        <f>IF(OR(B373="",J373=""),"",IF(SUMPRODUCT((J373&gt;=HolidayStart)*(J373&lt;=HolidayEnd)*(HolidayStart&lt;&gt;""))&gt;0,"Conflict: "&amp;INDEX(HolidayName,SUMPRODUCT((J373&gt;=HolidayStart)*(J373&lt;=HolidayEnd)*(HolidayStart&lt;&gt;"")*ROW(HolidayStart))-ROW(INDEX(HolidayStart,1,1))+1),""))</f>
        <v/>
      </c>
    </row>
    <row r="374" spans="1:17" ht="24" customHeight="1">
      <c r="A374" s="21">
        <v>370</v>
      </c>
      <c r="B374" s="22"/>
      <c r="C374" s="23"/>
      <c r="D374" s="23"/>
      <c r="E374" s="24"/>
      <c r="F374" s="25"/>
      <c r="G374" s="25"/>
      <c r="H374" s="25"/>
      <c r="I374" s="26"/>
      <c r="J374" s="26"/>
      <c r="K374" s="25"/>
      <c r="L374" s="25"/>
      <c r="M374" s="25"/>
      <c r="N374" s="24"/>
      <c r="O374" s="24"/>
      <c r="P374" s="24"/>
      <c r="Q374" s="27" t="str">
        <f>IF(OR(B374="",J374=""),"",IF(SUMPRODUCT((J374&gt;=HolidayStart)*(J374&lt;=HolidayEnd)*(HolidayStart&lt;&gt;""))&gt;0,"Conflict: "&amp;INDEX(HolidayName,SUMPRODUCT((J374&gt;=HolidayStart)*(J374&lt;=HolidayEnd)*(HolidayStart&lt;&gt;"")*ROW(HolidayStart))-ROW(INDEX(HolidayStart,1,1))+1),""))</f>
        <v/>
      </c>
    </row>
    <row r="375" spans="1:17" ht="24" customHeight="1">
      <c r="A375" s="14">
        <v>371</v>
      </c>
      <c r="B375" s="15"/>
      <c r="C375" s="16"/>
      <c r="D375" s="16"/>
      <c r="E375" s="17"/>
      <c r="F375" s="18"/>
      <c r="G375" s="18"/>
      <c r="H375" s="18"/>
      <c r="I375" s="19"/>
      <c r="J375" s="19"/>
      <c r="K375" s="18"/>
      <c r="L375" s="18"/>
      <c r="M375" s="18"/>
      <c r="N375" s="17"/>
      <c r="O375" s="17"/>
      <c r="P375" s="17"/>
      <c r="Q375" s="20" t="str">
        <f>IF(OR(B375="",J375=""),"",IF(SUMPRODUCT((J375&gt;=HolidayStart)*(J375&lt;=HolidayEnd)*(HolidayStart&lt;&gt;""))&gt;0,"Conflict: "&amp;INDEX(HolidayName,SUMPRODUCT((J375&gt;=HolidayStart)*(J375&lt;=HolidayEnd)*(HolidayStart&lt;&gt;"")*ROW(HolidayStart))-ROW(INDEX(HolidayStart,1,1))+1),""))</f>
        <v/>
      </c>
    </row>
    <row r="376" spans="1:17" ht="24" customHeight="1">
      <c r="A376" s="21">
        <v>372</v>
      </c>
      <c r="B376" s="22"/>
      <c r="C376" s="23"/>
      <c r="D376" s="23"/>
      <c r="E376" s="24"/>
      <c r="F376" s="25"/>
      <c r="G376" s="25"/>
      <c r="H376" s="25"/>
      <c r="I376" s="26"/>
      <c r="J376" s="26"/>
      <c r="K376" s="25"/>
      <c r="L376" s="25"/>
      <c r="M376" s="25"/>
      <c r="N376" s="24"/>
      <c r="O376" s="24"/>
      <c r="P376" s="24"/>
      <c r="Q376" s="27" t="str">
        <f>IF(OR(B376="",J376=""),"",IF(SUMPRODUCT((J376&gt;=HolidayStart)*(J376&lt;=HolidayEnd)*(HolidayStart&lt;&gt;""))&gt;0,"Conflict: "&amp;INDEX(HolidayName,SUMPRODUCT((J376&gt;=HolidayStart)*(J376&lt;=HolidayEnd)*(HolidayStart&lt;&gt;"")*ROW(HolidayStart))-ROW(INDEX(HolidayStart,1,1))+1),""))</f>
        <v/>
      </c>
    </row>
    <row r="377" spans="1:17" ht="24" customHeight="1">
      <c r="A377" s="14">
        <v>373</v>
      </c>
      <c r="B377" s="15"/>
      <c r="C377" s="16"/>
      <c r="D377" s="16"/>
      <c r="E377" s="17"/>
      <c r="F377" s="18"/>
      <c r="G377" s="18"/>
      <c r="H377" s="18"/>
      <c r="I377" s="19"/>
      <c r="J377" s="19"/>
      <c r="K377" s="18"/>
      <c r="L377" s="18"/>
      <c r="M377" s="18"/>
      <c r="N377" s="17"/>
      <c r="O377" s="17"/>
      <c r="P377" s="17"/>
      <c r="Q377" s="20" t="str">
        <f>IF(OR(B377="",J377=""),"",IF(SUMPRODUCT((J377&gt;=HolidayStart)*(J377&lt;=HolidayEnd)*(HolidayStart&lt;&gt;""))&gt;0,"Conflict: "&amp;INDEX(HolidayName,SUMPRODUCT((J377&gt;=HolidayStart)*(J377&lt;=HolidayEnd)*(HolidayStart&lt;&gt;"")*ROW(HolidayStart))-ROW(INDEX(HolidayStart,1,1))+1),""))</f>
        <v/>
      </c>
    </row>
    <row r="378" spans="1:17" ht="24" customHeight="1">
      <c r="A378" s="21">
        <v>374</v>
      </c>
      <c r="B378" s="22"/>
      <c r="C378" s="23"/>
      <c r="D378" s="23"/>
      <c r="E378" s="24"/>
      <c r="F378" s="25"/>
      <c r="G378" s="25"/>
      <c r="H378" s="25"/>
      <c r="I378" s="26"/>
      <c r="J378" s="26"/>
      <c r="K378" s="25"/>
      <c r="L378" s="25"/>
      <c r="M378" s="25"/>
      <c r="N378" s="24"/>
      <c r="O378" s="24"/>
      <c r="P378" s="24"/>
      <c r="Q378" s="27" t="str">
        <f>IF(OR(B378="",J378=""),"",IF(SUMPRODUCT((J378&gt;=HolidayStart)*(J378&lt;=HolidayEnd)*(HolidayStart&lt;&gt;""))&gt;0,"Conflict: "&amp;INDEX(HolidayName,SUMPRODUCT((J378&gt;=HolidayStart)*(J378&lt;=HolidayEnd)*(HolidayStart&lt;&gt;"")*ROW(HolidayStart))-ROW(INDEX(HolidayStart,1,1))+1),""))</f>
        <v/>
      </c>
    </row>
    <row r="379" spans="1:17" ht="24" customHeight="1">
      <c r="A379" s="14">
        <v>375</v>
      </c>
      <c r="B379" s="15"/>
      <c r="C379" s="16"/>
      <c r="D379" s="16"/>
      <c r="E379" s="17"/>
      <c r="F379" s="18"/>
      <c r="G379" s="18"/>
      <c r="H379" s="18"/>
      <c r="I379" s="19"/>
      <c r="J379" s="19"/>
      <c r="K379" s="18"/>
      <c r="L379" s="18"/>
      <c r="M379" s="18"/>
      <c r="N379" s="17"/>
      <c r="O379" s="17"/>
      <c r="P379" s="17"/>
      <c r="Q379" s="20" t="str">
        <f>IF(OR(B379="",J379=""),"",IF(SUMPRODUCT((J379&gt;=HolidayStart)*(J379&lt;=HolidayEnd)*(HolidayStart&lt;&gt;""))&gt;0,"Conflict: "&amp;INDEX(HolidayName,SUMPRODUCT((J379&gt;=HolidayStart)*(J379&lt;=HolidayEnd)*(HolidayStart&lt;&gt;"")*ROW(HolidayStart))-ROW(INDEX(HolidayStart,1,1))+1),""))</f>
        <v/>
      </c>
    </row>
    <row r="380" spans="1:17" ht="24" customHeight="1">
      <c r="A380" s="21">
        <v>376</v>
      </c>
      <c r="B380" s="22"/>
      <c r="C380" s="23"/>
      <c r="D380" s="23"/>
      <c r="E380" s="24"/>
      <c r="F380" s="25"/>
      <c r="G380" s="25"/>
      <c r="H380" s="25"/>
      <c r="I380" s="26"/>
      <c r="J380" s="26"/>
      <c r="K380" s="25"/>
      <c r="L380" s="25"/>
      <c r="M380" s="25"/>
      <c r="N380" s="24"/>
      <c r="O380" s="24"/>
      <c r="P380" s="24"/>
      <c r="Q380" s="27" t="str">
        <f>IF(OR(B380="",J380=""),"",IF(SUMPRODUCT((J380&gt;=HolidayStart)*(J380&lt;=HolidayEnd)*(HolidayStart&lt;&gt;""))&gt;0,"Conflict: "&amp;INDEX(HolidayName,SUMPRODUCT((J380&gt;=HolidayStart)*(J380&lt;=HolidayEnd)*(HolidayStart&lt;&gt;"")*ROW(HolidayStart))-ROW(INDEX(HolidayStart,1,1))+1),""))</f>
        <v/>
      </c>
    </row>
    <row r="381" spans="1:17" ht="24" customHeight="1">
      <c r="A381" s="14">
        <v>377</v>
      </c>
      <c r="B381" s="15"/>
      <c r="C381" s="16"/>
      <c r="D381" s="16"/>
      <c r="E381" s="17"/>
      <c r="F381" s="18"/>
      <c r="G381" s="18"/>
      <c r="H381" s="18"/>
      <c r="I381" s="19"/>
      <c r="J381" s="19"/>
      <c r="K381" s="18"/>
      <c r="L381" s="18"/>
      <c r="M381" s="18"/>
      <c r="N381" s="17"/>
      <c r="O381" s="17"/>
      <c r="P381" s="17"/>
      <c r="Q381" s="20" t="str">
        <f>IF(OR(B381="",J381=""),"",IF(SUMPRODUCT((J381&gt;=HolidayStart)*(J381&lt;=HolidayEnd)*(HolidayStart&lt;&gt;""))&gt;0,"Conflict: "&amp;INDEX(HolidayName,SUMPRODUCT((J381&gt;=HolidayStart)*(J381&lt;=HolidayEnd)*(HolidayStart&lt;&gt;"")*ROW(HolidayStart))-ROW(INDEX(HolidayStart,1,1))+1),""))</f>
        <v/>
      </c>
    </row>
    <row r="382" spans="1:17" ht="24" customHeight="1">
      <c r="A382" s="21">
        <v>378</v>
      </c>
      <c r="B382" s="22"/>
      <c r="C382" s="23"/>
      <c r="D382" s="23"/>
      <c r="E382" s="24"/>
      <c r="F382" s="25"/>
      <c r="G382" s="25"/>
      <c r="H382" s="25"/>
      <c r="I382" s="26"/>
      <c r="J382" s="26"/>
      <c r="K382" s="25"/>
      <c r="L382" s="25"/>
      <c r="M382" s="25"/>
      <c r="N382" s="24"/>
      <c r="O382" s="24"/>
      <c r="P382" s="24"/>
      <c r="Q382" s="27" t="str">
        <f>IF(OR(B382="",J382=""),"",IF(SUMPRODUCT((J382&gt;=HolidayStart)*(J382&lt;=HolidayEnd)*(HolidayStart&lt;&gt;""))&gt;0,"Conflict: "&amp;INDEX(HolidayName,SUMPRODUCT((J382&gt;=HolidayStart)*(J382&lt;=HolidayEnd)*(HolidayStart&lt;&gt;"")*ROW(HolidayStart))-ROW(INDEX(HolidayStart,1,1))+1),""))</f>
        <v/>
      </c>
    </row>
    <row r="383" spans="1:17" ht="24" customHeight="1">
      <c r="A383" s="14">
        <v>379</v>
      </c>
      <c r="B383" s="15"/>
      <c r="C383" s="16"/>
      <c r="D383" s="16"/>
      <c r="E383" s="17"/>
      <c r="F383" s="18"/>
      <c r="G383" s="18"/>
      <c r="H383" s="18"/>
      <c r="I383" s="19"/>
      <c r="J383" s="19"/>
      <c r="K383" s="18"/>
      <c r="L383" s="18"/>
      <c r="M383" s="18"/>
      <c r="N383" s="17"/>
      <c r="O383" s="17"/>
      <c r="P383" s="17"/>
      <c r="Q383" s="20" t="str">
        <f>IF(OR(B383="",J383=""),"",IF(SUMPRODUCT((J383&gt;=HolidayStart)*(J383&lt;=HolidayEnd)*(HolidayStart&lt;&gt;""))&gt;0,"Conflict: "&amp;INDEX(HolidayName,SUMPRODUCT((J383&gt;=HolidayStart)*(J383&lt;=HolidayEnd)*(HolidayStart&lt;&gt;"")*ROW(HolidayStart))-ROW(INDEX(HolidayStart,1,1))+1),""))</f>
        <v/>
      </c>
    </row>
    <row r="384" spans="1:17" ht="24" customHeight="1">
      <c r="A384" s="21">
        <v>380</v>
      </c>
      <c r="B384" s="22"/>
      <c r="C384" s="23"/>
      <c r="D384" s="23"/>
      <c r="E384" s="24"/>
      <c r="F384" s="25"/>
      <c r="G384" s="25"/>
      <c r="H384" s="25"/>
      <c r="I384" s="26"/>
      <c r="J384" s="26"/>
      <c r="K384" s="25"/>
      <c r="L384" s="25"/>
      <c r="M384" s="25"/>
      <c r="N384" s="24"/>
      <c r="O384" s="24"/>
      <c r="P384" s="24"/>
      <c r="Q384" s="27" t="str">
        <f>IF(OR(B384="",J384=""),"",IF(SUMPRODUCT((J384&gt;=HolidayStart)*(J384&lt;=HolidayEnd)*(HolidayStart&lt;&gt;""))&gt;0,"Conflict: "&amp;INDEX(HolidayName,SUMPRODUCT((J384&gt;=HolidayStart)*(J384&lt;=HolidayEnd)*(HolidayStart&lt;&gt;"")*ROW(HolidayStart))-ROW(INDEX(HolidayStart,1,1))+1),""))</f>
        <v/>
      </c>
    </row>
    <row r="385" spans="1:17" ht="24" customHeight="1">
      <c r="A385" s="14">
        <v>381</v>
      </c>
      <c r="B385" s="15"/>
      <c r="C385" s="16"/>
      <c r="D385" s="16"/>
      <c r="E385" s="17"/>
      <c r="F385" s="18"/>
      <c r="G385" s="18"/>
      <c r="H385" s="18"/>
      <c r="I385" s="19"/>
      <c r="J385" s="19"/>
      <c r="K385" s="18"/>
      <c r="L385" s="18"/>
      <c r="M385" s="18"/>
      <c r="N385" s="17"/>
      <c r="O385" s="17"/>
      <c r="P385" s="17"/>
      <c r="Q385" s="20" t="str">
        <f>IF(OR(B385="",J385=""),"",IF(SUMPRODUCT((J385&gt;=HolidayStart)*(J385&lt;=HolidayEnd)*(HolidayStart&lt;&gt;""))&gt;0,"Conflict: "&amp;INDEX(HolidayName,SUMPRODUCT((J385&gt;=HolidayStart)*(J385&lt;=HolidayEnd)*(HolidayStart&lt;&gt;"")*ROW(HolidayStart))-ROW(INDEX(HolidayStart,1,1))+1),""))</f>
        <v/>
      </c>
    </row>
    <row r="386" spans="1:17" ht="24" customHeight="1">
      <c r="A386" s="21">
        <v>382</v>
      </c>
      <c r="B386" s="22"/>
      <c r="C386" s="23"/>
      <c r="D386" s="23"/>
      <c r="E386" s="24"/>
      <c r="F386" s="25"/>
      <c r="G386" s="25"/>
      <c r="H386" s="25"/>
      <c r="I386" s="26"/>
      <c r="J386" s="26"/>
      <c r="K386" s="25"/>
      <c r="L386" s="25"/>
      <c r="M386" s="25"/>
      <c r="N386" s="24"/>
      <c r="O386" s="24"/>
      <c r="P386" s="24"/>
      <c r="Q386" s="27" t="str">
        <f>IF(OR(B386="",J386=""),"",IF(SUMPRODUCT((J386&gt;=HolidayStart)*(J386&lt;=HolidayEnd)*(HolidayStart&lt;&gt;""))&gt;0,"Conflict: "&amp;INDEX(HolidayName,SUMPRODUCT((J386&gt;=HolidayStart)*(J386&lt;=HolidayEnd)*(HolidayStart&lt;&gt;"")*ROW(HolidayStart))-ROW(INDEX(HolidayStart,1,1))+1),""))</f>
        <v/>
      </c>
    </row>
    <row r="387" spans="1:17" ht="24" customHeight="1">
      <c r="A387" s="14">
        <v>383</v>
      </c>
      <c r="B387" s="15"/>
      <c r="C387" s="16"/>
      <c r="D387" s="16"/>
      <c r="E387" s="17"/>
      <c r="F387" s="18"/>
      <c r="G387" s="18"/>
      <c r="H387" s="18"/>
      <c r="I387" s="19"/>
      <c r="J387" s="19"/>
      <c r="K387" s="18"/>
      <c r="L387" s="18"/>
      <c r="M387" s="18"/>
      <c r="N387" s="17"/>
      <c r="O387" s="17"/>
      <c r="P387" s="17"/>
      <c r="Q387" s="20" t="str">
        <f>IF(OR(B387="",J387=""),"",IF(SUMPRODUCT((J387&gt;=HolidayStart)*(J387&lt;=HolidayEnd)*(HolidayStart&lt;&gt;""))&gt;0,"Conflict: "&amp;INDEX(HolidayName,SUMPRODUCT((J387&gt;=HolidayStart)*(J387&lt;=HolidayEnd)*(HolidayStart&lt;&gt;"")*ROW(HolidayStart))-ROW(INDEX(HolidayStart,1,1))+1),""))</f>
        <v/>
      </c>
    </row>
    <row r="388" spans="1:17" ht="24" customHeight="1">
      <c r="A388" s="21">
        <v>384</v>
      </c>
      <c r="B388" s="22"/>
      <c r="C388" s="23"/>
      <c r="D388" s="23"/>
      <c r="E388" s="24"/>
      <c r="F388" s="25"/>
      <c r="G388" s="25"/>
      <c r="H388" s="25"/>
      <c r="I388" s="26"/>
      <c r="J388" s="26"/>
      <c r="K388" s="25"/>
      <c r="L388" s="25"/>
      <c r="M388" s="25"/>
      <c r="N388" s="24"/>
      <c r="O388" s="24"/>
      <c r="P388" s="24"/>
      <c r="Q388" s="27" t="str">
        <f>IF(OR(B388="",J388=""),"",IF(SUMPRODUCT((J388&gt;=HolidayStart)*(J388&lt;=HolidayEnd)*(HolidayStart&lt;&gt;""))&gt;0,"Conflict: "&amp;INDEX(HolidayName,SUMPRODUCT((J388&gt;=HolidayStart)*(J388&lt;=HolidayEnd)*(HolidayStart&lt;&gt;"")*ROW(HolidayStart))-ROW(INDEX(HolidayStart,1,1))+1),""))</f>
        <v/>
      </c>
    </row>
    <row r="389" spans="1:17" ht="24" customHeight="1">
      <c r="A389" s="14">
        <v>385</v>
      </c>
      <c r="B389" s="15"/>
      <c r="C389" s="16"/>
      <c r="D389" s="16"/>
      <c r="E389" s="17"/>
      <c r="F389" s="18"/>
      <c r="G389" s="18"/>
      <c r="H389" s="18"/>
      <c r="I389" s="19"/>
      <c r="J389" s="19"/>
      <c r="K389" s="18"/>
      <c r="L389" s="18"/>
      <c r="M389" s="18"/>
      <c r="N389" s="17"/>
      <c r="O389" s="17"/>
      <c r="P389" s="17"/>
      <c r="Q389" s="20" t="str">
        <f>IF(OR(B389="",J389=""),"",IF(SUMPRODUCT((J389&gt;=HolidayStart)*(J389&lt;=HolidayEnd)*(HolidayStart&lt;&gt;""))&gt;0,"Conflict: "&amp;INDEX(HolidayName,SUMPRODUCT((J389&gt;=HolidayStart)*(J389&lt;=HolidayEnd)*(HolidayStart&lt;&gt;"")*ROW(HolidayStart))-ROW(INDEX(HolidayStart,1,1))+1),""))</f>
        <v/>
      </c>
    </row>
    <row r="390" spans="1:17" ht="24" customHeight="1">
      <c r="A390" s="21">
        <v>386</v>
      </c>
      <c r="B390" s="22"/>
      <c r="C390" s="23"/>
      <c r="D390" s="23"/>
      <c r="E390" s="24"/>
      <c r="F390" s="25"/>
      <c r="G390" s="25"/>
      <c r="H390" s="25"/>
      <c r="I390" s="26"/>
      <c r="J390" s="26"/>
      <c r="K390" s="25"/>
      <c r="L390" s="25"/>
      <c r="M390" s="25"/>
      <c r="N390" s="24"/>
      <c r="O390" s="24"/>
      <c r="P390" s="24"/>
      <c r="Q390" s="27" t="str">
        <f>IF(OR(B390="",J390=""),"",IF(SUMPRODUCT((J390&gt;=HolidayStart)*(J390&lt;=HolidayEnd)*(HolidayStart&lt;&gt;""))&gt;0,"Conflict: "&amp;INDEX(HolidayName,SUMPRODUCT((J390&gt;=HolidayStart)*(J390&lt;=HolidayEnd)*(HolidayStart&lt;&gt;"")*ROW(HolidayStart))-ROW(INDEX(HolidayStart,1,1))+1),""))</f>
        <v/>
      </c>
    </row>
    <row r="391" spans="1:17" ht="24" customHeight="1">
      <c r="A391" s="14">
        <v>387</v>
      </c>
      <c r="B391" s="15"/>
      <c r="C391" s="16"/>
      <c r="D391" s="16"/>
      <c r="E391" s="17"/>
      <c r="F391" s="18"/>
      <c r="G391" s="18"/>
      <c r="H391" s="18"/>
      <c r="I391" s="19"/>
      <c r="J391" s="19"/>
      <c r="K391" s="18"/>
      <c r="L391" s="18"/>
      <c r="M391" s="18"/>
      <c r="N391" s="17"/>
      <c r="O391" s="17"/>
      <c r="P391" s="17"/>
      <c r="Q391" s="20" t="str">
        <f>IF(OR(B391="",J391=""),"",IF(SUMPRODUCT((J391&gt;=HolidayStart)*(J391&lt;=HolidayEnd)*(HolidayStart&lt;&gt;""))&gt;0,"Conflict: "&amp;INDEX(HolidayName,SUMPRODUCT((J391&gt;=HolidayStart)*(J391&lt;=HolidayEnd)*(HolidayStart&lt;&gt;"")*ROW(HolidayStart))-ROW(INDEX(HolidayStart,1,1))+1),""))</f>
        <v/>
      </c>
    </row>
    <row r="392" spans="1:17" ht="24" customHeight="1">
      <c r="A392" s="21">
        <v>388</v>
      </c>
      <c r="B392" s="22"/>
      <c r="C392" s="23"/>
      <c r="D392" s="23"/>
      <c r="E392" s="24"/>
      <c r="F392" s="25"/>
      <c r="G392" s="25"/>
      <c r="H392" s="25"/>
      <c r="I392" s="26"/>
      <c r="J392" s="26"/>
      <c r="K392" s="25"/>
      <c r="L392" s="25"/>
      <c r="M392" s="25"/>
      <c r="N392" s="24"/>
      <c r="O392" s="24"/>
      <c r="P392" s="24"/>
      <c r="Q392" s="27" t="str">
        <f>IF(OR(B392="",J392=""),"",IF(SUMPRODUCT((J392&gt;=HolidayStart)*(J392&lt;=HolidayEnd)*(HolidayStart&lt;&gt;""))&gt;0,"Conflict: "&amp;INDEX(HolidayName,SUMPRODUCT((J392&gt;=HolidayStart)*(J392&lt;=HolidayEnd)*(HolidayStart&lt;&gt;"")*ROW(HolidayStart))-ROW(INDEX(HolidayStart,1,1))+1),""))</f>
        <v/>
      </c>
    </row>
    <row r="393" spans="1:17" ht="24" customHeight="1">
      <c r="A393" s="14">
        <v>389</v>
      </c>
      <c r="B393" s="15"/>
      <c r="C393" s="16"/>
      <c r="D393" s="16"/>
      <c r="E393" s="17"/>
      <c r="F393" s="18"/>
      <c r="G393" s="18"/>
      <c r="H393" s="18"/>
      <c r="I393" s="19"/>
      <c r="J393" s="19"/>
      <c r="K393" s="18"/>
      <c r="L393" s="18"/>
      <c r="M393" s="18"/>
      <c r="N393" s="17"/>
      <c r="O393" s="17"/>
      <c r="P393" s="17"/>
      <c r="Q393" s="20" t="str">
        <f>IF(OR(B393="",J393=""),"",IF(SUMPRODUCT((J393&gt;=HolidayStart)*(J393&lt;=HolidayEnd)*(HolidayStart&lt;&gt;""))&gt;0,"Conflict: "&amp;INDEX(HolidayName,SUMPRODUCT((J393&gt;=HolidayStart)*(J393&lt;=HolidayEnd)*(HolidayStart&lt;&gt;"")*ROW(HolidayStart))-ROW(INDEX(HolidayStart,1,1))+1),""))</f>
        <v/>
      </c>
    </row>
    <row r="394" spans="1:17" ht="24" customHeight="1">
      <c r="A394" s="21">
        <v>390</v>
      </c>
      <c r="B394" s="22"/>
      <c r="C394" s="23"/>
      <c r="D394" s="23"/>
      <c r="E394" s="24"/>
      <c r="F394" s="25"/>
      <c r="G394" s="25"/>
      <c r="H394" s="25"/>
      <c r="I394" s="26"/>
      <c r="J394" s="26"/>
      <c r="K394" s="25"/>
      <c r="L394" s="25"/>
      <c r="M394" s="25"/>
      <c r="N394" s="24"/>
      <c r="O394" s="24"/>
      <c r="P394" s="24"/>
      <c r="Q394" s="27" t="str">
        <f>IF(OR(B394="",J394=""),"",IF(SUMPRODUCT((J394&gt;=HolidayStart)*(J394&lt;=HolidayEnd)*(HolidayStart&lt;&gt;""))&gt;0,"Conflict: "&amp;INDEX(HolidayName,SUMPRODUCT((J394&gt;=HolidayStart)*(J394&lt;=HolidayEnd)*(HolidayStart&lt;&gt;"")*ROW(HolidayStart))-ROW(INDEX(HolidayStart,1,1))+1),""))</f>
        <v/>
      </c>
    </row>
    <row r="395" spans="1:17" ht="24" customHeight="1">
      <c r="A395" s="14">
        <v>391</v>
      </c>
      <c r="B395" s="15"/>
      <c r="C395" s="16"/>
      <c r="D395" s="16"/>
      <c r="E395" s="17"/>
      <c r="F395" s="18"/>
      <c r="G395" s="18"/>
      <c r="H395" s="18"/>
      <c r="I395" s="19"/>
      <c r="J395" s="19"/>
      <c r="K395" s="18"/>
      <c r="L395" s="18"/>
      <c r="M395" s="18"/>
      <c r="N395" s="17"/>
      <c r="O395" s="17"/>
      <c r="P395" s="17"/>
      <c r="Q395" s="20" t="str">
        <f>IF(OR(B395="",J395=""),"",IF(SUMPRODUCT((J395&gt;=HolidayStart)*(J395&lt;=HolidayEnd)*(HolidayStart&lt;&gt;""))&gt;0,"Conflict: "&amp;INDEX(HolidayName,SUMPRODUCT((J395&gt;=HolidayStart)*(J395&lt;=HolidayEnd)*(HolidayStart&lt;&gt;"")*ROW(HolidayStart))-ROW(INDEX(HolidayStart,1,1))+1),""))</f>
        <v/>
      </c>
    </row>
    <row r="396" spans="1:17" ht="24" customHeight="1">
      <c r="A396" s="21">
        <v>392</v>
      </c>
      <c r="B396" s="22"/>
      <c r="C396" s="23"/>
      <c r="D396" s="23"/>
      <c r="E396" s="24"/>
      <c r="F396" s="25"/>
      <c r="G396" s="25"/>
      <c r="H396" s="25"/>
      <c r="I396" s="26"/>
      <c r="J396" s="26"/>
      <c r="K396" s="25"/>
      <c r="L396" s="25"/>
      <c r="M396" s="25"/>
      <c r="N396" s="24"/>
      <c r="O396" s="24"/>
      <c r="P396" s="24"/>
      <c r="Q396" s="27" t="str">
        <f>IF(OR(B396="",J396=""),"",IF(SUMPRODUCT((J396&gt;=HolidayStart)*(J396&lt;=HolidayEnd)*(HolidayStart&lt;&gt;""))&gt;0,"Conflict: "&amp;INDEX(HolidayName,SUMPRODUCT((J396&gt;=HolidayStart)*(J396&lt;=HolidayEnd)*(HolidayStart&lt;&gt;"")*ROW(HolidayStart))-ROW(INDEX(HolidayStart,1,1))+1),""))</f>
        <v/>
      </c>
    </row>
    <row r="397" spans="1:17" ht="24" customHeight="1">
      <c r="A397" s="14">
        <v>393</v>
      </c>
      <c r="B397" s="15"/>
      <c r="C397" s="16"/>
      <c r="D397" s="16"/>
      <c r="E397" s="17"/>
      <c r="F397" s="18"/>
      <c r="G397" s="18"/>
      <c r="H397" s="18"/>
      <c r="I397" s="19"/>
      <c r="J397" s="19"/>
      <c r="K397" s="18"/>
      <c r="L397" s="18"/>
      <c r="M397" s="18"/>
      <c r="N397" s="17"/>
      <c r="O397" s="17"/>
      <c r="P397" s="17"/>
      <c r="Q397" s="20" t="str">
        <f>IF(OR(B397="",J397=""),"",IF(SUMPRODUCT((J397&gt;=HolidayStart)*(J397&lt;=HolidayEnd)*(HolidayStart&lt;&gt;""))&gt;0,"Conflict: "&amp;INDEX(HolidayName,SUMPRODUCT((J397&gt;=HolidayStart)*(J397&lt;=HolidayEnd)*(HolidayStart&lt;&gt;"")*ROW(HolidayStart))-ROW(INDEX(HolidayStart,1,1))+1),""))</f>
        <v/>
      </c>
    </row>
    <row r="398" spans="1:17" ht="24" customHeight="1">
      <c r="A398" s="21">
        <v>394</v>
      </c>
      <c r="B398" s="22"/>
      <c r="C398" s="23"/>
      <c r="D398" s="23"/>
      <c r="E398" s="24"/>
      <c r="F398" s="25"/>
      <c r="G398" s="25"/>
      <c r="H398" s="25"/>
      <c r="I398" s="26"/>
      <c r="J398" s="26"/>
      <c r="K398" s="25"/>
      <c r="L398" s="25"/>
      <c r="M398" s="25"/>
      <c r="N398" s="24"/>
      <c r="O398" s="24"/>
      <c r="P398" s="24"/>
      <c r="Q398" s="27" t="str">
        <f>IF(OR(B398="",J398=""),"",IF(SUMPRODUCT((J398&gt;=HolidayStart)*(J398&lt;=HolidayEnd)*(HolidayStart&lt;&gt;""))&gt;0,"Conflict: "&amp;INDEX(HolidayName,SUMPRODUCT((J398&gt;=HolidayStart)*(J398&lt;=HolidayEnd)*(HolidayStart&lt;&gt;"")*ROW(HolidayStart))-ROW(INDEX(HolidayStart,1,1))+1),""))</f>
        <v/>
      </c>
    </row>
    <row r="399" spans="1:17" ht="24" customHeight="1">
      <c r="A399" s="14">
        <v>395</v>
      </c>
      <c r="B399" s="15"/>
      <c r="C399" s="16"/>
      <c r="D399" s="16"/>
      <c r="E399" s="17"/>
      <c r="F399" s="18"/>
      <c r="G399" s="18"/>
      <c r="H399" s="18"/>
      <c r="I399" s="19"/>
      <c r="J399" s="19"/>
      <c r="K399" s="18"/>
      <c r="L399" s="18"/>
      <c r="M399" s="18"/>
      <c r="N399" s="17"/>
      <c r="O399" s="17"/>
      <c r="P399" s="17"/>
      <c r="Q399" s="20" t="str">
        <f>IF(OR(B399="",J399=""),"",IF(SUMPRODUCT((J399&gt;=HolidayStart)*(J399&lt;=HolidayEnd)*(HolidayStart&lt;&gt;""))&gt;0,"Conflict: "&amp;INDEX(HolidayName,SUMPRODUCT((J399&gt;=HolidayStart)*(J399&lt;=HolidayEnd)*(HolidayStart&lt;&gt;"")*ROW(HolidayStart))-ROW(INDEX(HolidayStart,1,1))+1),""))</f>
        <v/>
      </c>
    </row>
    <row r="400" spans="1:17" ht="24" customHeight="1">
      <c r="A400" s="21">
        <v>396</v>
      </c>
      <c r="B400" s="22"/>
      <c r="C400" s="23"/>
      <c r="D400" s="23"/>
      <c r="E400" s="24"/>
      <c r="F400" s="25"/>
      <c r="G400" s="25"/>
      <c r="H400" s="25"/>
      <c r="I400" s="26"/>
      <c r="J400" s="26"/>
      <c r="K400" s="25"/>
      <c r="L400" s="25"/>
      <c r="M400" s="25"/>
      <c r="N400" s="24"/>
      <c r="O400" s="24"/>
      <c r="P400" s="24"/>
      <c r="Q400" s="27" t="str">
        <f>IF(OR(B400="",J400=""),"",IF(SUMPRODUCT((J400&gt;=HolidayStart)*(J400&lt;=HolidayEnd)*(HolidayStart&lt;&gt;""))&gt;0,"Conflict: "&amp;INDEX(HolidayName,SUMPRODUCT((J400&gt;=HolidayStart)*(J400&lt;=HolidayEnd)*(HolidayStart&lt;&gt;"")*ROW(HolidayStart))-ROW(INDEX(HolidayStart,1,1))+1),""))</f>
        <v/>
      </c>
    </row>
    <row r="401" spans="1:17" ht="24" customHeight="1">
      <c r="A401" s="14">
        <v>397</v>
      </c>
      <c r="B401" s="15"/>
      <c r="C401" s="16"/>
      <c r="D401" s="16"/>
      <c r="E401" s="17"/>
      <c r="F401" s="18"/>
      <c r="G401" s="18"/>
      <c r="H401" s="18"/>
      <c r="I401" s="19"/>
      <c r="J401" s="19"/>
      <c r="K401" s="18"/>
      <c r="L401" s="18"/>
      <c r="M401" s="18"/>
      <c r="N401" s="17"/>
      <c r="O401" s="17"/>
      <c r="P401" s="17"/>
      <c r="Q401" s="20" t="str">
        <f>IF(OR(B401="",J401=""),"",IF(SUMPRODUCT((J401&gt;=HolidayStart)*(J401&lt;=HolidayEnd)*(HolidayStart&lt;&gt;""))&gt;0,"Conflict: "&amp;INDEX(HolidayName,SUMPRODUCT((J401&gt;=HolidayStart)*(J401&lt;=HolidayEnd)*(HolidayStart&lt;&gt;"")*ROW(HolidayStart))-ROW(INDEX(HolidayStart,1,1))+1),""))</f>
        <v/>
      </c>
    </row>
    <row r="402" spans="1:17" ht="24" customHeight="1">
      <c r="A402" s="21">
        <v>398</v>
      </c>
      <c r="B402" s="22"/>
      <c r="C402" s="23"/>
      <c r="D402" s="23"/>
      <c r="E402" s="24"/>
      <c r="F402" s="25"/>
      <c r="G402" s="25"/>
      <c r="H402" s="25"/>
      <c r="I402" s="26"/>
      <c r="J402" s="26"/>
      <c r="K402" s="25"/>
      <c r="L402" s="25"/>
      <c r="M402" s="25"/>
      <c r="N402" s="24"/>
      <c r="O402" s="24"/>
      <c r="P402" s="24"/>
      <c r="Q402" s="27" t="str">
        <f>IF(OR(B402="",J402=""),"",IF(SUMPRODUCT((J402&gt;=HolidayStart)*(J402&lt;=HolidayEnd)*(HolidayStart&lt;&gt;""))&gt;0,"Conflict: "&amp;INDEX(HolidayName,SUMPRODUCT((J402&gt;=HolidayStart)*(J402&lt;=HolidayEnd)*(HolidayStart&lt;&gt;"")*ROW(HolidayStart))-ROW(INDEX(HolidayStart,1,1))+1),""))</f>
        <v/>
      </c>
    </row>
    <row r="403" spans="1:17" ht="24" customHeight="1">
      <c r="A403" s="14">
        <v>399</v>
      </c>
      <c r="B403" s="15"/>
      <c r="C403" s="16"/>
      <c r="D403" s="16"/>
      <c r="E403" s="17"/>
      <c r="F403" s="18"/>
      <c r="G403" s="18"/>
      <c r="H403" s="18"/>
      <c r="I403" s="19"/>
      <c r="J403" s="19"/>
      <c r="K403" s="18"/>
      <c r="L403" s="18"/>
      <c r="M403" s="18"/>
      <c r="N403" s="17"/>
      <c r="O403" s="17"/>
      <c r="P403" s="17"/>
      <c r="Q403" s="20" t="str">
        <f>IF(OR(B403="",J403=""),"",IF(SUMPRODUCT((J403&gt;=HolidayStart)*(J403&lt;=HolidayEnd)*(HolidayStart&lt;&gt;""))&gt;0,"Conflict: "&amp;INDEX(HolidayName,SUMPRODUCT((J403&gt;=HolidayStart)*(J403&lt;=HolidayEnd)*(HolidayStart&lt;&gt;"")*ROW(HolidayStart))-ROW(INDEX(HolidayStart,1,1))+1),""))</f>
        <v/>
      </c>
    </row>
    <row r="404" spans="1:17" ht="24" customHeight="1">
      <c r="A404" s="21">
        <v>400</v>
      </c>
      <c r="B404" s="22"/>
      <c r="C404" s="23"/>
      <c r="D404" s="23"/>
      <c r="E404" s="24"/>
      <c r="F404" s="25"/>
      <c r="G404" s="25"/>
      <c r="H404" s="25"/>
      <c r="I404" s="26"/>
      <c r="J404" s="26"/>
      <c r="K404" s="25"/>
      <c r="L404" s="25"/>
      <c r="M404" s="25"/>
      <c r="N404" s="24"/>
      <c r="O404" s="24"/>
      <c r="P404" s="24"/>
      <c r="Q404" s="27" t="str">
        <f>IF(OR(B404="",J404=""),"",IF(SUMPRODUCT((J404&gt;=HolidayStart)*(J404&lt;=HolidayEnd)*(HolidayStart&lt;&gt;""))&gt;0,"Conflict: "&amp;INDEX(HolidayName,SUMPRODUCT((J404&gt;=HolidayStart)*(J404&lt;=HolidayEnd)*(HolidayStart&lt;&gt;"")*ROW(HolidayStart))-ROW(INDEX(HolidayStart,1,1))+1),""))</f>
        <v/>
      </c>
    </row>
    <row r="405" spans="1:17" ht="24" customHeight="1">
      <c r="A405" s="14">
        <v>401</v>
      </c>
      <c r="B405" s="15"/>
      <c r="C405" s="16"/>
      <c r="D405" s="16"/>
      <c r="E405" s="17"/>
      <c r="F405" s="18"/>
      <c r="G405" s="18"/>
      <c r="H405" s="18"/>
      <c r="I405" s="19"/>
      <c r="J405" s="19"/>
      <c r="K405" s="18"/>
      <c r="L405" s="18"/>
      <c r="M405" s="18"/>
      <c r="N405" s="17"/>
      <c r="O405" s="17"/>
      <c r="P405" s="17"/>
      <c r="Q405" s="20" t="str">
        <f>IF(OR(B405="",J405=""),"",IF(SUMPRODUCT((J405&gt;=HolidayStart)*(J405&lt;=HolidayEnd)*(HolidayStart&lt;&gt;""))&gt;0,"Conflict: "&amp;INDEX(HolidayName,SUMPRODUCT((J405&gt;=HolidayStart)*(J405&lt;=HolidayEnd)*(HolidayStart&lt;&gt;"")*ROW(HolidayStart))-ROW(INDEX(HolidayStart,1,1))+1),""))</f>
        <v/>
      </c>
    </row>
    <row r="406" spans="1:17" ht="24" customHeight="1">
      <c r="A406" s="21">
        <v>402</v>
      </c>
      <c r="B406" s="22"/>
      <c r="C406" s="23"/>
      <c r="D406" s="23"/>
      <c r="E406" s="24"/>
      <c r="F406" s="25"/>
      <c r="G406" s="25"/>
      <c r="H406" s="25"/>
      <c r="I406" s="26"/>
      <c r="J406" s="26"/>
      <c r="K406" s="25"/>
      <c r="L406" s="25"/>
      <c r="M406" s="25"/>
      <c r="N406" s="24"/>
      <c r="O406" s="24"/>
      <c r="P406" s="24"/>
      <c r="Q406" s="27" t="str">
        <f>IF(OR(B406="",J406=""),"",IF(SUMPRODUCT((J406&gt;=HolidayStart)*(J406&lt;=HolidayEnd)*(HolidayStart&lt;&gt;""))&gt;0,"Conflict: "&amp;INDEX(HolidayName,SUMPRODUCT((J406&gt;=HolidayStart)*(J406&lt;=HolidayEnd)*(HolidayStart&lt;&gt;"")*ROW(HolidayStart))-ROW(INDEX(HolidayStart,1,1))+1),""))</f>
        <v/>
      </c>
    </row>
    <row r="407" spans="1:17" ht="24" customHeight="1">
      <c r="A407" s="14">
        <v>403</v>
      </c>
      <c r="B407" s="15"/>
      <c r="C407" s="16"/>
      <c r="D407" s="16"/>
      <c r="E407" s="17"/>
      <c r="F407" s="18"/>
      <c r="G407" s="18"/>
      <c r="H407" s="18"/>
      <c r="I407" s="19"/>
      <c r="J407" s="19"/>
      <c r="K407" s="18"/>
      <c r="L407" s="18"/>
      <c r="M407" s="18"/>
      <c r="N407" s="17"/>
      <c r="O407" s="17"/>
      <c r="P407" s="17"/>
      <c r="Q407" s="20" t="str">
        <f>IF(OR(B407="",J407=""),"",IF(SUMPRODUCT((J407&gt;=HolidayStart)*(J407&lt;=HolidayEnd)*(HolidayStart&lt;&gt;""))&gt;0,"Conflict: "&amp;INDEX(HolidayName,SUMPRODUCT((J407&gt;=HolidayStart)*(J407&lt;=HolidayEnd)*(HolidayStart&lt;&gt;"")*ROW(HolidayStart))-ROW(INDEX(HolidayStart,1,1))+1),""))</f>
        <v/>
      </c>
    </row>
    <row r="408" spans="1:17" ht="24" customHeight="1">
      <c r="A408" s="21">
        <v>404</v>
      </c>
      <c r="B408" s="22"/>
      <c r="C408" s="23"/>
      <c r="D408" s="23"/>
      <c r="E408" s="24"/>
      <c r="F408" s="25"/>
      <c r="G408" s="25"/>
      <c r="H408" s="25"/>
      <c r="I408" s="26"/>
      <c r="J408" s="26"/>
      <c r="K408" s="25"/>
      <c r="L408" s="25"/>
      <c r="M408" s="25"/>
      <c r="N408" s="24"/>
      <c r="O408" s="24"/>
      <c r="P408" s="24"/>
      <c r="Q408" s="27" t="str">
        <f>IF(OR(B408="",J408=""),"",IF(SUMPRODUCT((J408&gt;=HolidayStart)*(J408&lt;=HolidayEnd)*(HolidayStart&lt;&gt;""))&gt;0,"Conflict: "&amp;INDEX(HolidayName,SUMPRODUCT((J408&gt;=HolidayStart)*(J408&lt;=HolidayEnd)*(HolidayStart&lt;&gt;"")*ROW(HolidayStart))-ROW(INDEX(HolidayStart,1,1))+1),""))</f>
        <v/>
      </c>
    </row>
    <row r="409" spans="1:17" ht="24" customHeight="1">
      <c r="A409" s="14">
        <v>405</v>
      </c>
      <c r="B409" s="15"/>
      <c r="C409" s="16"/>
      <c r="D409" s="16"/>
      <c r="E409" s="17"/>
      <c r="F409" s="18"/>
      <c r="G409" s="18"/>
      <c r="H409" s="18"/>
      <c r="I409" s="19"/>
      <c r="J409" s="19"/>
      <c r="K409" s="18"/>
      <c r="L409" s="18"/>
      <c r="M409" s="18"/>
      <c r="N409" s="17"/>
      <c r="O409" s="17"/>
      <c r="P409" s="17"/>
      <c r="Q409" s="20" t="str">
        <f>IF(OR(B409="",J409=""),"",IF(SUMPRODUCT((J409&gt;=HolidayStart)*(J409&lt;=HolidayEnd)*(HolidayStart&lt;&gt;""))&gt;0,"Conflict: "&amp;INDEX(HolidayName,SUMPRODUCT((J409&gt;=HolidayStart)*(J409&lt;=HolidayEnd)*(HolidayStart&lt;&gt;"")*ROW(HolidayStart))-ROW(INDEX(HolidayStart,1,1))+1),""))</f>
        <v/>
      </c>
    </row>
    <row r="410" spans="1:17" ht="24" customHeight="1">
      <c r="A410" s="21">
        <v>406</v>
      </c>
      <c r="B410" s="22"/>
      <c r="C410" s="23"/>
      <c r="D410" s="23"/>
      <c r="E410" s="24"/>
      <c r="F410" s="25"/>
      <c r="G410" s="25"/>
      <c r="H410" s="25"/>
      <c r="I410" s="26"/>
      <c r="J410" s="26"/>
      <c r="K410" s="25"/>
      <c r="L410" s="25"/>
      <c r="M410" s="25"/>
      <c r="N410" s="24"/>
      <c r="O410" s="24"/>
      <c r="P410" s="24"/>
      <c r="Q410" s="27" t="str">
        <f>IF(OR(B410="",J410=""),"",IF(SUMPRODUCT((J410&gt;=HolidayStart)*(J410&lt;=HolidayEnd)*(HolidayStart&lt;&gt;""))&gt;0,"Conflict: "&amp;INDEX(HolidayName,SUMPRODUCT((J410&gt;=HolidayStart)*(J410&lt;=HolidayEnd)*(HolidayStart&lt;&gt;"")*ROW(HolidayStart))-ROW(INDEX(HolidayStart,1,1))+1),""))</f>
        <v/>
      </c>
    </row>
    <row r="411" spans="1:17" ht="24" customHeight="1">
      <c r="A411" s="14">
        <v>407</v>
      </c>
      <c r="B411" s="15"/>
      <c r="C411" s="16"/>
      <c r="D411" s="16"/>
      <c r="E411" s="17"/>
      <c r="F411" s="18"/>
      <c r="G411" s="18"/>
      <c r="H411" s="18"/>
      <c r="I411" s="19"/>
      <c r="J411" s="19"/>
      <c r="K411" s="18"/>
      <c r="L411" s="18"/>
      <c r="M411" s="18"/>
      <c r="N411" s="17"/>
      <c r="O411" s="17"/>
      <c r="P411" s="17"/>
      <c r="Q411" s="20" t="str">
        <f>IF(OR(B411="",J411=""),"",IF(SUMPRODUCT((J411&gt;=HolidayStart)*(J411&lt;=HolidayEnd)*(HolidayStart&lt;&gt;""))&gt;0,"Conflict: "&amp;INDEX(HolidayName,SUMPRODUCT((J411&gt;=HolidayStart)*(J411&lt;=HolidayEnd)*(HolidayStart&lt;&gt;"")*ROW(HolidayStart))-ROW(INDEX(HolidayStart,1,1))+1),""))</f>
        <v/>
      </c>
    </row>
    <row r="412" spans="1:17" ht="24" customHeight="1">
      <c r="A412" s="21">
        <v>408</v>
      </c>
      <c r="B412" s="22"/>
      <c r="C412" s="23"/>
      <c r="D412" s="23"/>
      <c r="E412" s="24"/>
      <c r="F412" s="25"/>
      <c r="G412" s="25"/>
      <c r="H412" s="25"/>
      <c r="I412" s="26"/>
      <c r="J412" s="26"/>
      <c r="K412" s="25"/>
      <c r="L412" s="25"/>
      <c r="M412" s="25"/>
      <c r="N412" s="24"/>
      <c r="O412" s="24"/>
      <c r="P412" s="24"/>
      <c r="Q412" s="27" t="str">
        <f>IF(OR(B412="",J412=""),"",IF(SUMPRODUCT((J412&gt;=HolidayStart)*(J412&lt;=HolidayEnd)*(HolidayStart&lt;&gt;""))&gt;0,"Conflict: "&amp;INDEX(HolidayName,SUMPRODUCT((J412&gt;=HolidayStart)*(J412&lt;=HolidayEnd)*(HolidayStart&lt;&gt;"")*ROW(HolidayStart))-ROW(INDEX(HolidayStart,1,1))+1),""))</f>
        <v/>
      </c>
    </row>
    <row r="413" spans="1:17" ht="24" customHeight="1">
      <c r="A413" s="14">
        <v>409</v>
      </c>
      <c r="B413" s="15"/>
      <c r="C413" s="16"/>
      <c r="D413" s="16"/>
      <c r="E413" s="17"/>
      <c r="F413" s="18"/>
      <c r="G413" s="18"/>
      <c r="H413" s="18"/>
      <c r="I413" s="19"/>
      <c r="J413" s="19"/>
      <c r="K413" s="18"/>
      <c r="L413" s="18"/>
      <c r="M413" s="18"/>
      <c r="N413" s="17"/>
      <c r="O413" s="17"/>
      <c r="P413" s="17"/>
      <c r="Q413" s="20" t="str">
        <f>IF(OR(B413="",J413=""),"",IF(SUMPRODUCT((J413&gt;=HolidayStart)*(J413&lt;=HolidayEnd)*(HolidayStart&lt;&gt;""))&gt;0,"Conflict: "&amp;INDEX(HolidayName,SUMPRODUCT((J413&gt;=HolidayStart)*(J413&lt;=HolidayEnd)*(HolidayStart&lt;&gt;"")*ROW(HolidayStart))-ROW(INDEX(HolidayStart,1,1))+1),""))</f>
        <v/>
      </c>
    </row>
    <row r="414" spans="1:17" ht="24" customHeight="1">
      <c r="A414" s="21">
        <v>410</v>
      </c>
      <c r="B414" s="22"/>
      <c r="C414" s="23"/>
      <c r="D414" s="23"/>
      <c r="E414" s="24"/>
      <c r="F414" s="25"/>
      <c r="G414" s="25"/>
      <c r="H414" s="25"/>
      <c r="I414" s="26"/>
      <c r="J414" s="26"/>
      <c r="K414" s="25"/>
      <c r="L414" s="25"/>
      <c r="M414" s="25"/>
      <c r="N414" s="24"/>
      <c r="O414" s="24"/>
      <c r="P414" s="24"/>
      <c r="Q414" s="27" t="str">
        <f>IF(OR(B414="",J414=""),"",IF(SUMPRODUCT((J414&gt;=HolidayStart)*(J414&lt;=HolidayEnd)*(HolidayStart&lt;&gt;""))&gt;0,"Conflict: "&amp;INDEX(HolidayName,SUMPRODUCT((J414&gt;=HolidayStart)*(J414&lt;=HolidayEnd)*(HolidayStart&lt;&gt;"")*ROW(HolidayStart))-ROW(INDEX(HolidayStart,1,1))+1),""))</f>
        <v/>
      </c>
    </row>
    <row r="415" spans="1:17" ht="24" customHeight="1">
      <c r="A415" s="14">
        <v>411</v>
      </c>
      <c r="B415" s="15"/>
      <c r="C415" s="16"/>
      <c r="D415" s="16"/>
      <c r="E415" s="17"/>
      <c r="F415" s="18"/>
      <c r="G415" s="18"/>
      <c r="H415" s="18"/>
      <c r="I415" s="19"/>
      <c r="J415" s="19"/>
      <c r="K415" s="18"/>
      <c r="L415" s="18"/>
      <c r="M415" s="18"/>
      <c r="N415" s="17"/>
      <c r="O415" s="17"/>
      <c r="P415" s="17"/>
      <c r="Q415" s="20" t="str">
        <f>IF(OR(B415="",J415=""),"",IF(SUMPRODUCT((J415&gt;=HolidayStart)*(J415&lt;=HolidayEnd)*(HolidayStart&lt;&gt;""))&gt;0,"Conflict: "&amp;INDEX(HolidayName,SUMPRODUCT((J415&gt;=HolidayStart)*(J415&lt;=HolidayEnd)*(HolidayStart&lt;&gt;"")*ROW(HolidayStart))-ROW(INDEX(HolidayStart,1,1))+1),""))</f>
        <v/>
      </c>
    </row>
    <row r="416" spans="1:17" ht="24" customHeight="1">
      <c r="A416" s="21">
        <v>412</v>
      </c>
      <c r="B416" s="22"/>
      <c r="C416" s="23"/>
      <c r="D416" s="23"/>
      <c r="E416" s="24"/>
      <c r="F416" s="25"/>
      <c r="G416" s="25"/>
      <c r="H416" s="25"/>
      <c r="I416" s="26"/>
      <c r="J416" s="26"/>
      <c r="K416" s="25"/>
      <c r="L416" s="25"/>
      <c r="M416" s="25"/>
      <c r="N416" s="24"/>
      <c r="O416" s="24"/>
      <c r="P416" s="24"/>
      <c r="Q416" s="27" t="str">
        <f>IF(OR(B416="",J416=""),"",IF(SUMPRODUCT((J416&gt;=HolidayStart)*(J416&lt;=HolidayEnd)*(HolidayStart&lt;&gt;""))&gt;0,"Conflict: "&amp;INDEX(HolidayName,SUMPRODUCT((J416&gt;=HolidayStart)*(J416&lt;=HolidayEnd)*(HolidayStart&lt;&gt;"")*ROW(HolidayStart))-ROW(INDEX(HolidayStart,1,1))+1),""))</f>
        <v/>
      </c>
    </row>
    <row r="417" spans="1:17" ht="24" customHeight="1">
      <c r="A417" s="14">
        <v>413</v>
      </c>
      <c r="B417" s="15"/>
      <c r="C417" s="16"/>
      <c r="D417" s="16"/>
      <c r="E417" s="17"/>
      <c r="F417" s="18"/>
      <c r="G417" s="18"/>
      <c r="H417" s="18"/>
      <c r="I417" s="19"/>
      <c r="J417" s="19"/>
      <c r="K417" s="18"/>
      <c r="L417" s="18"/>
      <c r="M417" s="18"/>
      <c r="N417" s="17"/>
      <c r="O417" s="17"/>
      <c r="P417" s="17"/>
      <c r="Q417" s="20" t="str">
        <f>IF(OR(B417="",J417=""),"",IF(SUMPRODUCT((J417&gt;=HolidayStart)*(J417&lt;=HolidayEnd)*(HolidayStart&lt;&gt;""))&gt;0,"Conflict: "&amp;INDEX(HolidayName,SUMPRODUCT((J417&gt;=HolidayStart)*(J417&lt;=HolidayEnd)*(HolidayStart&lt;&gt;"")*ROW(HolidayStart))-ROW(INDEX(HolidayStart,1,1))+1),""))</f>
        <v/>
      </c>
    </row>
    <row r="418" spans="1:17" ht="24" customHeight="1">
      <c r="A418" s="21">
        <v>414</v>
      </c>
      <c r="B418" s="22"/>
      <c r="C418" s="23"/>
      <c r="D418" s="23"/>
      <c r="E418" s="24"/>
      <c r="F418" s="25"/>
      <c r="G418" s="25"/>
      <c r="H418" s="25"/>
      <c r="I418" s="26"/>
      <c r="J418" s="26"/>
      <c r="K418" s="25"/>
      <c r="L418" s="25"/>
      <c r="M418" s="25"/>
      <c r="N418" s="24"/>
      <c r="O418" s="24"/>
      <c r="P418" s="24"/>
      <c r="Q418" s="27" t="str">
        <f>IF(OR(B418="",J418=""),"",IF(SUMPRODUCT((J418&gt;=HolidayStart)*(J418&lt;=HolidayEnd)*(HolidayStart&lt;&gt;""))&gt;0,"Conflict: "&amp;INDEX(HolidayName,SUMPRODUCT((J418&gt;=HolidayStart)*(J418&lt;=HolidayEnd)*(HolidayStart&lt;&gt;"")*ROW(HolidayStart))-ROW(INDEX(HolidayStart,1,1))+1),""))</f>
        <v/>
      </c>
    </row>
    <row r="419" spans="1:17" ht="24" customHeight="1">
      <c r="A419" s="14">
        <v>415</v>
      </c>
      <c r="B419" s="15"/>
      <c r="C419" s="16"/>
      <c r="D419" s="16"/>
      <c r="E419" s="17"/>
      <c r="F419" s="18"/>
      <c r="G419" s="18"/>
      <c r="H419" s="18"/>
      <c r="I419" s="19"/>
      <c r="J419" s="19"/>
      <c r="K419" s="18"/>
      <c r="L419" s="18"/>
      <c r="M419" s="18"/>
      <c r="N419" s="17"/>
      <c r="O419" s="17"/>
      <c r="P419" s="17"/>
      <c r="Q419" s="20" t="str">
        <f>IF(OR(B419="",J419=""),"",IF(SUMPRODUCT((J419&gt;=HolidayStart)*(J419&lt;=HolidayEnd)*(HolidayStart&lt;&gt;""))&gt;0,"Conflict: "&amp;INDEX(HolidayName,SUMPRODUCT((J419&gt;=HolidayStart)*(J419&lt;=HolidayEnd)*(HolidayStart&lt;&gt;"")*ROW(HolidayStart))-ROW(INDEX(HolidayStart,1,1))+1),""))</f>
        <v/>
      </c>
    </row>
    <row r="420" spans="1:17" ht="24" customHeight="1">
      <c r="A420" s="21">
        <v>416</v>
      </c>
      <c r="B420" s="22"/>
      <c r="C420" s="23"/>
      <c r="D420" s="23"/>
      <c r="E420" s="24"/>
      <c r="F420" s="25"/>
      <c r="G420" s="25"/>
      <c r="H420" s="25"/>
      <c r="I420" s="26"/>
      <c r="J420" s="26"/>
      <c r="K420" s="25"/>
      <c r="L420" s="25"/>
      <c r="M420" s="25"/>
      <c r="N420" s="24"/>
      <c r="O420" s="24"/>
      <c r="P420" s="24"/>
      <c r="Q420" s="27" t="str">
        <f>IF(OR(B420="",J420=""),"",IF(SUMPRODUCT((J420&gt;=HolidayStart)*(J420&lt;=HolidayEnd)*(HolidayStart&lt;&gt;""))&gt;0,"Conflict: "&amp;INDEX(HolidayName,SUMPRODUCT((J420&gt;=HolidayStart)*(J420&lt;=HolidayEnd)*(HolidayStart&lt;&gt;"")*ROW(HolidayStart))-ROW(INDEX(HolidayStart,1,1))+1),""))</f>
        <v/>
      </c>
    </row>
    <row r="421" spans="1:17" ht="24" customHeight="1">
      <c r="A421" s="14">
        <v>417</v>
      </c>
      <c r="B421" s="15"/>
      <c r="C421" s="16"/>
      <c r="D421" s="16"/>
      <c r="E421" s="17"/>
      <c r="F421" s="18"/>
      <c r="G421" s="18"/>
      <c r="H421" s="18"/>
      <c r="I421" s="19"/>
      <c r="J421" s="19"/>
      <c r="K421" s="18"/>
      <c r="L421" s="18"/>
      <c r="M421" s="18"/>
      <c r="N421" s="17"/>
      <c r="O421" s="17"/>
      <c r="P421" s="17"/>
      <c r="Q421" s="20" t="str">
        <f>IF(OR(B421="",J421=""),"",IF(SUMPRODUCT((J421&gt;=HolidayStart)*(J421&lt;=HolidayEnd)*(HolidayStart&lt;&gt;""))&gt;0,"Conflict: "&amp;INDEX(HolidayName,SUMPRODUCT((J421&gt;=HolidayStart)*(J421&lt;=HolidayEnd)*(HolidayStart&lt;&gt;"")*ROW(HolidayStart))-ROW(INDEX(HolidayStart,1,1))+1),""))</f>
        <v/>
      </c>
    </row>
    <row r="422" spans="1:17" ht="24" customHeight="1">
      <c r="A422" s="21">
        <v>418</v>
      </c>
      <c r="B422" s="22"/>
      <c r="C422" s="23"/>
      <c r="D422" s="23"/>
      <c r="E422" s="24"/>
      <c r="F422" s="25"/>
      <c r="G422" s="25"/>
      <c r="H422" s="25"/>
      <c r="I422" s="26"/>
      <c r="J422" s="26"/>
      <c r="K422" s="25"/>
      <c r="L422" s="25"/>
      <c r="M422" s="25"/>
      <c r="N422" s="24"/>
      <c r="O422" s="24"/>
      <c r="P422" s="24"/>
      <c r="Q422" s="27" t="str">
        <f>IF(OR(B422="",J422=""),"",IF(SUMPRODUCT((J422&gt;=HolidayStart)*(J422&lt;=HolidayEnd)*(HolidayStart&lt;&gt;""))&gt;0,"Conflict: "&amp;INDEX(HolidayName,SUMPRODUCT((J422&gt;=HolidayStart)*(J422&lt;=HolidayEnd)*(HolidayStart&lt;&gt;"")*ROW(HolidayStart))-ROW(INDEX(HolidayStart,1,1))+1),""))</f>
        <v/>
      </c>
    </row>
    <row r="423" spans="1:17" ht="24" customHeight="1">
      <c r="A423" s="14">
        <v>419</v>
      </c>
      <c r="B423" s="15"/>
      <c r="C423" s="16"/>
      <c r="D423" s="16"/>
      <c r="E423" s="17"/>
      <c r="F423" s="18"/>
      <c r="G423" s="18"/>
      <c r="H423" s="18"/>
      <c r="I423" s="19"/>
      <c r="J423" s="19"/>
      <c r="K423" s="18"/>
      <c r="L423" s="18"/>
      <c r="M423" s="18"/>
      <c r="N423" s="17"/>
      <c r="O423" s="17"/>
      <c r="P423" s="17"/>
      <c r="Q423" s="20" t="str">
        <f>IF(OR(B423="",J423=""),"",IF(SUMPRODUCT((J423&gt;=HolidayStart)*(J423&lt;=HolidayEnd)*(HolidayStart&lt;&gt;""))&gt;0,"Conflict: "&amp;INDEX(HolidayName,SUMPRODUCT((J423&gt;=HolidayStart)*(J423&lt;=HolidayEnd)*(HolidayStart&lt;&gt;"")*ROW(HolidayStart))-ROW(INDEX(HolidayStart,1,1))+1),""))</f>
        <v/>
      </c>
    </row>
    <row r="424" spans="1:17" ht="24" customHeight="1">
      <c r="A424" s="21">
        <v>420</v>
      </c>
      <c r="B424" s="22"/>
      <c r="C424" s="23"/>
      <c r="D424" s="23"/>
      <c r="E424" s="24"/>
      <c r="F424" s="25"/>
      <c r="G424" s="25"/>
      <c r="H424" s="25"/>
      <c r="I424" s="26"/>
      <c r="J424" s="26"/>
      <c r="K424" s="25"/>
      <c r="L424" s="25"/>
      <c r="M424" s="25"/>
      <c r="N424" s="24"/>
      <c r="O424" s="24"/>
      <c r="P424" s="24"/>
      <c r="Q424" s="27" t="str">
        <f>IF(OR(B424="",J424=""),"",IF(SUMPRODUCT((J424&gt;=HolidayStart)*(J424&lt;=HolidayEnd)*(HolidayStart&lt;&gt;""))&gt;0,"Conflict: "&amp;INDEX(HolidayName,SUMPRODUCT((J424&gt;=HolidayStart)*(J424&lt;=HolidayEnd)*(HolidayStart&lt;&gt;"")*ROW(HolidayStart))-ROW(INDEX(HolidayStart,1,1))+1),""))</f>
        <v/>
      </c>
    </row>
    <row r="425" spans="1:17" ht="24" customHeight="1">
      <c r="A425" s="14">
        <v>421</v>
      </c>
      <c r="B425" s="15"/>
      <c r="C425" s="16"/>
      <c r="D425" s="16"/>
      <c r="E425" s="17"/>
      <c r="F425" s="18"/>
      <c r="G425" s="18"/>
      <c r="H425" s="18"/>
      <c r="I425" s="19"/>
      <c r="J425" s="19"/>
      <c r="K425" s="18"/>
      <c r="L425" s="18"/>
      <c r="M425" s="18"/>
      <c r="N425" s="17"/>
      <c r="O425" s="17"/>
      <c r="P425" s="17"/>
      <c r="Q425" s="20" t="str">
        <f>IF(OR(B425="",J425=""),"",IF(SUMPRODUCT((J425&gt;=HolidayStart)*(J425&lt;=HolidayEnd)*(HolidayStart&lt;&gt;""))&gt;0,"Conflict: "&amp;INDEX(HolidayName,SUMPRODUCT((J425&gt;=HolidayStart)*(J425&lt;=HolidayEnd)*(HolidayStart&lt;&gt;"")*ROW(HolidayStart))-ROW(INDEX(HolidayStart,1,1))+1),""))</f>
        <v/>
      </c>
    </row>
    <row r="426" spans="1:17" ht="24" customHeight="1">
      <c r="A426" s="21">
        <v>422</v>
      </c>
      <c r="B426" s="22"/>
      <c r="C426" s="23"/>
      <c r="D426" s="23"/>
      <c r="E426" s="24"/>
      <c r="F426" s="25"/>
      <c r="G426" s="25"/>
      <c r="H426" s="25"/>
      <c r="I426" s="26"/>
      <c r="J426" s="26"/>
      <c r="K426" s="25"/>
      <c r="L426" s="25"/>
      <c r="M426" s="25"/>
      <c r="N426" s="24"/>
      <c r="O426" s="24"/>
      <c r="P426" s="24"/>
      <c r="Q426" s="27" t="str">
        <f>IF(OR(B426="",J426=""),"",IF(SUMPRODUCT((J426&gt;=HolidayStart)*(J426&lt;=HolidayEnd)*(HolidayStart&lt;&gt;""))&gt;0,"Conflict: "&amp;INDEX(HolidayName,SUMPRODUCT((J426&gt;=HolidayStart)*(J426&lt;=HolidayEnd)*(HolidayStart&lt;&gt;"")*ROW(HolidayStart))-ROW(INDEX(HolidayStart,1,1))+1),""))</f>
        <v/>
      </c>
    </row>
    <row r="427" spans="1:17" ht="24" customHeight="1">
      <c r="A427" s="14">
        <v>423</v>
      </c>
      <c r="B427" s="15"/>
      <c r="C427" s="16"/>
      <c r="D427" s="16"/>
      <c r="E427" s="17"/>
      <c r="F427" s="18"/>
      <c r="G427" s="18"/>
      <c r="H427" s="18"/>
      <c r="I427" s="19"/>
      <c r="J427" s="19"/>
      <c r="K427" s="18"/>
      <c r="L427" s="18"/>
      <c r="M427" s="18"/>
      <c r="N427" s="17"/>
      <c r="O427" s="17"/>
      <c r="P427" s="17"/>
      <c r="Q427" s="20" t="str">
        <f>IF(OR(B427="",J427=""),"",IF(SUMPRODUCT((J427&gt;=HolidayStart)*(J427&lt;=HolidayEnd)*(HolidayStart&lt;&gt;""))&gt;0,"Conflict: "&amp;INDEX(HolidayName,SUMPRODUCT((J427&gt;=HolidayStart)*(J427&lt;=HolidayEnd)*(HolidayStart&lt;&gt;"")*ROW(HolidayStart))-ROW(INDEX(HolidayStart,1,1))+1),""))</f>
        <v/>
      </c>
    </row>
    <row r="428" spans="1:17" ht="24" customHeight="1">
      <c r="A428" s="21">
        <v>424</v>
      </c>
      <c r="B428" s="22"/>
      <c r="C428" s="23"/>
      <c r="D428" s="23"/>
      <c r="E428" s="24"/>
      <c r="F428" s="25"/>
      <c r="G428" s="25"/>
      <c r="H428" s="25"/>
      <c r="I428" s="26"/>
      <c r="J428" s="26"/>
      <c r="K428" s="25"/>
      <c r="L428" s="25"/>
      <c r="M428" s="25"/>
      <c r="N428" s="24"/>
      <c r="O428" s="24"/>
      <c r="P428" s="24"/>
      <c r="Q428" s="27" t="str">
        <f>IF(OR(B428="",J428=""),"",IF(SUMPRODUCT((J428&gt;=HolidayStart)*(J428&lt;=HolidayEnd)*(HolidayStart&lt;&gt;""))&gt;0,"Conflict: "&amp;INDEX(HolidayName,SUMPRODUCT((J428&gt;=HolidayStart)*(J428&lt;=HolidayEnd)*(HolidayStart&lt;&gt;"")*ROW(HolidayStart))-ROW(INDEX(HolidayStart,1,1))+1),""))</f>
        <v/>
      </c>
    </row>
    <row r="429" spans="1:17" ht="24" customHeight="1">
      <c r="A429" s="14">
        <v>425</v>
      </c>
      <c r="B429" s="15"/>
      <c r="C429" s="16"/>
      <c r="D429" s="16"/>
      <c r="E429" s="17"/>
      <c r="F429" s="18"/>
      <c r="G429" s="18"/>
      <c r="H429" s="18"/>
      <c r="I429" s="19"/>
      <c r="J429" s="19"/>
      <c r="K429" s="18"/>
      <c r="L429" s="18"/>
      <c r="M429" s="18"/>
      <c r="N429" s="17"/>
      <c r="O429" s="17"/>
      <c r="P429" s="17"/>
      <c r="Q429" s="20" t="str">
        <f>IF(OR(B429="",J429=""),"",IF(SUMPRODUCT((J429&gt;=HolidayStart)*(J429&lt;=HolidayEnd)*(HolidayStart&lt;&gt;""))&gt;0,"Conflict: "&amp;INDEX(HolidayName,SUMPRODUCT((J429&gt;=HolidayStart)*(J429&lt;=HolidayEnd)*(HolidayStart&lt;&gt;"")*ROW(HolidayStart))-ROW(INDEX(HolidayStart,1,1))+1),""))</f>
        <v/>
      </c>
    </row>
    <row r="430" spans="1:17" ht="24" customHeight="1">
      <c r="A430" s="21">
        <v>426</v>
      </c>
      <c r="B430" s="22"/>
      <c r="C430" s="23"/>
      <c r="D430" s="23"/>
      <c r="E430" s="24"/>
      <c r="F430" s="25"/>
      <c r="G430" s="25"/>
      <c r="H430" s="25"/>
      <c r="I430" s="26"/>
      <c r="J430" s="26"/>
      <c r="K430" s="25"/>
      <c r="L430" s="25"/>
      <c r="M430" s="25"/>
      <c r="N430" s="24"/>
      <c r="O430" s="24"/>
      <c r="P430" s="24"/>
      <c r="Q430" s="27" t="str">
        <f>IF(OR(B430="",J430=""),"",IF(SUMPRODUCT((J430&gt;=HolidayStart)*(J430&lt;=HolidayEnd)*(HolidayStart&lt;&gt;""))&gt;0,"Conflict: "&amp;INDEX(HolidayName,SUMPRODUCT((J430&gt;=HolidayStart)*(J430&lt;=HolidayEnd)*(HolidayStart&lt;&gt;"")*ROW(HolidayStart))-ROW(INDEX(HolidayStart,1,1))+1),""))</f>
        <v/>
      </c>
    </row>
    <row r="431" spans="1:17" ht="24" customHeight="1">
      <c r="A431" s="14">
        <v>427</v>
      </c>
      <c r="B431" s="15"/>
      <c r="C431" s="16"/>
      <c r="D431" s="16"/>
      <c r="E431" s="17"/>
      <c r="F431" s="18"/>
      <c r="G431" s="18"/>
      <c r="H431" s="18"/>
      <c r="I431" s="19"/>
      <c r="J431" s="19"/>
      <c r="K431" s="18"/>
      <c r="L431" s="18"/>
      <c r="M431" s="18"/>
      <c r="N431" s="17"/>
      <c r="O431" s="17"/>
      <c r="P431" s="17"/>
      <c r="Q431" s="20" t="str">
        <f>IF(OR(B431="",J431=""),"",IF(SUMPRODUCT((J431&gt;=HolidayStart)*(J431&lt;=HolidayEnd)*(HolidayStart&lt;&gt;""))&gt;0,"Conflict: "&amp;INDEX(HolidayName,SUMPRODUCT((J431&gt;=HolidayStart)*(J431&lt;=HolidayEnd)*(HolidayStart&lt;&gt;"")*ROW(HolidayStart))-ROW(INDEX(HolidayStart,1,1))+1),""))</f>
        <v/>
      </c>
    </row>
    <row r="432" spans="1:17" ht="24" customHeight="1">
      <c r="A432" s="21">
        <v>428</v>
      </c>
      <c r="B432" s="22"/>
      <c r="C432" s="23"/>
      <c r="D432" s="23"/>
      <c r="E432" s="24"/>
      <c r="F432" s="25"/>
      <c r="G432" s="25"/>
      <c r="H432" s="25"/>
      <c r="I432" s="26"/>
      <c r="J432" s="26"/>
      <c r="K432" s="25"/>
      <c r="L432" s="25"/>
      <c r="M432" s="25"/>
      <c r="N432" s="24"/>
      <c r="O432" s="24"/>
      <c r="P432" s="24"/>
      <c r="Q432" s="27" t="str">
        <f>IF(OR(B432="",J432=""),"",IF(SUMPRODUCT((J432&gt;=HolidayStart)*(J432&lt;=HolidayEnd)*(HolidayStart&lt;&gt;""))&gt;0,"Conflict: "&amp;INDEX(HolidayName,SUMPRODUCT((J432&gt;=HolidayStart)*(J432&lt;=HolidayEnd)*(HolidayStart&lt;&gt;"")*ROW(HolidayStart))-ROW(INDEX(HolidayStart,1,1))+1),""))</f>
        <v/>
      </c>
    </row>
    <row r="433" spans="1:17" ht="24" customHeight="1">
      <c r="A433" s="14">
        <v>429</v>
      </c>
      <c r="B433" s="15"/>
      <c r="C433" s="16"/>
      <c r="D433" s="16"/>
      <c r="E433" s="17"/>
      <c r="F433" s="18"/>
      <c r="G433" s="18"/>
      <c r="H433" s="18"/>
      <c r="I433" s="19"/>
      <c r="J433" s="19"/>
      <c r="K433" s="18"/>
      <c r="L433" s="18"/>
      <c r="M433" s="18"/>
      <c r="N433" s="17"/>
      <c r="O433" s="17"/>
      <c r="P433" s="17"/>
      <c r="Q433" s="20" t="str">
        <f>IF(OR(B433="",J433=""),"",IF(SUMPRODUCT((J433&gt;=HolidayStart)*(J433&lt;=HolidayEnd)*(HolidayStart&lt;&gt;""))&gt;0,"Conflict: "&amp;INDEX(HolidayName,SUMPRODUCT((J433&gt;=HolidayStart)*(J433&lt;=HolidayEnd)*(HolidayStart&lt;&gt;"")*ROW(HolidayStart))-ROW(INDEX(HolidayStart,1,1))+1),""))</f>
        <v/>
      </c>
    </row>
    <row r="434" spans="1:17" ht="24" customHeight="1">
      <c r="A434" s="21">
        <v>430</v>
      </c>
      <c r="B434" s="22"/>
      <c r="C434" s="23"/>
      <c r="D434" s="23"/>
      <c r="E434" s="24"/>
      <c r="F434" s="25"/>
      <c r="G434" s="25"/>
      <c r="H434" s="25"/>
      <c r="I434" s="26"/>
      <c r="J434" s="26"/>
      <c r="K434" s="25"/>
      <c r="L434" s="25"/>
      <c r="M434" s="25"/>
      <c r="N434" s="24"/>
      <c r="O434" s="24"/>
      <c r="P434" s="24"/>
      <c r="Q434" s="27" t="str">
        <f>IF(OR(B434="",J434=""),"",IF(SUMPRODUCT((J434&gt;=HolidayStart)*(J434&lt;=HolidayEnd)*(HolidayStart&lt;&gt;""))&gt;0,"Conflict: "&amp;INDEX(HolidayName,SUMPRODUCT((J434&gt;=HolidayStart)*(J434&lt;=HolidayEnd)*(HolidayStart&lt;&gt;"")*ROW(HolidayStart))-ROW(INDEX(HolidayStart,1,1))+1),""))</f>
        <v/>
      </c>
    </row>
    <row r="435" spans="1:17" ht="24" customHeight="1">
      <c r="A435" s="14">
        <v>431</v>
      </c>
      <c r="B435" s="15"/>
      <c r="C435" s="16"/>
      <c r="D435" s="16"/>
      <c r="E435" s="17"/>
      <c r="F435" s="18"/>
      <c r="G435" s="18"/>
      <c r="H435" s="18"/>
      <c r="I435" s="19"/>
      <c r="J435" s="19"/>
      <c r="K435" s="18"/>
      <c r="L435" s="18"/>
      <c r="M435" s="18"/>
      <c r="N435" s="17"/>
      <c r="O435" s="17"/>
      <c r="P435" s="17"/>
      <c r="Q435" s="20" t="str">
        <f>IF(OR(B435="",J435=""),"",IF(SUMPRODUCT((J435&gt;=HolidayStart)*(J435&lt;=HolidayEnd)*(HolidayStart&lt;&gt;""))&gt;0,"Conflict: "&amp;INDEX(HolidayName,SUMPRODUCT((J435&gt;=HolidayStart)*(J435&lt;=HolidayEnd)*(HolidayStart&lt;&gt;"")*ROW(HolidayStart))-ROW(INDEX(HolidayStart,1,1))+1),""))</f>
        <v/>
      </c>
    </row>
    <row r="436" spans="1:17" ht="24" customHeight="1">
      <c r="A436" s="21">
        <v>432</v>
      </c>
      <c r="B436" s="22"/>
      <c r="C436" s="23"/>
      <c r="D436" s="23"/>
      <c r="E436" s="24"/>
      <c r="F436" s="25"/>
      <c r="G436" s="25"/>
      <c r="H436" s="25"/>
      <c r="I436" s="26"/>
      <c r="J436" s="26"/>
      <c r="K436" s="25"/>
      <c r="L436" s="25"/>
      <c r="M436" s="25"/>
      <c r="N436" s="24"/>
      <c r="O436" s="24"/>
      <c r="P436" s="24"/>
      <c r="Q436" s="27" t="str">
        <f>IF(OR(B436="",J436=""),"",IF(SUMPRODUCT((J436&gt;=HolidayStart)*(J436&lt;=HolidayEnd)*(HolidayStart&lt;&gt;""))&gt;0,"Conflict: "&amp;INDEX(HolidayName,SUMPRODUCT((J436&gt;=HolidayStart)*(J436&lt;=HolidayEnd)*(HolidayStart&lt;&gt;"")*ROW(HolidayStart))-ROW(INDEX(HolidayStart,1,1))+1),""))</f>
        <v/>
      </c>
    </row>
    <row r="437" spans="1:17" ht="24" customHeight="1">
      <c r="A437" s="14">
        <v>433</v>
      </c>
      <c r="B437" s="15"/>
      <c r="C437" s="16"/>
      <c r="D437" s="16"/>
      <c r="E437" s="17"/>
      <c r="F437" s="18"/>
      <c r="G437" s="18"/>
      <c r="H437" s="18"/>
      <c r="I437" s="19"/>
      <c r="J437" s="19"/>
      <c r="K437" s="18"/>
      <c r="L437" s="18"/>
      <c r="M437" s="18"/>
      <c r="N437" s="17"/>
      <c r="O437" s="17"/>
      <c r="P437" s="17"/>
      <c r="Q437" s="20" t="str">
        <f>IF(OR(B437="",J437=""),"",IF(SUMPRODUCT((J437&gt;=HolidayStart)*(J437&lt;=HolidayEnd)*(HolidayStart&lt;&gt;""))&gt;0,"Conflict: "&amp;INDEX(HolidayName,SUMPRODUCT((J437&gt;=HolidayStart)*(J437&lt;=HolidayEnd)*(HolidayStart&lt;&gt;"")*ROW(HolidayStart))-ROW(INDEX(HolidayStart,1,1))+1),""))</f>
        <v/>
      </c>
    </row>
    <row r="438" spans="1:17" ht="24" customHeight="1">
      <c r="A438" s="21">
        <v>434</v>
      </c>
      <c r="B438" s="22"/>
      <c r="C438" s="23"/>
      <c r="D438" s="23"/>
      <c r="E438" s="24"/>
      <c r="F438" s="25"/>
      <c r="G438" s="25"/>
      <c r="H438" s="25"/>
      <c r="I438" s="26"/>
      <c r="J438" s="26"/>
      <c r="K438" s="25"/>
      <c r="L438" s="25"/>
      <c r="M438" s="25"/>
      <c r="N438" s="24"/>
      <c r="O438" s="24"/>
      <c r="P438" s="24"/>
      <c r="Q438" s="27" t="str">
        <f>IF(OR(B438="",J438=""),"",IF(SUMPRODUCT((J438&gt;=HolidayStart)*(J438&lt;=HolidayEnd)*(HolidayStart&lt;&gt;""))&gt;0,"Conflict: "&amp;INDEX(HolidayName,SUMPRODUCT((J438&gt;=HolidayStart)*(J438&lt;=HolidayEnd)*(HolidayStart&lt;&gt;"")*ROW(HolidayStart))-ROW(INDEX(HolidayStart,1,1))+1),""))</f>
        <v/>
      </c>
    </row>
    <row r="439" spans="1:17" ht="24" customHeight="1">
      <c r="A439" s="14">
        <v>435</v>
      </c>
      <c r="B439" s="15"/>
      <c r="C439" s="16"/>
      <c r="D439" s="16"/>
      <c r="E439" s="17"/>
      <c r="F439" s="18"/>
      <c r="G439" s="18"/>
      <c r="H439" s="18"/>
      <c r="I439" s="19"/>
      <c r="J439" s="19"/>
      <c r="K439" s="18"/>
      <c r="L439" s="18"/>
      <c r="M439" s="18"/>
      <c r="N439" s="17"/>
      <c r="O439" s="17"/>
      <c r="P439" s="17"/>
      <c r="Q439" s="20" t="str">
        <f>IF(OR(B439="",J439=""),"",IF(SUMPRODUCT((J439&gt;=HolidayStart)*(J439&lt;=HolidayEnd)*(HolidayStart&lt;&gt;""))&gt;0,"Conflict: "&amp;INDEX(HolidayName,SUMPRODUCT((J439&gt;=HolidayStart)*(J439&lt;=HolidayEnd)*(HolidayStart&lt;&gt;"")*ROW(HolidayStart))-ROW(INDEX(HolidayStart,1,1))+1),""))</f>
        <v/>
      </c>
    </row>
    <row r="440" spans="1:17" ht="24" customHeight="1">
      <c r="A440" s="21">
        <v>436</v>
      </c>
      <c r="B440" s="22"/>
      <c r="C440" s="23"/>
      <c r="D440" s="23"/>
      <c r="E440" s="24"/>
      <c r="F440" s="25"/>
      <c r="G440" s="25"/>
      <c r="H440" s="25"/>
      <c r="I440" s="26"/>
      <c r="J440" s="26"/>
      <c r="K440" s="25"/>
      <c r="L440" s="25"/>
      <c r="M440" s="25"/>
      <c r="N440" s="24"/>
      <c r="O440" s="24"/>
      <c r="P440" s="24"/>
      <c r="Q440" s="27" t="str">
        <f>IF(OR(B440="",J440=""),"",IF(SUMPRODUCT((J440&gt;=HolidayStart)*(J440&lt;=HolidayEnd)*(HolidayStart&lt;&gt;""))&gt;0,"Conflict: "&amp;INDEX(HolidayName,SUMPRODUCT((J440&gt;=HolidayStart)*(J440&lt;=HolidayEnd)*(HolidayStart&lt;&gt;"")*ROW(HolidayStart))-ROW(INDEX(HolidayStart,1,1))+1),""))</f>
        <v/>
      </c>
    </row>
    <row r="441" spans="1:17" ht="24" customHeight="1">
      <c r="A441" s="14">
        <v>437</v>
      </c>
      <c r="B441" s="15"/>
      <c r="C441" s="16"/>
      <c r="D441" s="16"/>
      <c r="E441" s="17"/>
      <c r="F441" s="18"/>
      <c r="G441" s="18"/>
      <c r="H441" s="18"/>
      <c r="I441" s="19"/>
      <c r="J441" s="19"/>
      <c r="K441" s="18"/>
      <c r="L441" s="18"/>
      <c r="M441" s="18"/>
      <c r="N441" s="17"/>
      <c r="O441" s="17"/>
      <c r="P441" s="17"/>
      <c r="Q441" s="20" t="str">
        <f>IF(OR(B441="",J441=""),"",IF(SUMPRODUCT((J441&gt;=HolidayStart)*(J441&lt;=HolidayEnd)*(HolidayStart&lt;&gt;""))&gt;0,"Conflict: "&amp;INDEX(HolidayName,SUMPRODUCT((J441&gt;=HolidayStart)*(J441&lt;=HolidayEnd)*(HolidayStart&lt;&gt;"")*ROW(HolidayStart))-ROW(INDEX(HolidayStart,1,1))+1),""))</f>
        <v/>
      </c>
    </row>
    <row r="442" spans="1:17" ht="24" customHeight="1">
      <c r="A442" s="21">
        <v>438</v>
      </c>
      <c r="B442" s="22"/>
      <c r="C442" s="23"/>
      <c r="D442" s="23"/>
      <c r="E442" s="24"/>
      <c r="F442" s="25"/>
      <c r="G442" s="25"/>
      <c r="H442" s="25"/>
      <c r="I442" s="26"/>
      <c r="J442" s="26"/>
      <c r="K442" s="25"/>
      <c r="L442" s="25"/>
      <c r="M442" s="25"/>
      <c r="N442" s="24"/>
      <c r="O442" s="24"/>
      <c r="P442" s="24"/>
      <c r="Q442" s="27" t="str">
        <f>IF(OR(B442="",J442=""),"",IF(SUMPRODUCT((J442&gt;=HolidayStart)*(J442&lt;=HolidayEnd)*(HolidayStart&lt;&gt;""))&gt;0,"Conflict: "&amp;INDEX(HolidayName,SUMPRODUCT((J442&gt;=HolidayStart)*(J442&lt;=HolidayEnd)*(HolidayStart&lt;&gt;"")*ROW(HolidayStart))-ROW(INDEX(HolidayStart,1,1))+1),""))</f>
        <v/>
      </c>
    </row>
    <row r="443" spans="1:17" ht="24" customHeight="1">
      <c r="A443" s="14">
        <v>439</v>
      </c>
      <c r="B443" s="15"/>
      <c r="C443" s="16"/>
      <c r="D443" s="16"/>
      <c r="E443" s="17"/>
      <c r="F443" s="18"/>
      <c r="G443" s="18"/>
      <c r="H443" s="18"/>
      <c r="I443" s="19"/>
      <c r="J443" s="19"/>
      <c r="K443" s="18"/>
      <c r="L443" s="18"/>
      <c r="M443" s="18"/>
      <c r="N443" s="17"/>
      <c r="O443" s="17"/>
      <c r="P443" s="17"/>
      <c r="Q443" s="20" t="str">
        <f>IF(OR(B443="",J443=""),"",IF(SUMPRODUCT((J443&gt;=HolidayStart)*(J443&lt;=HolidayEnd)*(HolidayStart&lt;&gt;""))&gt;0,"Conflict: "&amp;INDEX(HolidayName,SUMPRODUCT((J443&gt;=HolidayStart)*(J443&lt;=HolidayEnd)*(HolidayStart&lt;&gt;"")*ROW(HolidayStart))-ROW(INDEX(HolidayStart,1,1))+1),""))</f>
        <v/>
      </c>
    </row>
    <row r="444" spans="1:17" ht="24" customHeight="1">
      <c r="A444" s="21">
        <v>440</v>
      </c>
      <c r="B444" s="22"/>
      <c r="C444" s="23"/>
      <c r="D444" s="23"/>
      <c r="E444" s="24"/>
      <c r="F444" s="25"/>
      <c r="G444" s="25"/>
      <c r="H444" s="25"/>
      <c r="I444" s="26"/>
      <c r="J444" s="26"/>
      <c r="K444" s="25"/>
      <c r="L444" s="25"/>
      <c r="M444" s="25"/>
      <c r="N444" s="24"/>
      <c r="O444" s="24"/>
      <c r="P444" s="24"/>
      <c r="Q444" s="27" t="str">
        <f>IF(OR(B444="",J444=""),"",IF(SUMPRODUCT((J444&gt;=HolidayStart)*(J444&lt;=HolidayEnd)*(HolidayStart&lt;&gt;""))&gt;0,"Conflict: "&amp;INDEX(HolidayName,SUMPRODUCT((J444&gt;=HolidayStart)*(J444&lt;=HolidayEnd)*(HolidayStart&lt;&gt;"")*ROW(HolidayStart))-ROW(INDEX(HolidayStart,1,1))+1),""))</f>
        <v/>
      </c>
    </row>
    <row r="445" spans="1:17" ht="24" customHeight="1">
      <c r="A445" s="14">
        <v>441</v>
      </c>
      <c r="B445" s="15"/>
      <c r="C445" s="16"/>
      <c r="D445" s="16"/>
      <c r="E445" s="17"/>
      <c r="F445" s="18"/>
      <c r="G445" s="18"/>
      <c r="H445" s="18"/>
      <c r="I445" s="19"/>
      <c r="J445" s="19"/>
      <c r="K445" s="18"/>
      <c r="L445" s="18"/>
      <c r="M445" s="18"/>
      <c r="N445" s="17"/>
      <c r="O445" s="17"/>
      <c r="P445" s="17"/>
      <c r="Q445" s="20" t="str">
        <f>IF(OR(B445="",J445=""),"",IF(SUMPRODUCT((J445&gt;=HolidayStart)*(J445&lt;=HolidayEnd)*(HolidayStart&lt;&gt;""))&gt;0,"Conflict: "&amp;INDEX(HolidayName,SUMPRODUCT((J445&gt;=HolidayStart)*(J445&lt;=HolidayEnd)*(HolidayStart&lt;&gt;"")*ROW(HolidayStart))-ROW(INDEX(HolidayStart,1,1))+1),""))</f>
        <v/>
      </c>
    </row>
    <row r="446" spans="1:17" ht="24" customHeight="1">
      <c r="A446" s="21">
        <v>442</v>
      </c>
      <c r="B446" s="22"/>
      <c r="C446" s="23"/>
      <c r="D446" s="23"/>
      <c r="E446" s="24"/>
      <c r="F446" s="25"/>
      <c r="G446" s="25"/>
      <c r="H446" s="25"/>
      <c r="I446" s="26"/>
      <c r="J446" s="26"/>
      <c r="K446" s="25"/>
      <c r="L446" s="25"/>
      <c r="M446" s="25"/>
      <c r="N446" s="24"/>
      <c r="O446" s="24"/>
      <c r="P446" s="24"/>
      <c r="Q446" s="27" t="str">
        <f>IF(OR(B446="",J446=""),"",IF(SUMPRODUCT((J446&gt;=HolidayStart)*(J446&lt;=HolidayEnd)*(HolidayStart&lt;&gt;""))&gt;0,"Conflict: "&amp;INDEX(HolidayName,SUMPRODUCT((J446&gt;=HolidayStart)*(J446&lt;=HolidayEnd)*(HolidayStart&lt;&gt;"")*ROW(HolidayStart))-ROW(INDEX(HolidayStart,1,1))+1),""))</f>
        <v/>
      </c>
    </row>
    <row r="447" spans="1:17" ht="24" customHeight="1">
      <c r="A447" s="14">
        <v>443</v>
      </c>
      <c r="B447" s="15"/>
      <c r="C447" s="16"/>
      <c r="D447" s="16"/>
      <c r="E447" s="17"/>
      <c r="F447" s="18"/>
      <c r="G447" s="18"/>
      <c r="H447" s="18"/>
      <c r="I447" s="19"/>
      <c r="J447" s="19"/>
      <c r="K447" s="18"/>
      <c r="L447" s="18"/>
      <c r="M447" s="18"/>
      <c r="N447" s="17"/>
      <c r="O447" s="17"/>
      <c r="P447" s="17"/>
      <c r="Q447" s="20" t="str">
        <f>IF(OR(B447="",J447=""),"",IF(SUMPRODUCT((J447&gt;=HolidayStart)*(J447&lt;=HolidayEnd)*(HolidayStart&lt;&gt;""))&gt;0,"Conflict: "&amp;INDEX(HolidayName,SUMPRODUCT((J447&gt;=HolidayStart)*(J447&lt;=HolidayEnd)*(HolidayStart&lt;&gt;"")*ROW(HolidayStart))-ROW(INDEX(HolidayStart,1,1))+1),""))</f>
        <v/>
      </c>
    </row>
    <row r="448" spans="1:17" ht="24" customHeight="1">
      <c r="A448" s="21">
        <v>444</v>
      </c>
      <c r="B448" s="22"/>
      <c r="C448" s="23"/>
      <c r="D448" s="23"/>
      <c r="E448" s="24"/>
      <c r="F448" s="25"/>
      <c r="G448" s="25"/>
      <c r="H448" s="25"/>
      <c r="I448" s="26"/>
      <c r="J448" s="26"/>
      <c r="K448" s="25"/>
      <c r="L448" s="25"/>
      <c r="M448" s="25"/>
      <c r="N448" s="24"/>
      <c r="O448" s="24"/>
      <c r="P448" s="24"/>
      <c r="Q448" s="27" t="str">
        <f>IF(OR(B448="",J448=""),"",IF(SUMPRODUCT((J448&gt;=HolidayStart)*(J448&lt;=HolidayEnd)*(HolidayStart&lt;&gt;""))&gt;0,"Conflict: "&amp;INDEX(HolidayName,SUMPRODUCT((J448&gt;=HolidayStart)*(J448&lt;=HolidayEnd)*(HolidayStart&lt;&gt;"")*ROW(HolidayStart))-ROW(INDEX(HolidayStart,1,1))+1),""))</f>
        <v/>
      </c>
    </row>
    <row r="449" spans="1:17" ht="24" customHeight="1">
      <c r="A449" s="14">
        <v>445</v>
      </c>
      <c r="B449" s="15"/>
      <c r="C449" s="16"/>
      <c r="D449" s="16"/>
      <c r="E449" s="17"/>
      <c r="F449" s="18"/>
      <c r="G449" s="18"/>
      <c r="H449" s="18"/>
      <c r="I449" s="19"/>
      <c r="J449" s="19"/>
      <c r="K449" s="18"/>
      <c r="L449" s="18"/>
      <c r="M449" s="18"/>
      <c r="N449" s="17"/>
      <c r="O449" s="17"/>
      <c r="P449" s="17"/>
      <c r="Q449" s="20" t="str">
        <f>IF(OR(B449="",J449=""),"",IF(SUMPRODUCT((J449&gt;=HolidayStart)*(J449&lt;=HolidayEnd)*(HolidayStart&lt;&gt;""))&gt;0,"Conflict: "&amp;INDEX(HolidayName,SUMPRODUCT((J449&gt;=HolidayStart)*(J449&lt;=HolidayEnd)*(HolidayStart&lt;&gt;"")*ROW(HolidayStart))-ROW(INDEX(HolidayStart,1,1))+1),""))</f>
        <v/>
      </c>
    </row>
    <row r="450" spans="1:17" ht="24" customHeight="1">
      <c r="A450" s="21">
        <v>446</v>
      </c>
      <c r="B450" s="22"/>
      <c r="C450" s="23"/>
      <c r="D450" s="23"/>
      <c r="E450" s="24"/>
      <c r="F450" s="25"/>
      <c r="G450" s="25"/>
      <c r="H450" s="25"/>
      <c r="I450" s="26"/>
      <c r="J450" s="26"/>
      <c r="K450" s="25"/>
      <c r="L450" s="25"/>
      <c r="M450" s="25"/>
      <c r="N450" s="24"/>
      <c r="O450" s="24"/>
      <c r="P450" s="24"/>
      <c r="Q450" s="27" t="str">
        <f>IF(OR(B450="",J450=""),"",IF(SUMPRODUCT((J450&gt;=HolidayStart)*(J450&lt;=HolidayEnd)*(HolidayStart&lt;&gt;""))&gt;0,"Conflict: "&amp;INDEX(HolidayName,SUMPRODUCT((J450&gt;=HolidayStart)*(J450&lt;=HolidayEnd)*(HolidayStart&lt;&gt;"")*ROW(HolidayStart))-ROW(INDEX(HolidayStart,1,1))+1),""))</f>
        <v/>
      </c>
    </row>
    <row r="451" spans="1:17" ht="24" customHeight="1">
      <c r="A451" s="14">
        <v>447</v>
      </c>
      <c r="B451" s="15"/>
      <c r="C451" s="16"/>
      <c r="D451" s="16"/>
      <c r="E451" s="17"/>
      <c r="F451" s="18"/>
      <c r="G451" s="18"/>
      <c r="H451" s="18"/>
      <c r="I451" s="19"/>
      <c r="J451" s="19"/>
      <c r="K451" s="18"/>
      <c r="L451" s="18"/>
      <c r="M451" s="18"/>
      <c r="N451" s="17"/>
      <c r="O451" s="17"/>
      <c r="P451" s="17"/>
      <c r="Q451" s="20" t="str">
        <f>IF(OR(B451="",J451=""),"",IF(SUMPRODUCT((J451&gt;=HolidayStart)*(J451&lt;=HolidayEnd)*(HolidayStart&lt;&gt;""))&gt;0,"Conflict: "&amp;INDEX(HolidayName,SUMPRODUCT((J451&gt;=HolidayStart)*(J451&lt;=HolidayEnd)*(HolidayStart&lt;&gt;"")*ROW(HolidayStart))-ROW(INDEX(HolidayStart,1,1))+1),""))</f>
        <v/>
      </c>
    </row>
    <row r="452" spans="1:17" ht="24" customHeight="1">
      <c r="A452" s="21">
        <v>448</v>
      </c>
      <c r="B452" s="22"/>
      <c r="C452" s="23"/>
      <c r="D452" s="23"/>
      <c r="E452" s="24"/>
      <c r="F452" s="25"/>
      <c r="G452" s="25"/>
      <c r="H452" s="25"/>
      <c r="I452" s="26"/>
      <c r="J452" s="26"/>
      <c r="K452" s="25"/>
      <c r="L452" s="25"/>
      <c r="M452" s="25"/>
      <c r="N452" s="24"/>
      <c r="O452" s="24"/>
      <c r="P452" s="24"/>
      <c r="Q452" s="27" t="str">
        <f>IF(OR(B452="",J452=""),"",IF(SUMPRODUCT((J452&gt;=HolidayStart)*(J452&lt;=HolidayEnd)*(HolidayStart&lt;&gt;""))&gt;0,"Conflict: "&amp;INDEX(HolidayName,SUMPRODUCT((J452&gt;=HolidayStart)*(J452&lt;=HolidayEnd)*(HolidayStart&lt;&gt;"")*ROW(HolidayStart))-ROW(INDEX(HolidayStart,1,1))+1),""))</f>
        <v/>
      </c>
    </row>
    <row r="453" spans="1:17" ht="24" customHeight="1">
      <c r="A453" s="14">
        <v>449</v>
      </c>
      <c r="B453" s="15"/>
      <c r="C453" s="16"/>
      <c r="D453" s="16"/>
      <c r="E453" s="17"/>
      <c r="F453" s="18"/>
      <c r="G453" s="18"/>
      <c r="H453" s="18"/>
      <c r="I453" s="19"/>
      <c r="J453" s="19"/>
      <c r="K453" s="18"/>
      <c r="L453" s="18"/>
      <c r="M453" s="18"/>
      <c r="N453" s="17"/>
      <c r="O453" s="17"/>
      <c r="P453" s="17"/>
      <c r="Q453" s="20" t="str">
        <f>IF(OR(B453="",J453=""),"",IF(SUMPRODUCT((J453&gt;=HolidayStart)*(J453&lt;=HolidayEnd)*(HolidayStart&lt;&gt;""))&gt;0,"Conflict: "&amp;INDEX(HolidayName,SUMPRODUCT((J453&gt;=HolidayStart)*(J453&lt;=HolidayEnd)*(HolidayStart&lt;&gt;"")*ROW(HolidayStart))-ROW(INDEX(HolidayStart,1,1))+1),""))</f>
        <v/>
      </c>
    </row>
    <row r="454" spans="1:17" ht="24" customHeight="1">
      <c r="A454" s="21">
        <v>450</v>
      </c>
      <c r="B454" s="22"/>
      <c r="C454" s="23"/>
      <c r="D454" s="23"/>
      <c r="E454" s="24"/>
      <c r="F454" s="25"/>
      <c r="G454" s="25"/>
      <c r="H454" s="25"/>
      <c r="I454" s="26"/>
      <c r="J454" s="26"/>
      <c r="K454" s="25"/>
      <c r="L454" s="25"/>
      <c r="M454" s="25"/>
      <c r="N454" s="24"/>
      <c r="O454" s="24"/>
      <c r="P454" s="24"/>
      <c r="Q454" s="27" t="str">
        <f>IF(OR(B454="",J454=""),"",IF(SUMPRODUCT((J454&gt;=HolidayStart)*(J454&lt;=HolidayEnd)*(HolidayStart&lt;&gt;""))&gt;0,"Conflict: "&amp;INDEX(HolidayName,SUMPRODUCT((J454&gt;=HolidayStart)*(J454&lt;=HolidayEnd)*(HolidayStart&lt;&gt;"")*ROW(HolidayStart))-ROW(INDEX(HolidayStart,1,1))+1),""))</f>
        <v/>
      </c>
    </row>
    <row r="455" spans="1:17" ht="24" customHeight="1">
      <c r="A455" s="14">
        <v>451</v>
      </c>
      <c r="B455" s="15"/>
      <c r="C455" s="16"/>
      <c r="D455" s="16"/>
      <c r="E455" s="17"/>
      <c r="F455" s="18"/>
      <c r="G455" s="18"/>
      <c r="H455" s="18"/>
      <c r="I455" s="19"/>
      <c r="J455" s="19"/>
      <c r="K455" s="18"/>
      <c r="L455" s="18"/>
      <c r="M455" s="18"/>
      <c r="N455" s="17"/>
      <c r="O455" s="17"/>
      <c r="P455" s="17"/>
      <c r="Q455" s="20" t="str">
        <f>IF(OR(B455="",J455=""),"",IF(SUMPRODUCT((J455&gt;=HolidayStart)*(J455&lt;=HolidayEnd)*(HolidayStart&lt;&gt;""))&gt;0,"Conflict: "&amp;INDEX(HolidayName,SUMPRODUCT((J455&gt;=HolidayStart)*(J455&lt;=HolidayEnd)*(HolidayStart&lt;&gt;"")*ROW(HolidayStart))-ROW(INDEX(HolidayStart,1,1))+1),""))</f>
        <v/>
      </c>
    </row>
    <row r="456" spans="1:17" ht="24" customHeight="1">
      <c r="A456" s="21">
        <v>452</v>
      </c>
      <c r="B456" s="22"/>
      <c r="C456" s="23"/>
      <c r="D456" s="23"/>
      <c r="E456" s="24"/>
      <c r="F456" s="25"/>
      <c r="G456" s="25"/>
      <c r="H456" s="25"/>
      <c r="I456" s="26"/>
      <c r="J456" s="26"/>
      <c r="K456" s="25"/>
      <c r="L456" s="25"/>
      <c r="M456" s="25"/>
      <c r="N456" s="24"/>
      <c r="O456" s="24"/>
      <c r="P456" s="24"/>
      <c r="Q456" s="27" t="str">
        <f>IF(OR(B456="",J456=""),"",IF(SUMPRODUCT((J456&gt;=HolidayStart)*(J456&lt;=HolidayEnd)*(HolidayStart&lt;&gt;""))&gt;0,"Conflict: "&amp;INDEX(HolidayName,SUMPRODUCT((J456&gt;=HolidayStart)*(J456&lt;=HolidayEnd)*(HolidayStart&lt;&gt;"")*ROW(HolidayStart))-ROW(INDEX(HolidayStart,1,1))+1),""))</f>
        <v/>
      </c>
    </row>
    <row r="457" spans="1:17" ht="24" customHeight="1">
      <c r="A457" s="14">
        <v>453</v>
      </c>
      <c r="B457" s="15"/>
      <c r="C457" s="16"/>
      <c r="D457" s="16"/>
      <c r="E457" s="17"/>
      <c r="F457" s="18"/>
      <c r="G457" s="18"/>
      <c r="H457" s="18"/>
      <c r="I457" s="19"/>
      <c r="J457" s="19"/>
      <c r="K457" s="18"/>
      <c r="L457" s="18"/>
      <c r="M457" s="18"/>
      <c r="N457" s="17"/>
      <c r="O457" s="17"/>
      <c r="P457" s="17"/>
      <c r="Q457" s="20" t="str">
        <f>IF(OR(B457="",J457=""),"",IF(SUMPRODUCT((J457&gt;=HolidayStart)*(J457&lt;=HolidayEnd)*(HolidayStart&lt;&gt;""))&gt;0,"Conflict: "&amp;INDEX(HolidayName,SUMPRODUCT((J457&gt;=HolidayStart)*(J457&lt;=HolidayEnd)*(HolidayStart&lt;&gt;"")*ROW(HolidayStart))-ROW(INDEX(HolidayStart,1,1))+1),""))</f>
        <v/>
      </c>
    </row>
    <row r="458" spans="1:17" ht="24" customHeight="1">
      <c r="A458" s="21">
        <v>454</v>
      </c>
      <c r="B458" s="22"/>
      <c r="C458" s="23"/>
      <c r="D458" s="23"/>
      <c r="E458" s="24"/>
      <c r="F458" s="25"/>
      <c r="G458" s="25"/>
      <c r="H458" s="25"/>
      <c r="I458" s="26"/>
      <c r="J458" s="26"/>
      <c r="K458" s="25"/>
      <c r="L458" s="25"/>
      <c r="M458" s="25"/>
      <c r="N458" s="24"/>
      <c r="O458" s="24"/>
      <c r="P458" s="24"/>
      <c r="Q458" s="27" t="str">
        <f>IF(OR(B458="",J458=""),"",IF(SUMPRODUCT((J458&gt;=HolidayStart)*(J458&lt;=HolidayEnd)*(HolidayStart&lt;&gt;""))&gt;0,"Conflict: "&amp;INDEX(HolidayName,SUMPRODUCT((J458&gt;=HolidayStart)*(J458&lt;=HolidayEnd)*(HolidayStart&lt;&gt;"")*ROW(HolidayStart))-ROW(INDEX(HolidayStart,1,1))+1),""))</f>
        <v/>
      </c>
    </row>
    <row r="459" spans="1:17" ht="24" customHeight="1">
      <c r="A459" s="14">
        <v>455</v>
      </c>
      <c r="B459" s="15"/>
      <c r="C459" s="16"/>
      <c r="D459" s="16"/>
      <c r="E459" s="17"/>
      <c r="F459" s="18"/>
      <c r="G459" s="18"/>
      <c r="H459" s="18"/>
      <c r="I459" s="19"/>
      <c r="J459" s="19"/>
      <c r="K459" s="18"/>
      <c r="L459" s="18"/>
      <c r="M459" s="18"/>
      <c r="N459" s="17"/>
      <c r="O459" s="17"/>
      <c r="P459" s="17"/>
      <c r="Q459" s="20" t="str">
        <f>IF(OR(B459="",J459=""),"",IF(SUMPRODUCT((J459&gt;=HolidayStart)*(J459&lt;=HolidayEnd)*(HolidayStart&lt;&gt;""))&gt;0,"Conflict: "&amp;INDEX(HolidayName,SUMPRODUCT((J459&gt;=HolidayStart)*(J459&lt;=HolidayEnd)*(HolidayStart&lt;&gt;"")*ROW(HolidayStart))-ROW(INDEX(HolidayStart,1,1))+1),""))</f>
        <v/>
      </c>
    </row>
    <row r="460" spans="1:17" ht="24" customHeight="1">
      <c r="A460" s="21">
        <v>456</v>
      </c>
      <c r="B460" s="22"/>
      <c r="C460" s="23"/>
      <c r="D460" s="23"/>
      <c r="E460" s="24"/>
      <c r="F460" s="25"/>
      <c r="G460" s="25"/>
      <c r="H460" s="25"/>
      <c r="I460" s="26"/>
      <c r="J460" s="26"/>
      <c r="K460" s="25"/>
      <c r="L460" s="25"/>
      <c r="M460" s="25"/>
      <c r="N460" s="24"/>
      <c r="O460" s="24"/>
      <c r="P460" s="24"/>
      <c r="Q460" s="27" t="str">
        <f>IF(OR(B460="",J460=""),"",IF(SUMPRODUCT((J460&gt;=HolidayStart)*(J460&lt;=HolidayEnd)*(HolidayStart&lt;&gt;""))&gt;0,"Conflict: "&amp;INDEX(HolidayName,SUMPRODUCT((J460&gt;=HolidayStart)*(J460&lt;=HolidayEnd)*(HolidayStart&lt;&gt;"")*ROW(HolidayStart))-ROW(INDEX(HolidayStart,1,1))+1),""))</f>
        <v/>
      </c>
    </row>
    <row r="461" spans="1:17" ht="24" customHeight="1">
      <c r="A461" s="14">
        <v>457</v>
      </c>
      <c r="B461" s="15"/>
      <c r="C461" s="16"/>
      <c r="D461" s="16"/>
      <c r="E461" s="17"/>
      <c r="F461" s="18"/>
      <c r="G461" s="18"/>
      <c r="H461" s="18"/>
      <c r="I461" s="19"/>
      <c r="J461" s="19"/>
      <c r="K461" s="18"/>
      <c r="L461" s="18"/>
      <c r="M461" s="18"/>
      <c r="N461" s="17"/>
      <c r="O461" s="17"/>
      <c r="P461" s="17"/>
      <c r="Q461" s="20" t="str">
        <f>IF(OR(B461="",J461=""),"",IF(SUMPRODUCT((J461&gt;=HolidayStart)*(J461&lt;=HolidayEnd)*(HolidayStart&lt;&gt;""))&gt;0,"Conflict: "&amp;INDEX(HolidayName,SUMPRODUCT((J461&gt;=HolidayStart)*(J461&lt;=HolidayEnd)*(HolidayStart&lt;&gt;"")*ROW(HolidayStart))-ROW(INDEX(HolidayStart,1,1))+1),""))</f>
        <v/>
      </c>
    </row>
    <row r="462" spans="1:17" ht="24" customHeight="1">
      <c r="A462" s="21">
        <v>458</v>
      </c>
      <c r="B462" s="22"/>
      <c r="C462" s="23"/>
      <c r="D462" s="23"/>
      <c r="E462" s="24"/>
      <c r="F462" s="25"/>
      <c r="G462" s="25"/>
      <c r="H462" s="25"/>
      <c r="I462" s="26"/>
      <c r="J462" s="26"/>
      <c r="K462" s="25"/>
      <c r="L462" s="25"/>
      <c r="M462" s="25"/>
      <c r="N462" s="24"/>
      <c r="O462" s="24"/>
      <c r="P462" s="24"/>
      <c r="Q462" s="27" t="str">
        <f>IF(OR(B462="",J462=""),"",IF(SUMPRODUCT((J462&gt;=HolidayStart)*(J462&lt;=HolidayEnd)*(HolidayStart&lt;&gt;""))&gt;0,"Conflict: "&amp;INDEX(HolidayName,SUMPRODUCT((J462&gt;=HolidayStart)*(J462&lt;=HolidayEnd)*(HolidayStart&lt;&gt;"")*ROW(HolidayStart))-ROW(INDEX(HolidayStart,1,1))+1),""))</f>
        <v/>
      </c>
    </row>
    <row r="463" spans="1:17" ht="24" customHeight="1">
      <c r="A463" s="14">
        <v>459</v>
      </c>
      <c r="B463" s="15"/>
      <c r="C463" s="16"/>
      <c r="D463" s="16"/>
      <c r="E463" s="17"/>
      <c r="F463" s="18"/>
      <c r="G463" s="18"/>
      <c r="H463" s="18"/>
      <c r="I463" s="19"/>
      <c r="J463" s="19"/>
      <c r="K463" s="18"/>
      <c r="L463" s="18"/>
      <c r="M463" s="18"/>
      <c r="N463" s="17"/>
      <c r="O463" s="17"/>
      <c r="P463" s="17"/>
      <c r="Q463" s="20" t="str">
        <f>IF(OR(B463="",J463=""),"",IF(SUMPRODUCT((J463&gt;=HolidayStart)*(J463&lt;=HolidayEnd)*(HolidayStart&lt;&gt;""))&gt;0,"Conflict: "&amp;INDEX(HolidayName,SUMPRODUCT((J463&gt;=HolidayStart)*(J463&lt;=HolidayEnd)*(HolidayStart&lt;&gt;"")*ROW(HolidayStart))-ROW(INDEX(HolidayStart,1,1))+1),""))</f>
        <v/>
      </c>
    </row>
    <row r="464" spans="1:17" ht="24" customHeight="1">
      <c r="A464" s="21">
        <v>460</v>
      </c>
      <c r="B464" s="22"/>
      <c r="C464" s="23"/>
      <c r="D464" s="23"/>
      <c r="E464" s="24"/>
      <c r="F464" s="25"/>
      <c r="G464" s="25"/>
      <c r="H464" s="25"/>
      <c r="I464" s="26"/>
      <c r="J464" s="26"/>
      <c r="K464" s="25"/>
      <c r="L464" s="25"/>
      <c r="M464" s="25"/>
      <c r="N464" s="24"/>
      <c r="O464" s="24"/>
      <c r="P464" s="24"/>
      <c r="Q464" s="27" t="str">
        <f>IF(OR(B464="",J464=""),"",IF(SUMPRODUCT((J464&gt;=HolidayStart)*(J464&lt;=HolidayEnd)*(HolidayStart&lt;&gt;""))&gt;0,"Conflict: "&amp;INDEX(HolidayName,SUMPRODUCT((J464&gt;=HolidayStart)*(J464&lt;=HolidayEnd)*(HolidayStart&lt;&gt;"")*ROW(HolidayStart))-ROW(INDEX(HolidayStart,1,1))+1),""))</f>
        <v/>
      </c>
    </row>
    <row r="465" spans="1:17" ht="24" customHeight="1">
      <c r="A465" s="14">
        <v>461</v>
      </c>
      <c r="B465" s="15"/>
      <c r="C465" s="16"/>
      <c r="D465" s="16"/>
      <c r="E465" s="17"/>
      <c r="F465" s="18"/>
      <c r="G465" s="18"/>
      <c r="H465" s="18"/>
      <c r="I465" s="19"/>
      <c r="J465" s="19"/>
      <c r="K465" s="18"/>
      <c r="L465" s="18"/>
      <c r="M465" s="18"/>
      <c r="N465" s="17"/>
      <c r="O465" s="17"/>
      <c r="P465" s="17"/>
      <c r="Q465" s="20" t="str">
        <f>IF(OR(B465="",J465=""),"",IF(SUMPRODUCT((J465&gt;=HolidayStart)*(J465&lt;=HolidayEnd)*(HolidayStart&lt;&gt;""))&gt;0,"Conflict: "&amp;INDEX(HolidayName,SUMPRODUCT((J465&gt;=HolidayStart)*(J465&lt;=HolidayEnd)*(HolidayStart&lt;&gt;"")*ROW(HolidayStart))-ROW(INDEX(HolidayStart,1,1))+1),""))</f>
        <v/>
      </c>
    </row>
    <row r="466" spans="1:17" ht="24" customHeight="1">
      <c r="A466" s="21">
        <v>462</v>
      </c>
      <c r="B466" s="22"/>
      <c r="C466" s="23"/>
      <c r="D466" s="23"/>
      <c r="E466" s="24"/>
      <c r="F466" s="25"/>
      <c r="G466" s="25"/>
      <c r="H466" s="25"/>
      <c r="I466" s="26"/>
      <c r="J466" s="26"/>
      <c r="K466" s="25"/>
      <c r="L466" s="25"/>
      <c r="M466" s="25"/>
      <c r="N466" s="24"/>
      <c r="O466" s="24"/>
      <c r="P466" s="24"/>
      <c r="Q466" s="27" t="str">
        <f>IF(OR(B466="",J466=""),"",IF(SUMPRODUCT((J466&gt;=HolidayStart)*(J466&lt;=HolidayEnd)*(HolidayStart&lt;&gt;""))&gt;0,"Conflict: "&amp;INDEX(HolidayName,SUMPRODUCT((J466&gt;=HolidayStart)*(J466&lt;=HolidayEnd)*(HolidayStart&lt;&gt;"")*ROW(HolidayStart))-ROW(INDEX(HolidayStart,1,1))+1),""))</f>
        <v/>
      </c>
    </row>
    <row r="467" spans="1:17" ht="24" customHeight="1">
      <c r="A467" s="14">
        <v>463</v>
      </c>
      <c r="B467" s="15"/>
      <c r="C467" s="16"/>
      <c r="D467" s="16"/>
      <c r="E467" s="17"/>
      <c r="F467" s="18"/>
      <c r="G467" s="18"/>
      <c r="H467" s="18"/>
      <c r="I467" s="19"/>
      <c r="J467" s="19"/>
      <c r="K467" s="18"/>
      <c r="L467" s="18"/>
      <c r="M467" s="18"/>
      <c r="N467" s="17"/>
      <c r="O467" s="17"/>
      <c r="P467" s="17"/>
      <c r="Q467" s="20" t="str">
        <f>IF(OR(B467="",J467=""),"",IF(SUMPRODUCT((J467&gt;=HolidayStart)*(J467&lt;=HolidayEnd)*(HolidayStart&lt;&gt;""))&gt;0,"Conflict: "&amp;INDEX(HolidayName,SUMPRODUCT((J467&gt;=HolidayStart)*(J467&lt;=HolidayEnd)*(HolidayStart&lt;&gt;"")*ROW(HolidayStart))-ROW(INDEX(HolidayStart,1,1))+1),""))</f>
        <v/>
      </c>
    </row>
    <row r="468" spans="1:17" ht="24" customHeight="1">
      <c r="A468" s="21">
        <v>464</v>
      </c>
      <c r="B468" s="22"/>
      <c r="C468" s="23"/>
      <c r="D468" s="23"/>
      <c r="E468" s="24"/>
      <c r="F468" s="25"/>
      <c r="G468" s="25"/>
      <c r="H468" s="25"/>
      <c r="I468" s="26"/>
      <c r="J468" s="26"/>
      <c r="K468" s="25"/>
      <c r="L468" s="25"/>
      <c r="M468" s="25"/>
      <c r="N468" s="24"/>
      <c r="O468" s="24"/>
      <c r="P468" s="24"/>
      <c r="Q468" s="27" t="str">
        <f>IF(OR(B468="",J468=""),"",IF(SUMPRODUCT((J468&gt;=HolidayStart)*(J468&lt;=HolidayEnd)*(HolidayStart&lt;&gt;""))&gt;0,"Conflict: "&amp;INDEX(HolidayName,SUMPRODUCT((J468&gt;=HolidayStart)*(J468&lt;=HolidayEnd)*(HolidayStart&lt;&gt;"")*ROW(HolidayStart))-ROW(INDEX(HolidayStart,1,1))+1),""))</f>
        <v/>
      </c>
    </row>
    <row r="469" spans="1:17" ht="24" customHeight="1">
      <c r="A469" s="14">
        <v>465</v>
      </c>
      <c r="B469" s="15"/>
      <c r="C469" s="16"/>
      <c r="D469" s="16"/>
      <c r="E469" s="17"/>
      <c r="F469" s="18"/>
      <c r="G469" s="18"/>
      <c r="H469" s="18"/>
      <c r="I469" s="19"/>
      <c r="J469" s="19"/>
      <c r="K469" s="18"/>
      <c r="L469" s="18"/>
      <c r="M469" s="18"/>
      <c r="N469" s="17"/>
      <c r="O469" s="17"/>
      <c r="P469" s="17"/>
      <c r="Q469" s="20" t="str">
        <f>IF(OR(B469="",J469=""),"",IF(SUMPRODUCT((J469&gt;=HolidayStart)*(J469&lt;=HolidayEnd)*(HolidayStart&lt;&gt;""))&gt;0,"Conflict: "&amp;INDEX(HolidayName,SUMPRODUCT((J469&gt;=HolidayStart)*(J469&lt;=HolidayEnd)*(HolidayStart&lt;&gt;"")*ROW(HolidayStart))-ROW(INDEX(HolidayStart,1,1))+1),""))</f>
        <v/>
      </c>
    </row>
    <row r="470" spans="1:17" ht="24" customHeight="1">
      <c r="A470" s="21">
        <v>466</v>
      </c>
      <c r="B470" s="22"/>
      <c r="C470" s="23"/>
      <c r="D470" s="23"/>
      <c r="E470" s="24"/>
      <c r="F470" s="25"/>
      <c r="G470" s="25"/>
      <c r="H470" s="25"/>
      <c r="I470" s="26"/>
      <c r="J470" s="26"/>
      <c r="K470" s="25"/>
      <c r="L470" s="25"/>
      <c r="M470" s="25"/>
      <c r="N470" s="24"/>
      <c r="O470" s="24"/>
      <c r="P470" s="24"/>
      <c r="Q470" s="27" t="str">
        <f>IF(OR(B470="",J470=""),"",IF(SUMPRODUCT((J470&gt;=HolidayStart)*(J470&lt;=HolidayEnd)*(HolidayStart&lt;&gt;""))&gt;0,"Conflict: "&amp;INDEX(HolidayName,SUMPRODUCT((J470&gt;=HolidayStart)*(J470&lt;=HolidayEnd)*(HolidayStart&lt;&gt;"")*ROW(HolidayStart))-ROW(INDEX(HolidayStart,1,1))+1),""))</f>
        <v/>
      </c>
    </row>
    <row r="471" spans="1:17" ht="24" customHeight="1">
      <c r="A471" s="14">
        <v>467</v>
      </c>
      <c r="B471" s="15"/>
      <c r="C471" s="16"/>
      <c r="D471" s="16"/>
      <c r="E471" s="17"/>
      <c r="F471" s="18"/>
      <c r="G471" s="18"/>
      <c r="H471" s="18"/>
      <c r="I471" s="19"/>
      <c r="J471" s="19"/>
      <c r="K471" s="18"/>
      <c r="L471" s="18"/>
      <c r="M471" s="18"/>
      <c r="N471" s="17"/>
      <c r="O471" s="17"/>
      <c r="P471" s="17"/>
      <c r="Q471" s="20" t="str">
        <f>IF(OR(B471="",J471=""),"",IF(SUMPRODUCT((J471&gt;=HolidayStart)*(J471&lt;=HolidayEnd)*(HolidayStart&lt;&gt;""))&gt;0,"Conflict: "&amp;INDEX(HolidayName,SUMPRODUCT((J471&gt;=HolidayStart)*(J471&lt;=HolidayEnd)*(HolidayStart&lt;&gt;"")*ROW(HolidayStart))-ROW(INDEX(HolidayStart,1,1))+1),""))</f>
        <v/>
      </c>
    </row>
    <row r="472" spans="1:17" ht="24" customHeight="1">
      <c r="A472" s="21">
        <v>468</v>
      </c>
      <c r="B472" s="22"/>
      <c r="C472" s="23"/>
      <c r="D472" s="23"/>
      <c r="E472" s="24"/>
      <c r="F472" s="25"/>
      <c r="G472" s="25"/>
      <c r="H472" s="25"/>
      <c r="I472" s="26"/>
      <c r="J472" s="26"/>
      <c r="K472" s="25"/>
      <c r="L472" s="25"/>
      <c r="M472" s="25"/>
      <c r="N472" s="24"/>
      <c r="O472" s="24"/>
      <c r="P472" s="24"/>
      <c r="Q472" s="27" t="str">
        <f>IF(OR(B472="",J472=""),"",IF(SUMPRODUCT((J472&gt;=HolidayStart)*(J472&lt;=HolidayEnd)*(HolidayStart&lt;&gt;""))&gt;0,"Conflict: "&amp;INDEX(HolidayName,SUMPRODUCT((J472&gt;=HolidayStart)*(J472&lt;=HolidayEnd)*(HolidayStart&lt;&gt;"")*ROW(HolidayStart))-ROW(INDEX(HolidayStart,1,1))+1),""))</f>
        <v/>
      </c>
    </row>
    <row r="473" spans="1:17" ht="24" customHeight="1">
      <c r="A473" s="14">
        <v>469</v>
      </c>
      <c r="B473" s="15"/>
      <c r="C473" s="16"/>
      <c r="D473" s="16"/>
      <c r="E473" s="17"/>
      <c r="F473" s="18"/>
      <c r="G473" s="18"/>
      <c r="H473" s="18"/>
      <c r="I473" s="19"/>
      <c r="J473" s="19"/>
      <c r="K473" s="18"/>
      <c r="L473" s="18"/>
      <c r="M473" s="18"/>
      <c r="N473" s="17"/>
      <c r="O473" s="17"/>
      <c r="P473" s="17"/>
      <c r="Q473" s="20" t="str">
        <f>IF(OR(B473="",J473=""),"",IF(SUMPRODUCT((J473&gt;=HolidayStart)*(J473&lt;=HolidayEnd)*(HolidayStart&lt;&gt;""))&gt;0,"Conflict: "&amp;INDEX(HolidayName,SUMPRODUCT((J473&gt;=HolidayStart)*(J473&lt;=HolidayEnd)*(HolidayStart&lt;&gt;"")*ROW(HolidayStart))-ROW(INDEX(HolidayStart,1,1))+1),""))</f>
        <v/>
      </c>
    </row>
    <row r="474" spans="1:17" ht="24" customHeight="1">
      <c r="A474" s="21">
        <v>470</v>
      </c>
      <c r="B474" s="22"/>
      <c r="C474" s="23"/>
      <c r="D474" s="23"/>
      <c r="E474" s="24"/>
      <c r="F474" s="25"/>
      <c r="G474" s="25"/>
      <c r="H474" s="25"/>
      <c r="I474" s="26"/>
      <c r="J474" s="26"/>
      <c r="K474" s="25"/>
      <c r="L474" s="25"/>
      <c r="M474" s="25"/>
      <c r="N474" s="24"/>
      <c r="O474" s="24"/>
      <c r="P474" s="24"/>
      <c r="Q474" s="27" t="str">
        <f>IF(OR(B474="",J474=""),"",IF(SUMPRODUCT((J474&gt;=HolidayStart)*(J474&lt;=HolidayEnd)*(HolidayStart&lt;&gt;""))&gt;0,"Conflict: "&amp;INDEX(HolidayName,SUMPRODUCT((J474&gt;=HolidayStart)*(J474&lt;=HolidayEnd)*(HolidayStart&lt;&gt;"")*ROW(HolidayStart))-ROW(INDEX(HolidayStart,1,1))+1),""))</f>
        <v/>
      </c>
    </row>
    <row r="475" spans="1:17" ht="24" customHeight="1">
      <c r="A475" s="14">
        <v>471</v>
      </c>
      <c r="B475" s="15"/>
      <c r="C475" s="16"/>
      <c r="D475" s="16"/>
      <c r="E475" s="17"/>
      <c r="F475" s="18"/>
      <c r="G475" s="18"/>
      <c r="H475" s="18"/>
      <c r="I475" s="19"/>
      <c r="J475" s="19"/>
      <c r="K475" s="18"/>
      <c r="L475" s="18"/>
      <c r="M475" s="18"/>
      <c r="N475" s="17"/>
      <c r="O475" s="17"/>
      <c r="P475" s="17"/>
      <c r="Q475" s="20" t="str">
        <f>IF(OR(B475="",J475=""),"",IF(SUMPRODUCT((J475&gt;=HolidayStart)*(J475&lt;=HolidayEnd)*(HolidayStart&lt;&gt;""))&gt;0,"Conflict: "&amp;INDEX(HolidayName,SUMPRODUCT((J475&gt;=HolidayStart)*(J475&lt;=HolidayEnd)*(HolidayStart&lt;&gt;"")*ROW(HolidayStart))-ROW(INDEX(HolidayStart,1,1))+1),""))</f>
        <v/>
      </c>
    </row>
    <row r="476" spans="1:17" ht="24" customHeight="1">
      <c r="A476" s="21">
        <v>472</v>
      </c>
      <c r="B476" s="22"/>
      <c r="C476" s="23"/>
      <c r="D476" s="23"/>
      <c r="E476" s="24"/>
      <c r="F476" s="25"/>
      <c r="G476" s="25"/>
      <c r="H476" s="25"/>
      <c r="I476" s="26"/>
      <c r="J476" s="26"/>
      <c r="K476" s="25"/>
      <c r="L476" s="25"/>
      <c r="M476" s="25"/>
      <c r="N476" s="24"/>
      <c r="O476" s="24"/>
      <c r="P476" s="24"/>
      <c r="Q476" s="27" t="str">
        <f>IF(OR(B476="",J476=""),"",IF(SUMPRODUCT((J476&gt;=HolidayStart)*(J476&lt;=HolidayEnd)*(HolidayStart&lt;&gt;""))&gt;0,"Conflict: "&amp;INDEX(HolidayName,SUMPRODUCT((J476&gt;=HolidayStart)*(J476&lt;=HolidayEnd)*(HolidayStart&lt;&gt;"")*ROW(HolidayStart))-ROW(INDEX(HolidayStart,1,1))+1),""))</f>
        <v/>
      </c>
    </row>
    <row r="477" spans="1:17" ht="24" customHeight="1">
      <c r="A477" s="14">
        <v>473</v>
      </c>
      <c r="B477" s="15"/>
      <c r="C477" s="16"/>
      <c r="D477" s="16"/>
      <c r="E477" s="17"/>
      <c r="F477" s="18"/>
      <c r="G477" s="18"/>
      <c r="H477" s="18"/>
      <c r="I477" s="19"/>
      <c r="J477" s="19"/>
      <c r="K477" s="18"/>
      <c r="L477" s="18"/>
      <c r="M477" s="18"/>
      <c r="N477" s="17"/>
      <c r="O477" s="17"/>
      <c r="P477" s="17"/>
      <c r="Q477" s="20" t="str">
        <f>IF(OR(B477="",J477=""),"",IF(SUMPRODUCT((J477&gt;=HolidayStart)*(J477&lt;=HolidayEnd)*(HolidayStart&lt;&gt;""))&gt;0,"Conflict: "&amp;INDEX(HolidayName,SUMPRODUCT((J477&gt;=HolidayStart)*(J477&lt;=HolidayEnd)*(HolidayStart&lt;&gt;"")*ROW(HolidayStart))-ROW(INDEX(HolidayStart,1,1))+1),""))</f>
        <v/>
      </c>
    </row>
    <row r="478" spans="1:17" ht="24" customHeight="1">
      <c r="A478" s="21">
        <v>474</v>
      </c>
      <c r="B478" s="22"/>
      <c r="C478" s="23"/>
      <c r="D478" s="23"/>
      <c r="E478" s="24"/>
      <c r="F478" s="25"/>
      <c r="G478" s="25"/>
      <c r="H478" s="25"/>
      <c r="I478" s="26"/>
      <c r="J478" s="26"/>
      <c r="K478" s="25"/>
      <c r="L478" s="25"/>
      <c r="M478" s="25"/>
      <c r="N478" s="24"/>
      <c r="O478" s="24"/>
      <c r="P478" s="24"/>
      <c r="Q478" s="27" t="str">
        <f>IF(OR(B478="",J478=""),"",IF(SUMPRODUCT((J478&gt;=HolidayStart)*(J478&lt;=HolidayEnd)*(HolidayStart&lt;&gt;""))&gt;0,"Conflict: "&amp;INDEX(HolidayName,SUMPRODUCT((J478&gt;=HolidayStart)*(J478&lt;=HolidayEnd)*(HolidayStart&lt;&gt;"")*ROW(HolidayStart))-ROW(INDEX(HolidayStart,1,1))+1),""))</f>
        <v/>
      </c>
    </row>
    <row r="479" spans="1:17" ht="24" customHeight="1">
      <c r="A479" s="14">
        <v>475</v>
      </c>
      <c r="B479" s="15"/>
      <c r="C479" s="16"/>
      <c r="D479" s="16"/>
      <c r="E479" s="17"/>
      <c r="F479" s="18"/>
      <c r="G479" s="18"/>
      <c r="H479" s="18"/>
      <c r="I479" s="19"/>
      <c r="J479" s="19"/>
      <c r="K479" s="18"/>
      <c r="L479" s="18"/>
      <c r="M479" s="18"/>
      <c r="N479" s="17"/>
      <c r="O479" s="17"/>
      <c r="P479" s="17"/>
      <c r="Q479" s="20" t="str">
        <f>IF(OR(B479="",J479=""),"",IF(SUMPRODUCT((J479&gt;=HolidayStart)*(J479&lt;=HolidayEnd)*(HolidayStart&lt;&gt;""))&gt;0,"Conflict: "&amp;INDEX(HolidayName,SUMPRODUCT((J479&gt;=HolidayStart)*(J479&lt;=HolidayEnd)*(HolidayStart&lt;&gt;"")*ROW(HolidayStart))-ROW(INDEX(HolidayStart,1,1))+1),""))</f>
        <v/>
      </c>
    </row>
    <row r="480" spans="1:17" ht="24" customHeight="1">
      <c r="A480" s="21">
        <v>476</v>
      </c>
      <c r="B480" s="22"/>
      <c r="C480" s="23"/>
      <c r="D480" s="23"/>
      <c r="E480" s="24"/>
      <c r="F480" s="25"/>
      <c r="G480" s="25"/>
      <c r="H480" s="25"/>
      <c r="I480" s="26"/>
      <c r="J480" s="26"/>
      <c r="K480" s="25"/>
      <c r="L480" s="25"/>
      <c r="M480" s="25"/>
      <c r="N480" s="24"/>
      <c r="O480" s="24"/>
      <c r="P480" s="24"/>
      <c r="Q480" s="27" t="str">
        <f>IF(OR(B480="",J480=""),"",IF(SUMPRODUCT((J480&gt;=HolidayStart)*(J480&lt;=HolidayEnd)*(HolidayStart&lt;&gt;""))&gt;0,"Conflict: "&amp;INDEX(HolidayName,SUMPRODUCT((J480&gt;=HolidayStart)*(J480&lt;=HolidayEnd)*(HolidayStart&lt;&gt;"")*ROW(HolidayStart))-ROW(INDEX(HolidayStart,1,1))+1),""))</f>
        <v/>
      </c>
    </row>
    <row r="481" spans="1:17" ht="24" customHeight="1">
      <c r="A481" s="14">
        <v>477</v>
      </c>
      <c r="B481" s="15"/>
      <c r="C481" s="16"/>
      <c r="D481" s="16"/>
      <c r="E481" s="17"/>
      <c r="F481" s="18"/>
      <c r="G481" s="18"/>
      <c r="H481" s="18"/>
      <c r="I481" s="19"/>
      <c r="J481" s="19"/>
      <c r="K481" s="18"/>
      <c r="L481" s="18"/>
      <c r="M481" s="18"/>
      <c r="N481" s="17"/>
      <c r="O481" s="17"/>
      <c r="P481" s="17"/>
      <c r="Q481" s="20" t="str">
        <f>IF(OR(B481="",J481=""),"",IF(SUMPRODUCT((J481&gt;=HolidayStart)*(J481&lt;=HolidayEnd)*(HolidayStart&lt;&gt;""))&gt;0,"Conflict: "&amp;INDEX(HolidayName,SUMPRODUCT((J481&gt;=HolidayStart)*(J481&lt;=HolidayEnd)*(HolidayStart&lt;&gt;"")*ROW(HolidayStart))-ROW(INDEX(HolidayStart,1,1))+1),""))</f>
        <v/>
      </c>
    </row>
    <row r="482" spans="1:17" ht="24" customHeight="1">
      <c r="A482" s="21">
        <v>478</v>
      </c>
      <c r="B482" s="22"/>
      <c r="C482" s="23"/>
      <c r="D482" s="23"/>
      <c r="E482" s="24"/>
      <c r="F482" s="25"/>
      <c r="G482" s="25"/>
      <c r="H482" s="25"/>
      <c r="I482" s="26"/>
      <c r="J482" s="26"/>
      <c r="K482" s="25"/>
      <c r="L482" s="25"/>
      <c r="M482" s="25"/>
      <c r="N482" s="24"/>
      <c r="O482" s="24"/>
      <c r="P482" s="24"/>
      <c r="Q482" s="27" t="str">
        <f>IF(OR(B482="",J482=""),"",IF(SUMPRODUCT((J482&gt;=HolidayStart)*(J482&lt;=HolidayEnd)*(HolidayStart&lt;&gt;""))&gt;0,"Conflict: "&amp;INDEX(HolidayName,SUMPRODUCT((J482&gt;=HolidayStart)*(J482&lt;=HolidayEnd)*(HolidayStart&lt;&gt;"")*ROW(HolidayStart))-ROW(INDEX(HolidayStart,1,1))+1),""))</f>
        <v/>
      </c>
    </row>
    <row r="483" spans="1:17" ht="24" customHeight="1">
      <c r="A483" s="14">
        <v>479</v>
      </c>
      <c r="B483" s="15"/>
      <c r="C483" s="16"/>
      <c r="D483" s="16"/>
      <c r="E483" s="17"/>
      <c r="F483" s="18"/>
      <c r="G483" s="18"/>
      <c r="H483" s="18"/>
      <c r="I483" s="19"/>
      <c r="J483" s="19"/>
      <c r="K483" s="18"/>
      <c r="L483" s="18"/>
      <c r="M483" s="18"/>
      <c r="N483" s="17"/>
      <c r="O483" s="17"/>
      <c r="P483" s="17"/>
      <c r="Q483" s="20" t="str">
        <f>IF(OR(B483="",J483=""),"",IF(SUMPRODUCT((J483&gt;=HolidayStart)*(J483&lt;=HolidayEnd)*(HolidayStart&lt;&gt;""))&gt;0,"Conflict: "&amp;INDEX(HolidayName,SUMPRODUCT((J483&gt;=HolidayStart)*(J483&lt;=HolidayEnd)*(HolidayStart&lt;&gt;"")*ROW(HolidayStart))-ROW(INDEX(HolidayStart,1,1))+1),""))</f>
        <v/>
      </c>
    </row>
    <row r="484" spans="1:17" ht="24" customHeight="1">
      <c r="A484" s="21">
        <v>480</v>
      </c>
      <c r="B484" s="22"/>
      <c r="C484" s="23"/>
      <c r="D484" s="23"/>
      <c r="E484" s="24"/>
      <c r="F484" s="25"/>
      <c r="G484" s="25"/>
      <c r="H484" s="25"/>
      <c r="I484" s="26"/>
      <c r="J484" s="26"/>
      <c r="K484" s="25"/>
      <c r="L484" s="25"/>
      <c r="M484" s="25"/>
      <c r="N484" s="24"/>
      <c r="O484" s="24"/>
      <c r="P484" s="24"/>
      <c r="Q484" s="27" t="str">
        <f>IF(OR(B484="",J484=""),"",IF(SUMPRODUCT((J484&gt;=HolidayStart)*(J484&lt;=HolidayEnd)*(HolidayStart&lt;&gt;""))&gt;0,"Conflict: "&amp;INDEX(HolidayName,SUMPRODUCT((J484&gt;=HolidayStart)*(J484&lt;=HolidayEnd)*(HolidayStart&lt;&gt;"")*ROW(HolidayStart))-ROW(INDEX(HolidayStart,1,1))+1),""))</f>
        <v/>
      </c>
    </row>
    <row r="485" spans="1:17" ht="24" customHeight="1">
      <c r="A485" s="14">
        <v>481</v>
      </c>
      <c r="B485" s="15"/>
      <c r="C485" s="16"/>
      <c r="D485" s="16"/>
      <c r="E485" s="17"/>
      <c r="F485" s="18"/>
      <c r="G485" s="18"/>
      <c r="H485" s="18"/>
      <c r="I485" s="19"/>
      <c r="J485" s="19"/>
      <c r="K485" s="18"/>
      <c r="L485" s="18"/>
      <c r="M485" s="18"/>
      <c r="N485" s="17"/>
      <c r="O485" s="17"/>
      <c r="P485" s="17"/>
      <c r="Q485" s="20" t="str">
        <f>IF(OR(B485="",J485=""),"",IF(SUMPRODUCT((J485&gt;=HolidayStart)*(J485&lt;=HolidayEnd)*(HolidayStart&lt;&gt;""))&gt;0,"Conflict: "&amp;INDEX(HolidayName,SUMPRODUCT((J485&gt;=HolidayStart)*(J485&lt;=HolidayEnd)*(HolidayStart&lt;&gt;"")*ROW(HolidayStart))-ROW(INDEX(HolidayStart,1,1))+1),""))</f>
        <v/>
      </c>
    </row>
    <row r="486" spans="1:17" ht="24" customHeight="1">
      <c r="A486" s="21">
        <v>482</v>
      </c>
      <c r="B486" s="22"/>
      <c r="C486" s="23"/>
      <c r="D486" s="23"/>
      <c r="E486" s="24"/>
      <c r="F486" s="25"/>
      <c r="G486" s="25"/>
      <c r="H486" s="25"/>
      <c r="I486" s="26"/>
      <c r="J486" s="26"/>
      <c r="K486" s="25"/>
      <c r="L486" s="25"/>
      <c r="M486" s="25"/>
      <c r="N486" s="24"/>
      <c r="O486" s="24"/>
      <c r="P486" s="24"/>
      <c r="Q486" s="27" t="str">
        <f>IF(OR(B486="",J486=""),"",IF(SUMPRODUCT((J486&gt;=HolidayStart)*(J486&lt;=HolidayEnd)*(HolidayStart&lt;&gt;""))&gt;0,"Conflict: "&amp;INDEX(HolidayName,SUMPRODUCT((J486&gt;=HolidayStart)*(J486&lt;=HolidayEnd)*(HolidayStart&lt;&gt;"")*ROW(HolidayStart))-ROW(INDEX(HolidayStart,1,1))+1),""))</f>
        <v/>
      </c>
    </row>
    <row r="487" spans="1:17" ht="24" customHeight="1">
      <c r="A487" s="14">
        <v>483</v>
      </c>
      <c r="B487" s="15"/>
      <c r="C487" s="16"/>
      <c r="D487" s="16"/>
      <c r="E487" s="17"/>
      <c r="F487" s="18"/>
      <c r="G487" s="18"/>
      <c r="H487" s="18"/>
      <c r="I487" s="19"/>
      <c r="J487" s="19"/>
      <c r="K487" s="18"/>
      <c r="L487" s="18"/>
      <c r="M487" s="18"/>
      <c r="N487" s="17"/>
      <c r="O487" s="17"/>
      <c r="P487" s="17"/>
      <c r="Q487" s="20" t="str">
        <f>IF(OR(B487="",J487=""),"",IF(SUMPRODUCT((J487&gt;=HolidayStart)*(J487&lt;=HolidayEnd)*(HolidayStart&lt;&gt;""))&gt;0,"Conflict: "&amp;INDEX(HolidayName,SUMPRODUCT((J487&gt;=HolidayStart)*(J487&lt;=HolidayEnd)*(HolidayStart&lt;&gt;"")*ROW(HolidayStart))-ROW(INDEX(HolidayStart,1,1))+1),""))</f>
        <v/>
      </c>
    </row>
    <row r="488" spans="1:17" ht="24" customHeight="1">
      <c r="A488" s="21">
        <v>484</v>
      </c>
      <c r="B488" s="22"/>
      <c r="C488" s="23"/>
      <c r="D488" s="23"/>
      <c r="E488" s="24"/>
      <c r="F488" s="25"/>
      <c r="G488" s="25"/>
      <c r="H488" s="25"/>
      <c r="I488" s="26"/>
      <c r="J488" s="26"/>
      <c r="K488" s="25"/>
      <c r="L488" s="25"/>
      <c r="M488" s="25"/>
      <c r="N488" s="24"/>
      <c r="O488" s="24"/>
      <c r="P488" s="24"/>
      <c r="Q488" s="27" t="str">
        <f>IF(OR(B488="",J488=""),"",IF(SUMPRODUCT((J488&gt;=HolidayStart)*(J488&lt;=HolidayEnd)*(HolidayStart&lt;&gt;""))&gt;0,"Conflict: "&amp;INDEX(HolidayName,SUMPRODUCT((J488&gt;=HolidayStart)*(J488&lt;=HolidayEnd)*(HolidayStart&lt;&gt;"")*ROW(HolidayStart))-ROW(INDEX(HolidayStart,1,1))+1),""))</f>
        <v/>
      </c>
    </row>
    <row r="489" spans="1:17" ht="24" customHeight="1">
      <c r="A489" s="14">
        <v>485</v>
      </c>
      <c r="B489" s="15"/>
      <c r="C489" s="16"/>
      <c r="D489" s="16"/>
      <c r="E489" s="17"/>
      <c r="F489" s="18"/>
      <c r="G489" s="18"/>
      <c r="H489" s="18"/>
      <c r="I489" s="19"/>
      <c r="J489" s="19"/>
      <c r="K489" s="18"/>
      <c r="L489" s="18"/>
      <c r="M489" s="18"/>
      <c r="N489" s="17"/>
      <c r="O489" s="17"/>
      <c r="P489" s="17"/>
      <c r="Q489" s="20" t="str">
        <f>IF(OR(B489="",J489=""),"",IF(SUMPRODUCT((J489&gt;=HolidayStart)*(J489&lt;=HolidayEnd)*(HolidayStart&lt;&gt;""))&gt;0,"Conflict: "&amp;INDEX(HolidayName,SUMPRODUCT((J489&gt;=HolidayStart)*(J489&lt;=HolidayEnd)*(HolidayStart&lt;&gt;"")*ROW(HolidayStart))-ROW(INDEX(HolidayStart,1,1))+1),""))</f>
        <v/>
      </c>
    </row>
    <row r="490" spans="1:17" ht="24" customHeight="1">
      <c r="A490" s="21">
        <v>486</v>
      </c>
      <c r="B490" s="22"/>
      <c r="C490" s="23"/>
      <c r="D490" s="23"/>
      <c r="E490" s="24"/>
      <c r="F490" s="25"/>
      <c r="G490" s="25"/>
      <c r="H490" s="25"/>
      <c r="I490" s="26"/>
      <c r="J490" s="26"/>
      <c r="K490" s="25"/>
      <c r="L490" s="25"/>
      <c r="M490" s="25"/>
      <c r="N490" s="24"/>
      <c r="O490" s="24"/>
      <c r="P490" s="24"/>
      <c r="Q490" s="27" t="str">
        <f>IF(OR(B490="",J490=""),"",IF(SUMPRODUCT((J490&gt;=HolidayStart)*(J490&lt;=HolidayEnd)*(HolidayStart&lt;&gt;""))&gt;0,"Conflict: "&amp;INDEX(HolidayName,SUMPRODUCT((J490&gt;=HolidayStart)*(J490&lt;=HolidayEnd)*(HolidayStart&lt;&gt;"")*ROW(HolidayStart))-ROW(INDEX(HolidayStart,1,1))+1),""))</f>
        <v/>
      </c>
    </row>
    <row r="491" spans="1:17" ht="24" customHeight="1">
      <c r="A491" s="14">
        <v>487</v>
      </c>
      <c r="B491" s="15"/>
      <c r="C491" s="16"/>
      <c r="D491" s="16"/>
      <c r="E491" s="17"/>
      <c r="F491" s="18"/>
      <c r="G491" s="18"/>
      <c r="H491" s="18"/>
      <c r="I491" s="19"/>
      <c r="J491" s="19"/>
      <c r="K491" s="18"/>
      <c r="L491" s="18"/>
      <c r="M491" s="18"/>
      <c r="N491" s="17"/>
      <c r="O491" s="17"/>
      <c r="P491" s="17"/>
      <c r="Q491" s="20" t="str">
        <f>IF(OR(B491="",J491=""),"",IF(SUMPRODUCT((J491&gt;=HolidayStart)*(J491&lt;=HolidayEnd)*(HolidayStart&lt;&gt;""))&gt;0,"Conflict: "&amp;INDEX(HolidayName,SUMPRODUCT((J491&gt;=HolidayStart)*(J491&lt;=HolidayEnd)*(HolidayStart&lt;&gt;"")*ROW(HolidayStart))-ROW(INDEX(HolidayStart,1,1))+1),""))</f>
        <v/>
      </c>
    </row>
    <row r="492" spans="1:17" ht="24" customHeight="1">
      <c r="A492" s="21">
        <v>488</v>
      </c>
      <c r="B492" s="22"/>
      <c r="C492" s="23"/>
      <c r="D492" s="23"/>
      <c r="E492" s="24"/>
      <c r="F492" s="25"/>
      <c r="G492" s="25"/>
      <c r="H492" s="25"/>
      <c r="I492" s="26"/>
      <c r="J492" s="26"/>
      <c r="K492" s="25"/>
      <c r="L492" s="25"/>
      <c r="M492" s="25"/>
      <c r="N492" s="24"/>
      <c r="O492" s="24"/>
      <c r="P492" s="24"/>
      <c r="Q492" s="27" t="str">
        <f>IF(OR(B492="",J492=""),"",IF(SUMPRODUCT((J492&gt;=HolidayStart)*(J492&lt;=HolidayEnd)*(HolidayStart&lt;&gt;""))&gt;0,"Conflict: "&amp;INDEX(HolidayName,SUMPRODUCT((J492&gt;=HolidayStart)*(J492&lt;=HolidayEnd)*(HolidayStart&lt;&gt;"")*ROW(HolidayStart))-ROW(INDEX(HolidayStart,1,1))+1),""))</f>
        <v/>
      </c>
    </row>
    <row r="493" spans="1:17" ht="24" customHeight="1">
      <c r="A493" s="14">
        <v>489</v>
      </c>
      <c r="B493" s="15"/>
      <c r="C493" s="16"/>
      <c r="D493" s="16"/>
      <c r="E493" s="17"/>
      <c r="F493" s="18"/>
      <c r="G493" s="18"/>
      <c r="H493" s="18"/>
      <c r="I493" s="19"/>
      <c r="J493" s="19"/>
      <c r="K493" s="18"/>
      <c r="L493" s="18"/>
      <c r="M493" s="18"/>
      <c r="N493" s="17"/>
      <c r="O493" s="17"/>
      <c r="P493" s="17"/>
      <c r="Q493" s="20" t="str">
        <f>IF(OR(B493="",J493=""),"",IF(SUMPRODUCT((J493&gt;=HolidayStart)*(J493&lt;=HolidayEnd)*(HolidayStart&lt;&gt;""))&gt;0,"Conflict: "&amp;INDEX(HolidayName,SUMPRODUCT((J493&gt;=HolidayStart)*(J493&lt;=HolidayEnd)*(HolidayStart&lt;&gt;"")*ROW(HolidayStart))-ROW(INDEX(HolidayStart,1,1))+1),""))</f>
        <v/>
      </c>
    </row>
    <row r="494" spans="1:17" ht="24" customHeight="1">
      <c r="A494" s="21">
        <v>490</v>
      </c>
      <c r="B494" s="22"/>
      <c r="C494" s="23"/>
      <c r="D494" s="23"/>
      <c r="E494" s="24"/>
      <c r="F494" s="25"/>
      <c r="G494" s="25"/>
      <c r="H494" s="25"/>
      <c r="I494" s="26"/>
      <c r="J494" s="26"/>
      <c r="K494" s="25"/>
      <c r="L494" s="25"/>
      <c r="M494" s="25"/>
      <c r="N494" s="24"/>
      <c r="O494" s="24"/>
      <c r="P494" s="24"/>
      <c r="Q494" s="27" t="str">
        <f>IF(OR(B494="",J494=""),"",IF(SUMPRODUCT((J494&gt;=HolidayStart)*(J494&lt;=HolidayEnd)*(HolidayStart&lt;&gt;""))&gt;0,"Conflict: "&amp;INDEX(HolidayName,SUMPRODUCT((J494&gt;=HolidayStart)*(J494&lt;=HolidayEnd)*(HolidayStart&lt;&gt;"")*ROW(HolidayStart))-ROW(INDEX(HolidayStart,1,1))+1),""))</f>
        <v/>
      </c>
    </row>
    <row r="495" spans="1:17" ht="24" customHeight="1">
      <c r="A495" s="14">
        <v>491</v>
      </c>
      <c r="B495" s="15"/>
      <c r="C495" s="16"/>
      <c r="D495" s="16"/>
      <c r="E495" s="17"/>
      <c r="F495" s="18"/>
      <c r="G495" s="18"/>
      <c r="H495" s="18"/>
      <c r="I495" s="19"/>
      <c r="J495" s="19"/>
      <c r="K495" s="18"/>
      <c r="L495" s="18"/>
      <c r="M495" s="18"/>
      <c r="N495" s="17"/>
      <c r="O495" s="17"/>
      <c r="P495" s="17"/>
      <c r="Q495" s="20" t="str">
        <f>IF(OR(B495="",J495=""),"",IF(SUMPRODUCT((J495&gt;=HolidayStart)*(J495&lt;=HolidayEnd)*(HolidayStart&lt;&gt;""))&gt;0,"Conflict: "&amp;INDEX(HolidayName,SUMPRODUCT((J495&gt;=HolidayStart)*(J495&lt;=HolidayEnd)*(HolidayStart&lt;&gt;"")*ROW(HolidayStart))-ROW(INDEX(HolidayStart,1,1))+1),""))</f>
        <v/>
      </c>
    </row>
    <row r="496" spans="1:17" ht="24" customHeight="1">
      <c r="A496" s="21">
        <v>492</v>
      </c>
      <c r="B496" s="22"/>
      <c r="C496" s="23"/>
      <c r="D496" s="23"/>
      <c r="E496" s="24"/>
      <c r="F496" s="25"/>
      <c r="G496" s="25"/>
      <c r="H496" s="25"/>
      <c r="I496" s="26"/>
      <c r="J496" s="26"/>
      <c r="K496" s="25"/>
      <c r="L496" s="25"/>
      <c r="M496" s="25"/>
      <c r="N496" s="24"/>
      <c r="O496" s="24"/>
      <c r="P496" s="24"/>
      <c r="Q496" s="27" t="str">
        <f>IF(OR(B496="",J496=""),"",IF(SUMPRODUCT((J496&gt;=HolidayStart)*(J496&lt;=HolidayEnd)*(HolidayStart&lt;&gt;""))&gt;0,"Conflict: "&amp;INDEX(HolidayName,SUMPRODUCT((J496&gt;=HolidayStart)*(J496&lt;=HolidayEnd)*(HolidayStart&lt;&gt;"")*ROW(HolidayStart))-ROW(INDEX(HolidayStart,1,1))+1),""))</f>
        <v/>
      </c>
    </row>
    <row r="497" spans="1:17" ht="24" customHeight="1">
      <c r="A497" s="14">
        <v>493</v>
      </c>
      <c r="B497" s="15"/>
      <c r="C497" s="16"/>
      <c r="D497" s="16"/>
      <c r="E497" s="17"/>
      <c r="F497" s="18"/>
      <c r="G497" s="18"/>
      <c r="H497" s="18"/>
      <c r="I497" s="19"/>
      <c r="J497" s="19"/>
      <c r="K497" s="18"/>
      <c r="L497" s="18"/>
      <c r="M497" s="18"/>
      <c r="N497" s="17"/>
      <c r="O497" s="17"/>
      <c r="P497" s="17"/>
      <c r="Q497" s="20" t="str">
        <f>IF(OR(B497="",J497=""),"",IF(SUMPRODUCT((J497&gt;=HolidayStart)*(J497&lt;=HolidayEnd)*(HolidayStart&lt;&gt;""))&gt;0,"Conflict: "&amp;INDEX(HolidayName,SUMPRODUCT((J497&gt;=HolidayStart)*(J497&lt;=HolidayEnd)*(HolidayStart&lt;&gt;"")*ROW(HolidayStart))-ROW(INDEX(HolidayStart,1,1))+1),""))</f>
        <v/>
      </c>
    </row>
    <row r="498" spans="1:17" ht="24" customHeight="1">
      <c r="A498" s="21">
        <v>494</v>
      </c>
      <c r="B498" s="22"/>
      <c r="C498" s="23"/>
      <c r="D498" s="23"/>
      <c r="E498" s="24"/>
      <c r="F498" s="25"/>
      <c r="G498" s="25"/>
      <c r="H498" s="25"/>
      <c r="I498" s="26"/>
      <c r="J498" s="26"/>
      <c r="K498" s="25"/>
      <c r="L498" s="25"/>
      <c r="M498" s="25"/>
      <c r="N498" s="24"/>
      <c r="O498" s="24"/>
      <c r="P498" s="24"/>
      <c r="Q498" s="27" t="str">
        <f>IF(OR(B498="",J498=""),"",IF(SUMPRODUCT((J498&gt;=HolidayStart)*(J498&lt;=HolidayEnd)*(HolidayStart&lt;&gt;""))&gt;0,"Conflict: "&amp;INDEX(HolidayName,SUMPRODUCT((J498&gt;=HolidayStart)*(J498&lt;=HolidayEnd)*(HolidayStart&lt;&gt;"")*ROW(HolidayStart))-ROW(INDEX(HolidayStart,1,1))+1),""))</f>
        <v/>
      </c>
    </row>
    <row r="499" spans="1:17" ht="24" customHeight="1">
      <c r="A499" s="14">
        <v>495</v>
      </c>
      <c r="B499" s="15"/>
      <c r="C499" s="16"/>
      <c r="D499" s="16"/>
      <c r="E499" s="17"/>
      <c r="F499" s="18"/>
      <c r="G499" s="18"/>
      <c r="H499" s="18"/>
      <c r="I499" s="19"/>
      <c r="J499" s="19"/>
      <c r="K499" s="18"/>
      <c r="L499" s="18"/>
      <c r="M499" s="18"/>
      <c r="N499" s="17"/>
      <c r="O499" s="17"/>
      <c r="P499" s="17"/>
      <c r="Q499" s="20" t="str">
        <f>IF(OR(B499="",J499=""),"",IF(SUMPRODUCT((J499&gt;=HolidayStart)*(J499&lt;=HolidayEnd)*(HolidayStart&lt;&gt;""))&gt;0,"Conflict: "&amp;INDEX(HolidayName,SUMPRODUCT((J499&gt;=HolidayStart)*(J499&lt;=HolidayEnd)*(HolidayStart&lt;&gt;"")*ROW(HolidayStart))-ROW(INDEX(HolidayStart,1,1))+1),""))</f>
        <v/>
      </c>
    </row>
    <row r="500" spans="1:17" ht="24" customHeight="1">
      <c r="A500" s="21">
        <v>496</v>
      </c>
      <c r="B500" s="22"/>
      <c r="C500" s="23"/>
      <c r="D500" s="23"/>
      <c r="E500" s="24"/>
      <c r="F500" s="25"/>
      <c r="G500" s="25"/>
      <c r="H500" s="25"/>
      <c r="I500" s="26"/>
      <c r="J500" s="26"/>
      <c r="K500" s="25"/>
      <c r="L500" s="25"/>
      <c r="M500" s="25"/>
      <c r="N500" s="24"/>
      <c r="O500" s="24"/>
      <c r="P500" s="24"/>
      <c r="Q500" s="27" t="str">
        <f>IF(OR(B500="",J500=""),"",IF(SUMPRODUCT((J500&gt;=HolidayStart)*(J500&lt;=HolidayEnd)*(HolidayStart&lt;&gt;""))&gt;0,"Conflict: "&amp;INDEX(HolidayName,SUMPRODUCT((J500&gt;=HolidayStart)*(J500&lt;=HolidayEnd)*(HolidayStart&lt;&gt;"")*ROW(HolidayStart))-ROW(INDEX(HolidayStart,1,1))+1),""))</f>
        <v/>
      </c>
    </row>
    <row r="501" spans="1:17" ht="24" customHeight="1">
      <c r="A501" s="14">
        <v>497</v>
      </c>
      <c r="B501" s="15"/>
      <c r="C501" s="16"/>
      <c r="D501" s="16"/>
      <c r="E501" s="17"/>
      <c r="F501" s="18"/>
      <c r="G501" s="18"/>
      <c r="H501" s="18"/>
      <c r="I501" s="19"/>
      <c r="J501" s="19"/>
      <c r="K501" s="18"/>
      <c r="L501" s="18"/>
      <c r="M501" s="18"/>
      <c r="N501" s="17"/>
      <c r="O501" s="17"/>
      <c r="P501" s="17"/>
      <c r="Q501" s="20" t="str">
        <f>IF(OR(B501="",J501=""),"",IF(SUMPRODUCT((J501&gt;=HolidayStart)*(J501&lt;=HolidayEnd)*(HolidayStart&lt;&gt;""))&gt;0,"Conflict: "&amp;INDEX(HolidayName,SUMPRODUCT((J501&gt;=HolidayStart)*(J501&lt;=HolidayEnd)*(HolidayStart&lt;&gt;"")*ROW(HolidayStart))-ROW(INDEX(HolidayStart,1,1))+1),""))</f>
        <v/>
      </c>
    </row>
    <row r="502" spans="1:17" ht="24" customHeight="1">
      <c r="A502" s="21">
        <v>498</v>
      </c>
      <c r="B502" s="22"/>
      <c r="C502" s="23"/>
      <c r="D502" s="23"/>
      <c r="E502" s="24"/>
      <c r="F502" s="25"/>
      <c r="G502" s="25"/>
      <c r="H502" s="25"/>
      <c r="I502" s="26"/>
      <c r="J502" s="26"/>
      <c r="K502" s="25"/>
      <c r="L502" s="25"/>
      <c r="M502" s="25"/>
      <c r="N502" s="24"/>
      <c r="O502" s="24"/>
      <c r="P502" s="24"/>
      <c r="Q502" s="27" t="str">
        <f>IF(OR(B502="",J502=""),"",IF(SUMPRODUCT((J502&gt;=HolidayStart)*(J502&lt;=HolidayEnd)*(HolidayStart&lt;&gt;""))&gt;0,"Conflict: "&amp;INDEX(HolidayName,SUMPRODUCT((J502&gt;=HolidayStart)*(J502&lt;=HolidayEnd)*(HolidayStart&lt;&gt;"")*ROW(HolidayStart))-ROW(INDEX(HolidayStart,1,1))+1),""))</f>
        <v/>
      </c>
    </row>
    <row r="503" spans="1:17" ht="24" customHeight="1">
      <c r="A503" s="14">
        <v>499</v>
      </c>
      <c r="B503" s="15"/>
      <c r="C503" s="16"/>
      <c r="D503" s="16"/>
      <c r="E503" s="17"/>
      <c r="F503" s="18"/>
      <c r="G503" s="18"/>
      <c r="H503" s="18"/>
      <c r="I503" s="19"/>
      <c r="J503" s="19"/>
      <c r="K503" s="18"/>
      <c r="L503" s="18"/>
      <c r="M503" s="18"/>
      <c r="N503" s="17"/>
      <c r="O503" s="17"/>
      <c r="P503" s="17"/>
      <c r="Q503" s="20" t="str">
        <f>IF(OR(B503="",J503=""),"",IF(SUMPRODUCT((J503&gt;=HolidayStart)*(J503&lt;=HolidayEnd)*(HolidayStart&lt;&gt;""))&gt;0,"Conflict: "&amp;INDEX(HolidayName,SUMPRODUCT((J503&gt;=HolidayStart)*(J503&lt;=HolidayEnd)*(HolidayStart&lt;&gt;"")*ROW(HolidayStart))-ROW(INDEX(HolidayStart,1,1))+1),""))</f>
        <v/>
      </c>
    </row>
    <row r="504" spans="1:17" ht="24" customHeight="1">
      <c r="A504" s="21">
        <v>500</v>
      </c>
      <c r="B504" s="22"/>
      <c r="C504" s="23"/>
      <c r="D504" s="23"/>
      <c r="E504" s="24"/>
      <c r="F504" s="25"/>
      <c r="G504" s="25"/>
      <c r="H504" s="25"/>
      <c r="I504" s="26"/>
      <c r="J504" s="26"/>
      <c r="K504" s="25"/>
      <c r="L504" s="25"/>
      <c r="M504" s="25"/>
      <c r="N504" s="24"/>
      <c r="O504" s="24"/>
      <c r="P504" s="24"/>
      <c r="Q504" s="27" t="str">
        <f>IF(OR(B504="",J504=""),"",IF(SUMPRODUCT((J504&gt;=HolidayStart)*(J504&lt;=HolidayEnd)*(HolidayStart&lt;&gt;""))&gt;0,"Conflict: "&amp;INDEX(HolidayName,SUMPRODUCT((J504&gt;=HolidayStart)*(J504&lt;=HolidayEnd)*(HolidayStart&lt;&gt;"")*ROW(HolidayStart))-ROW(INDEX(HolidayStart,1,1))+1),""))</f>
        <v/>
      </c>
    </row>
  </sheetData>
  <mergeCells count="3">
    <mergeCell ref="A3:Q3"/>
    <mergeCell ref="A2:Q2"/>
    <mergeCell ref="A1:Q1"/>
  </mergeCells>
  <conditionalFormatting sqref="Q5:Q504">
    <cfRule type="expression" dxfId="85" priority="3">
      <formula>AND(Q5&lt;&gt;"",LEFT(Q5,9)="Conflict:")</formula>
    </cfRule>
  </conditionalFormatting>
  <conditionalFormatting sqref="M5:M504">
    <cfRule type="expression" dxfId="84" priority="4">
      <formula>$M5="On Track"</formula>
    </cfRule>
    <cfRule type="expression" dxfId="83" priority="5">
      <formula>$M5="At Risk"</formula>
    </cfRule>
    <cfRule type="expression" dxfId="82" priority="6">
      <formula>$M5="Delayed"</formula>
    </cfRule>
    <cfRule type="expression" dxfId="81" priority="7">
      <formula>$M5="Completed"</formula>
    </cfRule>
    <cfRule type="expression" dxfId="80" priority="8">
      <formula>$M5="On Hold"</formula>
    </cfRule>
  </conditionalFormatting>
  <dataValidations count="12">
    <dataValidation type="textLength" operator="lessThanOrEqual" allowBlank="1" showErrorMessage="1" errorTitle="Too long" error="Keep under 200 characters." sqref="B5:B504 O5:O504" xr:uid="{00000000-0002-0000-0200-000000000000}">
      <formula1>200</formula1>
      <formula2>0</formula2>
    </dataValidation>
    <dataValidation type="textLength" operator="lessThanOrEqual" allowBlank="1" showErrorMessage="1" errorTitle="Too long" error="Keep developer name under 100 characters." sqref="E5:E504" xr:uid="{00000000-0002-0000-0200-000001000000}">
      <formula1>100</formula1>
      <formula2>0</formula2>
    </dataValidation>
    <dataValidation type="textLength" operator="lessThanOrEqual" allowBlank="1" showErrorMessage="1" errorTitle="Too long" error="Keep version tag under 30 characters." sqref="F5:F504" xr:uid="{00000000-0002-0000-0200-000002000000}">
      <formula1>30</formula1>
      <formula2>0</formula2>
    </dataValidation>
    <dataValidation type="list" allowBlank="1" showErrorMessage="1" errorTitle="Invalid entry" error="Pick a platform: DPI, APIs, GSM, DFS or BI." sqref="G5:G504" xr:uid="{00000000-0002-0000-0200-000003000000}">
      <formula1>"DPI,APIs,GSM,DFS,BI"</formula1>
      <formula2>0</formula2>
    </dataValidation>
    <dataValidation type="list" allowBlank="1" showErrorMessage="1" errorTitle="Invalid entry" error="Pick a deployment type: Scheduled, Emergency, or Hotfix." sqref="H5:H504" xr:uid="{00000000-0002-0000-0200-000004000000}">
      <formula1>"Scheduled,Emergency,Hotfix"</formula1>
      <formula2>0</formula2>
    </dataValidation>
    <dataValidation type="date" allowBlank="1" showInputMessage="1" showErrorMessage="1" errorTitle="Invalid date" error="Not a valid date. Type it as yyyy-mm-dd (e.g. 2026-10-13), between 2026-01-01 and 2030-12-31." promptTitle="Date (yyyy-mm-dd)" prompt="Type the date as yyyy-mm-dd, e.g. 2026-10-13. Only real dates from 2026-01-01 to 2030-12-31 are accepted." sqref="I5:I504 J5:J504" xr:uid="{00000000-0002-0000-0200-000005000000}">
      <formula1>DATE(2026,1,1)</formula1>
      <formula2>DATE(2030,12,31)</formula2>
    </dataValidation>
    <dataValidation type="list" allowBlank="1" showErrorMessage="1" errorTitle="Invalid entry" error="Pick a stage from the dropdown." sqref="K5:K504" xr:uid="{00000000-0002-0000-0200-000006000000}">
      <formula1>"Development,SIT,UAT,CAB / RFC,Code Freeze,Pre-Prod,Production,Completed,On Hold"</formula1>
      <formula2>0</formula2>
    </dataValidation>
    <dataValidation type="list" allowBlank="1" showErrorMessage="1" errorTitle="Invalid entry" error="Pick an owner from the dropdown." sqref="L5:L504" xr:uid="{00000000-0002-0000-0200-000007000000}">
      <formula1>"Dev Team,Dev Lead,QA Lead,Business SME,Release Manager,DW Architect,Ops Team"</formula1>
      <formula2>0</formula2>
    </dataValidation>
    <dataValidation type="list" allowBlank="1" showErrorMessage="1" errorTitle="Invalid entry" error="Pick: On Track, At Risk, Delayed, Completed, or On Hold." sqref="M5:M504" xr:uid="{00000000-0002-0000-0200-000008000000}">
      <formula1>"On Track,At Risk,Delayed,Completed,On Hold"</formula1>
      <formula2>0</formula2>
    </dataValidation>
    <dataValidation type="textLength" operator="lessThanOrEqual" allowBlank="1" showInputMessage="1" showErrorMessage="1" errorTitle="Too long" error="Keep the RITM number under 30 characters." promptTitle="RITM" prompt="Enter the RITM ticket number." sqref="C5:C504" xr:uid="{00000000-0002-0000-0200-000009000000}">
      <formula1>30</formula1>
    </dataValidation>
    <dataValidation type="textLength" operator="lessThanOrEqual" allowBlank="1" showInputMessage="1" showErrorMessage="1" errorTitle="Too long" error="Keep the CR number under 30 characters." promptTitle="CR" prompt="Enter the CR ticket number." sqref="D5:D504" xr:uid="{00000000-0002-0000-0200-00000A000000}">
      <formula1>30</formula1>
    </dataValidation>
    <dataValidation type="textLength" operator="lessThanOrEqual" allowBlank="1" showInputMessage="1" showErrorMessage="1" errorTitle="Too long" error="Keep the list under 1000 characters." promptTitle="DB Objects Changed" prompt="List the tables / views / procedures changed, separated by commas." sqref="N5:N504" xr:uid="{00000000-0002-0000-0200-00000B000000}">
      <formula1>1000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6A4F"/>
  </sheetPr>
  <dimension ref="A1:R510"/>
  <sheetViews>
    <sheetView showGridLines="0" zoomScaleNormal="100" workbookViewId="0">
      <pane xSplit="4" ySplit="4" topLeftCell="E5" activePane="bottomRight" state="frozen"/>
      <selection pane="bottomRight" activeCell="F19" sqref="F19"/>
      <selection pane="bottomLeft" activeCell="A5" sqref="A5"/>
      <selection pane="topRight"/>
    </sheetView>
  </sheetViews>
  <sheetFormatPr defaultColWidth="8.7109375" defaultRowHeight="15"/>
  <cols>
    <col min="1" max="1" width="5" customWidth="1"/>
    <col min="2" max="2" width="36" customWidth="1"/>
    <col min="3" max="3" width="14" customWidth="1"/>
    <col min="4" max="4" width="12" customWidth="1"/>
    <col min="5" max="16" width="7.42578125" customWidth="1"/>
    <col min="17" max="18" width="0.140625" hidden="1" customWidth="1"/>
  </cols>
  <sheetData>
    <row r="1" spans="1:18" ht="36" customHeight="1">
      <c r="A1" s="98" t="s">
        <v>155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8" ht="20.100000000000001" customHeight="1">
      <c r="A2" s="101" t="s">
        <v>156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1:18" ht="21.95" customHeight="1">
      <c r="A3" s="65"/>
      <c r="B3" s="66" t="s">
        <v>157</v>
      </c>
      <c r="C3" s="65"/>
      <c r="D3" s="65"/>
      <c r="E3" s="109" t="s">
        <v>19</v>
      </c>
      <c r="F3" s="130"/>
      <c r="G3" s="108" t="s">
        <v>21</v>
      </c>
      <c r="H3" s="130"/>
      <c r="I3" s="113" t="s">
        <v>23</v>
      </c>
      <c r="J3" s="130"/>
      <c r="K3" s="100" t="s">
        <v>25</v>
      </c>
      <c r="L3" s="130"/>
      <c r="M3" s="106" t="s">
        <v>27</v>
      </c>
      <c r="N3" s="130"/>
      <c r="O3" s="112" t="s">
        <v>158</v>
      </c>
      <c r="P3" s="131"/>
    </row>
    <row r="4" spans="1:18" ht="32.1" customHeight="1">
      <c r="A4" s="67" t="s">
        <v>46</v>
      </c>
      <c r="B4" s="67" t="s">
        <v>69</v>
      </c>
      <c r="C4" s="67" t="s">
        <v>77</v>
      </c>
      <c r="D4" s="67" t="s">
        <v>79</v>
      </c>
      <c r="E4" s="68" t="s">
        <v>159</v>
      </c>
      <c r="F4" s="68" t="s">
        <v>160</v>
      </c>
      <c r="G4" s="68" t="s">
        <v>161</v>
      </c>
      <c r="H4" s="68" t="s">
        <v>162</v>
      </c>
      <c r="I4" s="68" t="s">
        <v>163</v>
      </c>
      <c r="J4" s="68" t="s">
        <v>164</v>
      </c>
      <c r="K4" s="68" t="s">
        <v>165</v>
      </c>
      <c r="L4" s="68" t="s">
        <v>166</v>
      </c>
      <c r="M4" s="68" t="s">
        <v>167</v>
      </c>
      <c r="N4" s="68" t="s">
        <v>168</v>
      </c>
      <c r="O4" s="68" t="s">
        <v>169</v>
      </c>
      <c r="P4" s="68" t="s">
        <v>170</v>
      </c>
    </row>
    <row r="5" spans="1:18" ht="20.100000000000001" customHeight="1">
      <c r="A5" s="14">
        <v>1</v>
      </c>
      <c r="B5" s="28" t="str">
        <f>IF('Release Calendar'!B5&lt;&gt;"",'Release Calendar'!B5,"")</f>
        <v>BVS Sales Old Age flag Core</v>
      </c>
      <c r="C5" s="29" t="str">
        <f>IF('Release Calendar'!K5&lt;&gt;"",'Release Calendar'!K5,"")</f>
        <v>Production</v>
      </c>
      <c r="D5" s="29" t="str">
        <f>IF('Release Calendar'!M5&lt;&gt;"",'Release Calendar'!M5,"")</f>
        <v>Completed</v>
      </c>
      <c r="E5" s="30" t="str">
        <f>IF(AND(Q5&lt;&gt;"",R5&lt;&gt;"",DATE(2026,2,0)&gt;=Q5,DATE(2026,1,1)&lt;=R5),"█","")</f>
        <v/>
      </c>
      <c r="F5" s="30" t="str">
        <f>IF(AND(Q5&lt;&gt;"",R5&lt;&gt;"",DATE(2026,3,0)&gt;=Q5,DATE(2026,2,1)&lt;=R5),"█","")</f>
        <v/>
      </c>
      <c r="G5" s="30" t="str">
        <f>IF(AND(Q5&lt;&gt;"",R5&lt;&gt;"",DATE(2026,4,0)&gt;=Q5,DATE(2026,3,1)&lt;=R5),"█","")</f>
        <v/>
      </c>
      <c r="H5" s="30" t="str">
        <f>IF(AND(Q5&lt;&gt;"",R5&lt;&gt;"",DATE(2026,5,0)&gt;=Q5,DATE(2026,4,1)&lt;=R5),"█","")</f>
        <v/>
      </c>
      <c r="I5" s="30" t="str">
        <f>IF(AND(Q5&lt;&gt;"",R5&lt;&gt;"",DATE(2026,6,0)&gt;=Q5,DATE(2026,5,1)&lt;=R5),"█","")</f>
        <v/>
      </c>
      <c r="J5" s="30" t="str">
        <f>IF(AND(Q5&lt;&gt;"",R5&lt;&gt;"",DATE(2026,7,0)&gt;=Q5,DATE(2026,6,1)&lt;=R5),"█","")</f>
        <v/>
      </c>
      <c r="K5" s="30" t="str">
        <f>IF(AND(Q5&lt;&gt;"",R5&lt;&gt;"",DATE(2026,8,0)&gt;=Q5,DATE(2026,7,1)&lt;=R5),"█","")</f>
        <v/>
      </c>
      <c r="L5" s="30" t="str">
        <f>IF(AND(Q5&lt;&gt;"",R5&lt;&gt;"",DATE(2026,9,0)&gt;=Q5,DATE(2026,8,1)&lt;=R5),"█","")</f>
        <v>█</v>
      </c>
      <c r="M5" s="30" t="str">
        <f>IF(AND(Q5&lt;&gt;"",R5&lt;&gt;"",DATE(2026,10,0)&gt;=Q5,DATE(2026,9,1)&lt;=R5),"█","")</f>
        <v/>
      </c>
      <c r="N5" s="30" t="str">
        <f>IF(AND(Q5&lt;&gt;"",R5&lt;&gt;"",DATE(2026,11,0)&gt;=Q5,DATE(2026,10,1)&lt;=R5),"█","")</f>
        <v/>
      </c>
      <c r="O5" s="30" t="str">
        <f>IF(AND(Q5&lt;&gt;"",R5&lt;&gt;"",DATE(2026,12,0)&gt;=Q5,DATE(2026,11,1)&lt;=R5),"█","")</f>
        <v/>
      </c>
      <c r="P5" s="30" t="str">
        <f>IF(AND(Q5&lt;&gt;"",R5&lt;&gt;"",DATE(2026,12,31)&gt;=Q5,DATE(2026,12,1)&lt;=R5),"█","")</f>
        <v/>
      </c>
      <c r="Q5" s="7">
        <f>IF('Release Calendar'!I5&lt;&gt;"",'Release Calendar'!I5,"")</f>
        <v>46238</v>
      </c>
      <c r="R5" s="7">
        <f>IF('Release Calendar'!J5&lt;&gt;"",'Release Calendar'!J5,"")</f>
        <v>46246</v>
      </c>
    </row>
    <row r="6" spans="1:18" ht="20.100000000000001" customHeight="1">
      <c r="A6" s="31">
        <v>2</v>
      </c>
      <c r="B6" s="32" t="str">
        <f>IF('Release Calendar'!B6&lt;&gt;"",'Release Calendar'!B6,"")</f>
        <v>OMNI API table export</v>
      </c>
      <c r="C6" s="33" t="str">
        <f>IF('Release Calendar'!K6&lt;&gt;"",'Release Calendar'!K6,"")</f>
        <v>Production</v>
      </c>
      <c r="D6" s="33" t="str">
        <f>IF('Release Calendar'!M6&lt;&gt;"",'Release Calendar'!M6,"")</f>
        <v>Completed</v>
      </c>
      <c r="E6" s="34" t="str">
        <f>IF(AND(Q6&lt;&gt;"",R6&lt;&gt;"",DATE(2026,2,0)&gt;=Q6,DATE(2026,1,1)&lt;=R6),"█","")</f>
        <v/>
      </c>
      <c r="F6" s="34" t="str">
        <f>IF(AND(Q6&lt;&gt;"",R6&lt;&gt;"",DATE(2026,3,0)&gt;=Q6,DATE(2026,2,1)&lt;=R6),"█","")</f>
        <v/>
      </c>
      <c r="G6" s="34" t="str">
        <f>IF(AND(Q6&lt;&gt;"",R6&lt;&gt;"",DATE(2026,4,0)&gt;=Q6,DATE(2026,3,1)&lt;=R6),"█","")</f>
        <v/>
      </c>
      <c r="H6" s="34" t="str">
        <f>IF(AND(Q6&lt;&gt;"",R6&lt;&gt;"",DATE(2026,5,0)&gt;=Q6,DATE(2026,4,1)&lt;=R6),"█","")</f>
        <v/>
      </c>
      <c r="I6" s="34" t="str">
        <f>IF(AND(Q6&lt;&gt;"",R6&lt;&gt;"",DATE(2026,6,0)&gt;=Q6,DATE(2026,5,1)&lt;=R6),"█","")</f>
        <v/>
      </c>
      <c r="J6" s="34" t="str">
        <f>IF(AND(Q6&lt;&gt;"",R6&lt;&gt;"",DATE(2026,7,0)&gt;=Q6,DATE(2026,6,1)&lt;=R6),"█","")</f>
        <v/>
      </c>
      <c r="K6" s="34" t="str">
        <f>IF(AND(Q6&lt;&gt;"",R6&lt;&gt;"",DATE(2026,8,0)&gt;=Q6,DATE(2026,7,1)&lt;=R6),"█","")</f>
        <v/>
      </c>
      <c r="L6" s="34" t="str">
        <f>IF(AND(Q6&lt;&gt;"",R6&lt;&gt;"",DATE(2026,9,0)&gt;=Q6,DATE(2026,8,1)&lt;=R6),"█","")</f>
        <v>█</v>
      </c>
      <c r="M6" s="34" t="str">
        <f>IF(AND(Q6&lt;&gt;"",R6&lt;&gt;"",DATE(2026,10,0)&gt;=Q6,DATE(2026,9,1)&lt;=R6),"█","")</f>
        <v/>
      </c>
      <c r="N6" s="34" t="str">
        <f>IF(AND(Q6&lt;&gt;"",R6&lt;&gt;"",DATE(2026,11,0)&gt;=Q6,DATE(2026,10,1)&lt;=R6),"█","")</f>
        <v/>
      </c>
      <c r="O6" s="34" t="str">
        <f>IF(AND(Q6&lt;&gt;"",R6&lt;&gt;"",DATE(2026,12,0)&gt;=Q6,DATE(2026,11,1)&lt;=R6),"█","")</f>
        <v/>
      </c>
      <c r="P6" s="34" t="str">
        <f>IF(AND(Q6&lt;&gt;"",R6&lt;&gt;"",DATE(2026,12,31)&gt;=Q6,DATE(2026,12,1)&lt;=R6),"█","")</f>
        <v/>
      </c>
      <c r="Q6" s="7">
        <f>IF('Release Calendar'!I6&lt;&gt;"",'Release Calendar'!I6,"")</f>
        <v>46244</v>
      </c>
      <c r="R6" s="7">
        <f>IF('Release Calendar'!J6&lt;&gt;"",'Release Calendar'!J6,"")</f>
        <v>46246</v>
      </c>
    </row>
    <row r="7" spans="1:18" ht="20.100000000000001" customHeight="1">
      <c r="A7" s="14">
        <v>3</v>
      </c>
      <c r="B7" s="28" t="str">
        <f>IF('Release Calendar'!B7&lt;&gt;"",'Release Calendar'!B7,"")</f>
        <v>Multiplay 90 Days (Pre and Post)</v>
      </c>
      <c r="C7" s="29" t="str">
        <f>IF('Release Calendar'!K7&lt;&gt;"",'Release Calendar'!K7,"")</f>
        <v>Production</v>
      </c>
      <c r="D7" s="29" t="str">
        <f>IF('Release Calendar'!M7&lt;&gt;"",'Release Calendar'!M7,"")</f>
        <v>Completed</v>
      </c>
      <c r="E7" s="30" t="str">
        <f>IF(AND(Q7&lt;&gt;"",R7&lt;&gt;"",DATE(2026,2,0)&gt;=Q7,DATE(2026,1,1)&lt;=R7),"█","")</f>
        <v/>
      </c>
      <c r="F7" s="30" t="str">
        <f>IF(AND(Q7&lt;&gt;"",R7&lt;&gt;"",DATE(2026,3,0)&gt;=Q7,DATE(2026,2,1)&lt;=R7),"█","")</f>
        <v/>
      </c>
      <c r="G7" s="30" t="str">
        <f>IF(AND(Q7&lt;&gt;"",R7&lt;&gt;"",DATE(2026,4,0)&gt;=Q7,DATE(2026,3,1)&lt;=R7),"█","")</f>
        <v/>
      </c>
      <c r="H7" s="30" t="str">
        <f>IF(AND(Q7&lt;&gt;"",R7&lt;&gt;"",DATE(2026,5,0)&gt;=Q7,DATE(2026,4,1)&lt;=R7),"█","")</f>
        <v/>
      </c>
      <c r="I7" s="30" t="str">
        <f>IF(AND(Q7&lt;&gt;"",R7&lt;&gt;"",DATE(2026,6,0)&gt;=Q7,DATE(2026,5,1)&lt;=R7),"█","")</f>
        <v/>
      </c>
      <c r="J7" s="30" t="str">
        <f>IF(AND(Q7&lt;&gt;"",R7&lt;&gt;"",DATE(2026,7,0)&gt;=Q7,DATE(2026,6,1)&lt;=R7),"█","")</f>
        <v/>
      </c>
      <c r="K7" s="30" t="str">
        <f>IF(AND(Q7&lt;&gt;"",R7&lt;&gt;"",DATE(2026,8,0)&gt;=Q7,DATE(2026,7,1)&lt;=R7),"█","")</f>
        <v/>
      </c>
      <c r="L7" s="30" t="str">
        <f>IF(AND(Q7&lt;&gt;"",R7&lt;&gt;"",DATE(2026,9,0)&gt;=Q7,DATE(2026,8,1)&lt;=R7),"█","")</f>
        <v>█</v>
      </c>
      <c r="M7" s="30" t="str">
        <f>IF(AND(Q7&lt;&gt;"",R7&lt;&gt;"",DATE(2026,10,0)&gt;=Q7,DATE(2026,9,1)&lt;=R7),"█","")</f>
        <v/>
      </c>
      <c r="N7" s="30" t="str">
        <f>IF(AND(Q7&lt;&gt;"",R7&lt;&gt;"",DATE(2026,11,0)&gt;=Q7,DATE(2026,10,1)&lt;=R7),"█","")</f>
        <v/>
      </c>
      <c r="O7" s="30" t="str">
        <f>IF(AND(Q7&lt;&gt;"",R7&lt;&gt;"",DATE(2026,12,0)&gt;=Q7,DATE(2026,11,1)&lt;=R7),"█","")</f>
        <v/>
      </c>
      <c r="P7" s="30" t="str">
        <f>IF(AND(Q7&lt;&gt;"",R7&lt;&gt;"",DATE(2026,12,31)&gt;=Q7,DATE(2026,12,1)&lt;=R7),"█","")</f>
        <v/>
      </c>
      <c r="Q7" s="7">
        <f>IF('Release Calendar'!I7&lt;&gt;"",'Release Calendar'!I7,"")</f>
        <v>46237</v>
      </c>
      <c r="R7" s="7">
        <f>IF('Release Calendar'!J7&lt;&gt;"",'Release Calendar'!J7,"")</f>
        <v>46252</v>
      </c>
    </row>
    <row r="8" spans="1:18" ht="20.100000000000001" customHeight="1">
      <c r="A8" s="31">
        <v>4</v>
      </c>
      <c r="B8" s="32" t="str">
        <f>IF('Release Calendar'!B8&lt;&gt;"",'Release Calendar'!B8,"")</f>
        <v>Addition in Universal Charging Base</v>
      </c>
      <c r="C8" s="33" t="str">
        <f>IF('Release Calendar'!K8&lt;&gt;"",'Release Calendar'!K8,"")</f>
        <v>Production</v>
      </c>
      <c r="D8" s="33" t="str">
        <f>IF('Release Calendar'!M8&lt;&gt;"",'Release Calendar'!M8,"")</f>
        <v>Completed</v>
      </c>
      <c r="E8" s="34" t="str">
        <f>IF(AND(Q8&lt;&gt;"",R8&lt;&gt;"",DATE(2026,2,0)&gt;=Q8,DATE(2026,1,1)&lt;=R8),"█","")</f>
        <v/>
      </c>
      <c r="F8" s="34" t="str">
        <f>IF(AND(Q8&lt;&gt;"",R8&lt;&gt;"",DATE(2026,3,0)&gt;=Q8,DATE(2026,2,1)&lt;=R8),"█","")</f>
        <v/>
      </c>
      <c r="G8" s="34" t="str">
        <f>IF(AND(Q8&lt;&gt;"",R8&lt;&gt;"",DATE(2026,4,0)&gt;=Q8,DATE(2026,3,1)&lt;=R8),"█","")</f>
        <v/>
      </c>
      <c r="H8" s="34" t="str">
        <f>IF(AND(Q8&lt;&gt;"",R8&lt;&gt;"",DATE(2026,5,0)&gt;=Q8,DATE(2026,4,1)&lt;=R8),"█","")</f>
        <v/>
      </c>
      <c r="I8" s="34" t="str">
        <f>IF(AND(Q8&lt;&gt;"",R8&lt;&gt;"",DATE(2026,6,0)&gt;=Q8,DATE(2026,5,1)&lt;=R8),"█","")</f>
        <v/>
      </c>
      <c r="J8" s="34" t="str">
        <f>IF(AND(Q8&lt;&gt;"",R8&lt;&gt;"",DATE(2026,7,0)&gt;=Q8,DATE(2026,6,1)&lt;=R8),"█","")</f>
        <v/>
      </c>
      <c r="K8" s="34" t="str">
        <f>IF(AND(Q8&lt;&gt;"",R8&lt;&gt;"",DATE(2026,8,0)&gt;=Q8,DATE(2026,7,1)&lt;=R8),"█","")</f>
        <v/>
      </c>
      <c r="L8" s="34" t="str">
        <f>IF(AND(Q8&lt;&gt;"",R8&lt;&gt;"",DATE(2026,9,0)&gt;=Q8,DATE(2026,8,1)&lt;=R8),"█","")</f>
        <v>█</v>
      </c>
      <c r="M8" s="34" t="str">
        <f>IF(AND(Q8&lt;&gt;"",R8&lt;&gt;"",DATE(2026,10,0)&gt;=Q8,DATE(2026,9,1)&lt;=R8),"█","")</f>
        <v/>
      </c>
      <c r="N8" s="34" t="str">
        <f>IF(AND(Q8&lt;&gt;"",R8&lt;&gt;"",DATE(2026,11,0)&gt;=Q8,DATE(2026,10,1)&lt;=R8),"█","")</f>
        <v/>
      </c>
      <c r="O8" s="34" t="str">
        <f>IF(AND(Q8&lt;&gt;"",R8&lt;&gt;"",DATE(2026,12,0)&gt;=Q8,DATE(2026,11,1)&lt;=R8),"█","")</f>
        <v/>
      </c>
      <c r="P8" s="34" t="str">
        <f>IF(AND(Q8&lt;&gt;"",R8&lt;&gt;"",DATE(2026,12,31)&gt;=Q8,DATE(2026,12,1)&lt;=R8),"█","")</f>
        <v/>
      </c>
      <c r="Q8" s="7">
        <f>IF('Release Calendar'!I8&lt;&gt;"",'Release Calendar'!I8,"")</f>
        <v>46251</v>
      </c>
      <c r="R8" s="7">
        <f>IF('Release Calendar'!J8&lt;&gt;"",'Release Calendar'!J8,"")</f>
        <v>46253</v>
      </c>
    </row>
    <row r="9" spans="1:18" ht="20.100000000000001" customHeight="1">
      <c r="A9" s="14">
        <v>5</v>
      </c>
      <c r="B9" s="28" t="str">
        <f>IF('Release Calendar'!B9&lt;&gt;"",'Release Calendar'!B9,"")</f>
        <v>postpaid lifecycle hotfix</v>
      </c>
      <c r="C9" s="29" t="str">
        <f>IF('Release Calendar'!K9&lt;&gt;"",'Release Calendar'!K9,"")</f>
        <v>Production</v>
      </c>
      <c r="D9" s="29" t="str">
        <f>IF('Release Calendar'!M9&lt;&gt;"",'Release Calendar'!M9,"")</f>
        <v>Completed</v>
      </c>
      <c r="E9" s="30" t="str">
        <f>IF(AND(Q9&lt;&gt;"",R9&lt;&gt;"",DATE(2026,2,0)&gt;=Q9,DATE(2026,1,1)&lt;=R9),"█","")</f>
        <v/>
      </c>
      <c r="F9" s="30" t="str">
        <f>IF(AND(Q9&lt;&gt;"",R9&lt;&gt;"",DATE(2026,3,0)&gt;=Q9,DATE(2026,2,1)&lt;=R9),"█","")</f>
        <v/>
      </c>
      <c r="G9" s="30" t="str">
        <f>IF(AND(Q9&lt;&gt;"",R9&lt;&gt;"",DATE(2026,4,0)&gt;=Q9,DATE(2026,3,1)&lt;=R9),"█","")</f>
        <v/>
      </c>
      <c r="H9" s="30" t="str">
        <f>IF(AND(Q9&lt;&gt;"",R9&lt;&gt;"",DATE(2026,5,0)&gt;=Q9,DATE(2026,4,1)&lt;=R9),"█","")</f>
        <v/>
      </c>
      <c r="I9" s="30" t="str">
        <f>IF(AND(Q9&lt;&gt;"",R9&lt;&gt;"",DATE(2026,6,0)&gt;=Q9,DATE(2026,5,1)&lt;=R9),"█","")</f>
        <v/>
      </c>
      <c r="J9" s="30" t="str">
        <f>IF(AND(Q9&lt;&gt;"",R9&lt;&gt;"",DATE(2026,7,0)&gt;=Q9,DATE(2026,6,1)&lt;=R9),"█","")</f>
        <v/>
      </c>
      <c r="K9" s="30" t="str">
        <f>IF(AND(Q9&lt;&gt;"",R9&lt;&gt;"",DATE(2026,8,0)&gt;=Q9,DATE(2026,7,1)&lt;=R9),"█","")</f>
        <v/>
      </c>
      <c r="L9" s="30" t="str">
        <f>IF(AND(Q9&lt;&gt;"",R9&lt;&gt;"",DATE(2026,9,0)&gt;=Q9,DATE(2026,8,1)&lt;=R9),"█","")</f>
        <v>█</v>
      </c>
      <c r="M9" s="30" t="str">
        <f>IF(AND(Q9&lt;&gt;"",R9&lt;&gt;"",DATE(2026,10,0)&gt;=Q9,DATE(2026,9,1)&lt;=R9),"█","")</f>
        <v/>
      </c>
      <c r="N9" s="30" t="str">
        <f>IF(AND(Q9&lt;&gt;"",R9&lt;&gt;"",DATE(2026,11,0)&gt;=Q9,DATE(2026,10,1)&lt;=R9),"█","")</f>
        <v/>
      </c>
      <c r="O9" s="30" t="str">
        <f>IF(AND(Q9&lt;&gt;"",R9&lt;&gt;"",DATE(2026,12,0)&gt;=Q9,DATE(2026,11,1)&lt;=R9),"█","")</f>
        <v/>
      </c>
      <c r="P9" s="30" t="str">
        <f>IF(AND(Q9&lt;&gt;"",R9&lt;&gt;"",DATE(2026,12,31)&gt;=Q9,DATE(2026,12,1)&lt;=R9),"█","")</f>
        <v/>
      </c>
      <c r="Q9" s="7">
        <f>IF('Release Calendar'!I9&lt;&gt;"",'Release Calendar'!I9,"")</f>
        <v>46251</v>
      </c>
      <c r="R9" s="7">
        <f>IF('Release Calendar'!J9&lt;&gt;"",'Release Calendar'!J9,"")</f>
        <v>46251</v>
      </c>
    </row>
    <row r="10" spans="1:18" ht="20.100000000000001" customHeight="1">
      <c r="A10" s="31">
        <v>6</v>
      </c>
      <c r="B10" s="32" t="str">
        <f>IF('Release Calendar'!B10&lt;&gt;"",'Release Calendar'!B10,"")</f>
        <v>BVS Sales Old Age flag Semantic</v>
      </c>
      <c r="C10" s="33" t="str">
        <f>IF('Release Calendar'!K10&lt;&gt;"",'Release Calendar'!K10,"")</f>
        <v>Production</v>
      </c>
      <c r="D10" s="33" t="str">
        <f>IF('Release Calendar'!M10&lt;&gt;"",'Release Calendar'!M10,"")</f>
        <v>Completed</v>
      </c>
      <c r="E10" s="34" t="str">
        <f>IF(AND(Q10&lt;&gt;"",R10&lt;&gt;"",DATE(2026,2,0)&gt;=Q10,DATE(2026,1,1)&lt;=R10),"█","")</f>
        <v/>
      </c>
      <c r="F10" s="34" t="str">
        <f>IF(AND(Q10&lt;&gt;"",R10&lt;&gt;"",DATE(2026,3,0)&gt;=Q10,DATE(2026,2,1)&lt;=R10),"█","")</f>
        <v/>
      </c>
      <c r="G10" s="34" t="str">
        <f>IF(AND(Q10&lt;&gt;"",R10&lt;&gt;"",DATE(2026,4,0)&gt;=Q10,DATE(2026,3,1)&lt;=R10),"█","")</f>
        <v/>
      </c>
      <c r="H10" s="34" t="str">
        <f>IF(AND(Q10&lt;&gt;"",R10&lt;&gt;"",DATE(2026,5,0)&gt;=Q10,DATE(2026,4,1)&lt;=R10),"█","")</f>
        <v/>
      </c>
      <c r="I10" s="34" t="str">
        <f>IF(AND(Q10&lt;&gt;"",R10&lt;&gt;"",DATE(2026,6,0)&gt;=Q10,DATE(2026,5,1)&lt;=R10),"█","")</f>
        <v/>
      </c>
      <c r="J10" s="34" t="str">
        <f>IF(AND(Q10&lt;&gt;"",R10&lt;&gt;"",DATE(2026,7,0)&gt;=Q10,DATE(2026,6,1)&lt;=R10),"█","")</f>
        <v/>
      </c>
      <c r="K10" s="34" t="str">
        <f>IF(AND(Q10&lt;&gt;"",R10&lt;&gt;"",DATE(2026,8,0)&gt;=Q10,DATE(2026,7,1)&lt;=R10),"█","")</f>
        <v/>
      </c>
      <c r="L10" s="34" t="str">
        <f>IF(AND(Q10&lt;&gt;"",R10&lt;&gt;"",DATE(2026,9,0)&gt;=Q10,DATE(2026,8,1)&lt;=R10),"█","")</f>
        <v>█</v>
      </c>
      <c r="M10" s="34" t="str">
        <f>IF(AND(Q10&lt;&gt;"",R10&lt;&gt;"",DATE(2026,10,0)&gt;=Q10,DATE(2026,9,1)&lt;=R10),"█","")</f>
        <v/>
      </c>
      <c r="N10" s="34" t="str">
        <f>IF(AND(Q10&lt;&gt;"",R10&lt;&gt;"",DATE(2026,11,0)&gt;=Q10,DATE(2026,10,1)&lt;=R10),"█","")</f>
        <v/>
      </c>
      <c r="O10" s="34" t="str">
        <f>IF(AND(Q10&lt;&gt;"",R10&lt;&gt;"",DATE(2026,12,0)&gt;=Q10,DATE(2026,11,1)&lt;=R10),"█","")</f>
        <v/>
      </c>
      <c r="P10" s="34" t="str">
        <f>IF(AND(Q10&lt;&gt;"",R10&lt;&gt;"",DATE(2026,12,31)&gt;=Q10,DATE(2026,12,1)&lt;=R10),"█","")</f>
        <v/>
      </c>
      <c r="Q10" s="7">
        <f>IF('Release Calendar'!I10&lt;&gt;"",'Release Calendar'!I10,"")</f>
        <v>46246</v>
      </c>
      <c r="R10" s="7">
        <f>IF('Release Calendar'!J10&lt;&gt;"",'Release Calendar'!J10,"")</f>
        <v>46253</v>
      </c>
    </row>
    <row r="11" spans="1:18" ht="20.100000000000001" customHeight="1">
      <c r="A11" s="14">
        <v>7</v>
      </c>
      <c r="B11" s="28" t="str">
        <f>IF('Release Calendar'!B11&lt;&gt;"",'Release Calendar'!B11,"")</f>
        <v>UCIP_LKP update</v>
      </c>
      <c r="C11" s="29" t="str">
        <f>IF('Release Calendar'!K11&lt;&gt;"",'Release Calendar'!K11,"")</f>
        <v>Production</v>
      </c>
      <c r="D11" s="29" t="str">
        <f>IF('Release Calendar'!M11&lt;&gt;"",'Release Calendar'!M11,"")</f>
        <v>Completed</v>
      </c>
      <c r="E11" s="30" t="str">
        <f>IF(AND(Q11&lt;&gt;"",R11&lt;&gt;"",DATE(2026,2,0)&gt;=Q11,DATE(2026,1,1)&lt;=R11),"█","")</f>
        <v/>
      </c>
      <c r="F11" s="30" t="str">
        <f>IF(AND(Q11&lt;&gt;"",R11&lt;&gt;"",DATE(2026,3,0)&gt;=Q11,DATE(2026,2,1)&lt;=R11),"█","")</f>
        <v/>
      </c>
      <c r="G11" s="30" t="str">
        <f>IF(AND(Q11&lt;&gt;"",R11&lt;&gt;"",DATE(2026,4,0)&gt;=Q11,DATE(2026,3,1)&lt;=R11),"█","")</f>
        <v/>
      </c>
      <c r="H11" s="30" t="str">
        <f>IF(AND(Q11&lt;&gt;"",R11&lt;&gt;"",DATE(2026,5,0)&gt;=Q11,DATE(2026,4,1)&lt;=R11),"█","")</f>
        <v/>
      </c>
      <c r="I11" s="30" t="str">
        <f>IF(AND(Q11&lt;&gt;"",R11&lt;&gt;"",DATE(2026,6,0)&gt;=Q11,DATE(2026,5,1)&lt;=R11),"█","")</f>
        <v/>
      </c>
      <c r="J11" s="30" t="str">
        <f>IF(AND(Q11&lt;&gt;"",R11&lt;&gt;"",DATE(2026,7,0)&gt;=Q11,DATE(2026,6,1)&lt;=R11),"█","")</f>
        <v/>
      </c>
      <c r="K11" s="30" t="str">
        <f>IF(AND(Q11&lt;&gt;"",R11&lt;&gt;"",DATE(2026,8,0)&gt;=Q11,DATE(2026,7,1)&lt;=R11),"█","")</f>
        <v/>
      </c>
      <c r="L11" s="30" t="str">
        <f>IF(AND(Q11&lt;&gt;"",R11&lt;&gt;"",DATE(2026,9,0)&gt;=Q11,DATE(2026,8,1)&lt;=R11),"█","")</f>
        <v>█</v>
      </c>
      <c r="M11" s="30" t="str">
        <f>IF(AND(Q11&lt;&gt;"",R11&lt;&gt;"",DATE(2026,10,0)&gt;=Q11,DATE(2026,9,1)&lt;=R11),"█","")</f>
        <v/>
      </c>
      <c r="N11" s="30" t="str">
        <f>IF(AND(Q11&lt;&gt;"",R11&lt;&gt;"",DATE(2026,11,0)&gt;=Q11,DATE(2026,10,1)&lt;=R11),"█","")</f>
        <v/>
      </c>
      <c r="O11" s="30" t="str">
        <f>IF(AND(Q11&lt;&gt;"",R11&lt;&gt;"",DATE(2026,12,0)&gt;=Q11,DATE(2026,11,1)&lt;=R11),"█","")</f>
        <v/>
      </c>
      <c r="P11" s="30" t="str">
        <f>IF(AND(Q11&lt;&gt;"",R11&lt;&gt;"",DATE(2026,12,31)&gt;=Q11,DATE(2026,12,1)&lt;=R11),"█","")</f>
        <v/>
      </c>
      <c r="Q11" s="7">
        <f>IF('Release Calendar'!I11&lt;&gt;"",'Release Calendar'!I11,"")</f>
        <v>46252</v>
      </c>
      <c r="R11" s="7">
        <f>IF('Release Calendar'!J11&lt;&gt;"",'Release Calendar'!J11,"")</f>
        <v>46253</v>
      </c>
    </row>
    <row r="12" spans="1:18" ht="20.100000000000001" customHeight="1">
      <c r="A12" s="31">
        <v>8</v>
      </c>
      <c r="B12" s="32" t="str">
        <f>IF('Release Calendar'!B12&lt;&gt;"",'Release Calendar'!B12,"")</f>
        <v>Daily Kpi Report - Addition of KPIs</v>
      </c>
      <c r="C12" s="33" t="str">
        <f>IF('Release Calendar'!K12&lt;&gt;"",'Release Calendar'!K12,"")</f>
        <v>Production</v>
      </c>
      <c r="D12" s="33" t="str">
        <f>IF('Release Calendar'!M12&lt;&gt;"",'Release Calendar'!M12,"")</f>
        <v>Completed</v>
      </c>
      <c r="E12" s="34" t="str">
        <f>IF(AND(Q12&lt;&gt;"",R12&lt;&gt;"",DATE(2026,2,0)&gt;=Q12,DATE(2026,1,1)&lt;=R12),"█","")</f>
        <v/>
      </c>
      <c r="F12" s="34" t="str">
        <f>IF(AND(Q12&lt;&gt;"",R12&lt;&gt;"",DATE(2026,3,0)&gt;=Q12,DATE(2026,2,1)&lt;=R12),"█","")</f>
        <v/>
      </c>
      <c r="G12" s="34" t="str">
        <f>IF(AND(Q12&lt;&gt;"",R12&lt;&gt;"",DATE(2026,4,0)&gt;=Q12,DATE(2026,3,1)&lt;=R12),"█","")</f>
        <v/>
      </c>
      <c r="H12" s="34" t="str">
        <f>IF(AND(Q12&lt;&gt;"",R12&lt;&gt;"",DATE(2026,5,0)&gt;=Q12,DATE(2026,4,1)&lt;=R12),"█","")</f>
        <v/>
      </c>
      <c r="I12" s="34" t="str">
        <f>IF(AND(Q12&lt;&gt;"",R12&lt;&gt;"",DATE(2026,6,0)&gt;=Q12,DATE(2026,5,1)&lt;=R12),"█","")</f>
        <v/>
      </c>
      <c r="J12" s="34" t="str">
        <f>IF(AND(Q12&lt;&gt;"",R12&lt;&gt;"",DATE(2026,7,0)&gt;=Q12,DATE(2026,6,1)&lt;=R12),"█","")</f>
        <v/>
      </c>
      <c r="K12" s="34" t="str">
        <f>IF(AND(Q12&lt;&gt;"",R12&lt;&gt;"",DATE(2026,8,0)&gt;=Q12,DATE(2026,7,1)&lt;=R12),"█","")</f>
        <v/>
      </c>
      <c r="L12" s="34" t="str">
        <f>IF(AND(Q12&lt;&gt;"",R12&lt;&gt;"",DATE(2026,9,0)&gt;=Q12,DATE(2026,8,1)&lt;=R12),"█","")</f>
        <v/>
      </c>
      <c r="M12" s="34" t="str">
        <f>IF(AND(Q12&lt;&gt;"",R12&lt;&gt;"",DATE(2026,10,0)&gt;=Q12,DATE(2026,9,1)&lt;=R12),"█","")</f>
        <v>█</v>
      </c>
      <c r="N12" s="34" t="str">
        <f>IF(AND(Q12&lt;&gt;"",R12&lt;&gt;"",DATE(2026,11,0)&gt;=Q12,DATE(2026,10,1)&lt;=R12),"█","")</f>
        <v/>
      </c>
      <c r="O12" s="34" t="str">
        <f>IF(AND(Q12&lt;&gt;"",R12&lt;&gt;"",DATE(2026,12,0)&gt;=Q12,DATE(2026,11,1)&lt;=R12),"█","")</f>
        <v/>
      </c>
      <c r="P12" s="34" t="str">
        <f>IF(AND(Q12&lt;&gt;"",R12&lt;&gt;"",DATE(2026,12,31)&gt;=Q12,DATE(2026,12,1)&lt;=R12),"█","")</f>
        <v/>
      </c>
      <c r="Q12" s="7">
        <f>IF('Release Calendar'!I12&lt;&gt;"",'Release Calendar'!I12,"")</f>
        <v>46267</v>
      </c>
      <c r="R12" s="7">
        <f>IF('Release Calendar'!J12&lt;&gt;"",'Release Calendar'!J12,"")</f>
        <v>46267</v>
      </c>
    </row>
    <row r="13" spans="1:18" ht="20.100000000000001" customHeight="1">
      <c r="A13" s="14">
        <v>9</v>
      </c>
      <c r="B13" s="28" t="str">
        <f>IF('Release Calendar'!B13&lt;&gt;"",'Release Calendar'!B13,"")</f>
        <v>Reward Hub Ceo Category</v>
      </c>
      <c r="C13" s="29" t="str">
        <f>IF('Release Calendar'!K13&lt;&gt;"",'Release Calendar'!K13,"")</f>
        <v>Production</v>
      </c>
      <c r="D13" s="29" t="str">
        <f>IF('Release Calendar'!M13&lt;&gt;"",'Release Calendar'!M13,"")</f>
        <v>Completed</v>
      </c>
      <c r="E13" s="30" t="str">
        <f>IF(AND(Q13&lt;&gt;"",R13&lt;&gt;"",DATE(2026,2,0)&gt;=Q13,DATE(2026,1,1)&lt;=R13),"█","")</f>
        <v/>
      </c>
      <c r="F13" s="30" t="str">
        <f>IF(AND(Q13&lt;&gt;"",R13&lt;&gt;"",DATE(2026,3,0)&gt;=Q13,DATE(2026,2,1)&lt;=R13),"█","")</f>
        <v/>
      </c>
      <c r="G13" s="30" t="str">
        <f>IF(AND(Q13&lt;&gt;"",R13&lt;&gt;"",DATE(2026,4,0)&gt;=Q13,DATE(2026,3,1)&lt;=R13),"█","")</f>
        <v/>
      </c>
      <c r="H13" s="30" t="str">
        <f>IF(AND(Q13&lt;&gt;"",R13&lt;&gt;"",DATE(2026,5,0)&gt;=Q13,DATE(2026,4,1)&lt;=R13),"█","")</f>
        <v/>
      </c>
      <c r="I13" s="30" t="str">
        <f>IF(AND(Q13&lt;&gt;"",R13&lt;&gt;"",DATE(2026,6,0)&gt;=Q13,DATE(2026,5,1)&lt;=R13),"█","")</f>
        <v/>
      </c>
      <c r="J13" s="30" t="str">
        <f>IF(AND(Q13&lt;&gt;"",R13&lt;&gt;"",DATE(2026,7,0)&gt;=Q13,DATE(2026,6,1)&lt;=R13),"█","")</f>
        <v/>
      </c>
      <c r="K13" s="30" t="str">
        <f>IF(AND(Q13&lt;&gt;"",R13&lt;&gt;"",DATE(2026,8,0)&gt;=Q13,DATE(2026,7,1)&lt;=R13),"█","")</f>
        <v/>
      </c>
      <c r="L13" s="30" t="str">
        <f>IF(AND(Q13&lt;&gt;"",R13&lt;&gt;"",DATE(2026,9,0)&gt;=Q13,DATE(2026,8,1)&lt;=R13),"█","")</f>
        <v/>
      </c>
      <c r="M13" s="30" t="str">
        <f>IF(AND(Q13&lt;&gt;"",R13&lt;&gt;"",DATE(2026,10,0)&gt;=Q13,DATE(2026,9,1)&lt;=R13),"█","")</f>
        <v>█</v>
      </c>
      <c r="N13" s="30" t="str">
        <f>IF(AND(Q13&lt;&gt;"",R13&lt;&gt;"",DATE(2026,11,0)&gt;=Q13,DATE(2026,10,1)&lt;=R13),"█","")</f>
        <v/>
      </c>
      <c r="O13" s="30" t="str">
        <f>IF(AND(Q13&lt;&gt;"",R13&lt;&gt;"",DATE(2026,12,0)&gt;=Q13,DATE(2026,11,1)&lt;=R13),"█","")</f>
        <v/>
      </c>
      <c r="P13" s="30" t="str">
        <f>IF(AND(Q13&lt;&gt;"",R13&lt;&gt;"",DATE(2026,12,31)&gt;=Q13,DATE(2026,12,1)&lt;=R13),"█","")</f>
        <v/>
      </c>
      <c r="Q13" s="7">
        <f>IF('Release Calendar'!I13&lt;&gt;"",'Release Calendar'!I13,"")</f>
        <v>46266</v>
      </c>
      <c r="R13" s="7">
        <f>IF('Release Calendar'!J13&lt;&gt;"",'Release Calendar'!J13,"")</f>
        <v>46269</v>
      </c>
    </row>
    <row r="14" spans="1:18" ht="20.100000000000001" customHeight="1">
      <c r="A14" s="31">
        <v>10</v>
      </c>
      <c r="B14" s="32" t="str">
        <f>IF('Release Calendar'!B14&lt;&gt;"",'Release Calendar'!B14,"")</f>
        <v>Daily KPI Report- Addition of App Kpis</v>
      </c>
      <c r="C14" s="33" t="str">
        <f>IF('Release Calendar'!K14&lt;&gt;"",'Release Calendar'!K14,"")</f>
        <v>Completed</v>
      </c>
      <c r="D14" s="33" t="str">
        <f>IF('Release Calendar'!M14&lt;&gt;"",'Release Calendar'!M14,"")</f>
        <v>Completed</v>
      </c>
      <c r="E14" s="34" t="str">
        <f>IF(AND(Q14&lt;&gt;"",R14&lt;&gt;"",DATE(2026,2,0)&gt;=Q14,DATE(2026,1,1)&lt;=R14),"█","")</f>
        <v/>
      </c>
      <c r="F14" s="34" t="str">
        <f>IF(AND(Q14&lt;&gt;"",R14&lt;&gt;"",DATE(2026,3,0)&gt;=Q14,DATE(2026,2,1)&lt;=R14),"█","")</f>
        <v/>
      </c>
      <c r="G14" s="34" t="str">
        <f>IF(AND(Q14&lt;&gt;"",R14&lt;&gt;"",DATE(2026,4,0)&gt;=Q14,DATE(2026,3,1)&lt;=R14),"█","")</f>
        <v/>
      </c>
      <c r="H14" s="34" t="str">
        <f>IF(AND(Q14&lt;&gt;"",R14&lt;&gt;"",DATE(2026,5,0)&gt;=Q14,DATE(2026,4,1)&lt;=R14),"█","")</f>
        <v/>
      </c>
      <c r="I14" s="34" t="str">
        <f>IF(AND(Q14&lt;&gt;"",R14&lt;&gt;"",DATE(2026,6,0)&gt;=Q14,DATE(2026,5,1)&lt;=R14),"█","")</f>
        <v/>
      </c>
      <c r="J14" s="34" t="str">
        <f>IF(AND(Q14&lt;&gt;"",R14&lt;&gt;"",DATE(2026,7,0)&gt;=Q14,DATE(2026,6,1)&lt;=R14),"█","")</f>
        <v/>
      </c>
      <c r="K14" s="34" t="str">
        <f>IF(AND(Q14&lt;&gt;"",R14&lt;&gt;"",DATE(2026,8,0)&gt;=Q14,DATE(2026,7,1)&lt;=R14),"█","")</f>
        <v/>
      </c>
      <c r="L14" s="34" t="str">
        <f>IF(AND(Q14&lt;&gt;"",R14&lt;&gt;"",DATE(2026,9,0)&gt;=Q14,DATE(2026,8,1)&lt;=R14),"█","")</f>
        <v/>
      </c>
      <c r="M14" s="34" t="str">
        <f>IF(AND(Q14&lt;&gt;"",R14&lt;&gt;"",DATE(2026,10,0)&gt;=Q14,DATE(2026,9,1)&lt;=R14),"█","")</f>
        <v>█</v>
      </c>
      <c r="N14" s="34" t="str">
        <f>IF(AND(Q14&lt;&gt;"",R14&lt;&gt;"",DATE(2026,11,0)&gt;=Q14,DATE(2026,10,1)&lt;=R14),"█","")</f>
        <v/>
      </c>
      <c r="O14" s="34" t="str">
        <f>IF(AND(Q14&lt;&gt;"",R14&lt;&gt;"",DATE(2026,12,0)&gt;=Q14,DATE(2026,11,1)&lt;=R14),"█","")</f>
        <v/>
      </c>
      <c r="P14" s="34" t="str">
        <f>IF(AND(Q14&lt;&gt;"",R14&lt;&gt;"",DATE(2026,12,31)&gt;=Q14,DATE(2026,12,1)&lt;=R14),"█","")</f>
        <v/>
      </c>
      <c r="Q14" s="7">
        <f>IF('Release Calendar'!I14&lt;&gt;"",'Release Calendar'!I14,"")</f>
        <v>46274</v>
      </c>
      <c r="R14" s="7">
        <f>IF('Release Calendar'!J14&lt;&gt;"",'Release Calendar'!J14,"")</f>
        <v>46274</v>
      </c>
    </row>
    <row r="15" spans="1:18" ht="20.100000000000001" customHeight="1">
      <c r="A15" s="14">
        <v>11</v>
      </c>
      <c r="B15" s="28" t="str">
        <f>IF('Release Calendar'!B15&lt;&gt;"",'Release Calendar'!B15,"")</f>
        <v>Postpaid lifecycle DDLS fix</v>
      </c>
      <c r="C15" s="29" t="str">
        <f>IF('Release Calendar'!K15&lt;&gt;"",'Release Calendar'!K15,"")</f>
        <v>Production</v>
      </c>
      <c r="D15" s="29" t="str">
        <f>IF('Release Calendar'!M15&lt;&gt;"",'Release Calendar'!M15,"")</f>
        <v>Completed</v>
      </c>
      <c r="E15" s="30" t="str">
        <f>IF(AND(Q15&lt;&gt;"",R15&lt;&gt;"",DATE(2026,2,0)&gt;=Q15,DATE(2026,1,1)&lt;=R15),"█","")</f>
        <v/>
      </c>
      <c r="F15" s="30" t="str">
        <f>IF(AND(Q15&lt;&gt;"",R15&lt;&gt;"",DATE(2026,3,0)&gt;=Q15,DATE(2026,2,1)&lt;=R15),"█","")</f>
        <v/>
      </c>
      <c r="G15" s="30" t="str">
        <f>IF(AND(Q15&lt;&gt;"",R15&lt;&gt;"",DATE(2026,4,0)&gt;=Q15,DATE(2026,3,1)&lt;=R15),"█","")</f>
        <v/>
      </c>
      <c r="H15" s="30" t="str">
        <f>IF(AND(Q15&lt;&gt;"",R15&lt;&gt;"",DATE(2026,5,0)&gt;=Q15,DATE(2026,4,1)&lt;=R15),"█","")</f>
        <v/>
      </c>
      <c r="I15" s="30" t="str">
        <f>IF(AND(Q15&lt;&gt;"",R15&lt;&gt;"",DATE(2026,6,0)&gt;=Q15,DATE(2026,5,1)&lt;=R15),"█","")</f>
        <v/>
      </c>
      <c r="J15" s="30" t="str">
        <f>IF(AND(Q15&lt;&gt;"",R15&lt;&gt;"",DATE(2026,7,0)&gt;=Q15,DATE(2026,6,1)&lt;=R15),"█","")</f>
        <v/>
      </c>
      <c r="K15" s="30" t="str">
        <f>IF(AND(Q15&lt;&gt;"",R15&lt;&gt;"",DATE(2026,8,0)&gt;=Q15,DATE(2026,7,1)&lt;=R15),"█","")</f>
        <v/>
      </c>
      <c r="L15" s="30" t="str">
        <f>IF(AND(Q15&lt;&gt;"",R15&lt;&gt;"",DATE(2026,9,0)&gt;=Q15,DATE(2026,8,1)&lt;=R15),"█","")</f>
        <v/>
      </c>
      <c r="M15" s="30" t="str">
        <f>IF(AND(Q15&lt;&gt;"",R15&lt;&gt;"",DATE(2026,10,0)&gt;=Q15,DATE(2026,9,1)&lt;=R15),"█","")</f>
        <v>█</v>
      </c>
      <c r="N15" s="30" t="str">
        <f>IF(AND(Q15&lt;&gt;"",R15&lt;&gt;"",DATE(2026,11,0)&gt;=Q15,DATE(2026,10,1)&lt;=R15),"█","")</f>
        <v/>
      </c>
      <c r="O15" s="30" t="str">
        <f>IF(AND(Q15&lt;&gt;"",R15&lt;&gt;"",DATE(2026,12,0)&gt;=Q15,DATE(2026,11,1)&lt;=R15),"█","")</f>
        <v/>
      </c>
      <c r="P15" s="30" t="str">
        <f>IF(AND(Q15&lt;&gt;"",R15&lt;&gt;"",DATE(2026,12,31)&gt;=Q15,DATE(2026,12,1)&lt;=R15),"█","")</f>
        <v/>
      </c>
      <c r="Q15" s="7">
        <f>IF('Release Calendar'!I15&lt;&gt;"",'Release Calendar'!I15,"")</f>
        <v>46274</v>
      </c>
      <c r="R15" s="7">
        <f>IF('Release Calendar'!J15&lt;&gt;"",'Release Calendar'!J15,"")</f>
        <v>46274</v>
      </c>
    </row>
    <row r="16" spans="1:18" ht="20.100000000000001" customHeight="1">
      <c r="A16" s="31">
        <v>12</v>
      </c>
      <c r="B16" s="32" t="str">
        <f>IF('Release Calendar'!B16&lt;&gt;"",'Release Calendar'!B16,"")</f>
        <v>Jazz Advance TPT Update</v>
      </c>
      <c r="C16" s="33" t="str">
        <f>IF('Release Calendar'!K16&lt;&gt;"",'Release Calendar'!K16,"")</f>
        <v>Completed</v>
      </c>
      <c r="D16" s="33" t="str">
        <f>IF('Release Calendar'!M16&lt;&gt;"",'Release Calendar'!M16,"")</f>
        <v>Completed</v>
      </c>
      <c r="E16" s="34" t="str">
        <f>IF(AND(Q16&lt;&gt;"",R16&lt;&gt;"",DATE(2026,2,0)&gt;=Q16,DATE(2026,1,1)&lt;=R16),"█","")</f>
        <v/>
      </c>
      <c r="F16" s="34" t="str">
        <f>IF(AND(Q16&lt;&gt;"",R16&lt;&gt;"",DATE(2026,3,0)&gt;=Q16,DATE(2026,2,1)&lt;=R16),"█","")</f>
        <v/>
      </c>
      <c r="G16" s="34" t="str">
        <f>IF(AND(Q16&lt;&gt;"",R16&lt;&gt;"",DATE(2026,4,0)&gt;=Q16,DATE(2026,3,1)&lt;=R16),"█","")</f>
        <v/>
      </c>
      <c r="H16" s="34" t="str">
        <f>IF(AND(Q16&lt;&gt;"",R16&lt;&gt;"",DATE(2026,5,0)&gt;=Q16,DATE(2026,4,1)&lt;=R16),"█","")</f>
        <v/>
      </c>
      <c r="I16" s="34" t="str">
        <f>IF(AND(Q16&lt;&gt;"",R16&lt;&gt;"",DATE(2026,6,0)&gt;=Q16,DATE(2026,5,1)&lt;=R16),"█","")</f>
        <v/>
      </c>
      <c r="J16" s="34" t="str">
        <f>IF(AND(Q16&lt;&gt;"",R16&lt;&gt;"",DATE(2026,7,0)&gt;=Q16,DATE(2026,6,1)&lt;=R16),"█","")</f>
        <v/>
      </c>
      <c r="K16" s="34" t="str">
        <f>IF(AND(Q16&lt;&gt;"",R16&lt;&gt;"",DATE(2026,8,0)&gt;=Q16,DATE(2026,7,1)&lt;=R16),"█","")</f>
        <v/>
      </c>
      <c r="L16" s="34" t="str">
        <f>IF(AND(Q16&lt;&gt;"",R16&lt;&gt;"",DATE(2026,9,0)&gt;=Q16,DATE(2026,8,1)&lt;=R16),"█","")</f>
        <v>█</v>
      </c>
      <c r="M16" s="34" t="str">
        <f>IF(AND(Q16&lt;&gt;"",R16&lt;&gt;"",DATE(2026,10,0)&gt;=Q16,DATE(2026,9,1)&lt;=R16),"█","")</f>
        <v/>
      </c>
      <c r="N16" s="34" t="str">
        <f>IF(AND(Q16&lt;&gt;"",R16&lt;&gt;"",DATE(2026,11,0)&gt;=Q16,DATE(2026,10,1)&lt;=R16),"█","")</f>
        <v/>
      </c>
      <c r="O16" s="34" t="str">
        <f>IF(AND(Q16&lt;&gt;"",R16&lt;&gt;"",DATE(2026,12,0)&gt;=Q16,DATE(2026,11,1)&lt;=R16),"█","")</f>
        <v/>
      </c>
      <c r="P16" s="34" t="str">
        <f>IF(AND(Q16&lt;&gt;"",R16&lt;&gt;"",DATE(2026,12,31)&gt;=Q16,DATE(2026,12,1)&lt;=R16),"█","")</f>
        <v/>
      </c>
      <c r="Q16" s="7">
        <f>IF('Release Calendar'!I16&lt;&gt;"",'Release Calendar'!I16,"")</f>
        <v>46265</v>
      </c>
      <c r="R16" s="7">
        <f>IF('Release Calendar'!J16&lt;&gt;"",'Release Calendar'!J16,"")</f>
        <v>46265</v>
      </c>
    </row>
    <row r="17" spans="1:18" ht="20.100000000000001" customHeight="1">
      <c r="A17" s="14">
        <v>13</v>
      </c>
      <c r="B17" s="28" t="str">
        <f>IF('Release Calendar'!B17&lt;&gt;"",'Release Calendar'!B17,"")</f>
        <v>Reward Hub - CEO addition</v>
      </c>
      <c r="C17" s="29" t="str">
        <f>IF('Release Calendar'!K17&lt;&gt;"",'Release Calendar'!K17,"")</f>
        <v>Completed</v>
      </c>
      <c r="D17" s="29" t="str">
        <f>IF('Release Calendar'!M17&lt;&gt;"",'Release Calendar'!M17,"")</f>
        <v>Completed</v>
      </c>
      <c r="E17" s="30" t="str">
        <f>IF(AND(Q17&lt;&gt;"",R17&lt;&gt;"",DATE(2026,2,0)&gt;=Q17,DATE(2026,1,1)&lt;=R17),"█","")</f>
        <v/>
      </c>
      <c r="F17" s="30" t="str">
        <f>IF(AND(Q17&lt;&gt;"",R17&lt;&gt;"",DATE(2026,3,0)&gt;=Q17,DATE(2026,2,1)&lt;=R17),"█","")</f>
        <v/>
      </c>
      <c r="G17" s="30" t="str">
        <f>IF(AND(Q17&lt;&gt;"",R17&lt;&gt;"",DATE(2026,4,0)&gt;=Q17,DATE(2026,3,1)&lt;=R17),"█","")</f>
        <v/>
      </c>
      <c r="H17" s="30" t="str">
        <f>IF(AND(Q17&lt;&gt;"",R17&lt;&gt;"",DATE(2026,5,0)&gt;=Q17,DATE(2026,4,1)&lt;=R17),"█","")</f>
        <v/>
      </c>
      <c r="I17" s="30" t="str">
        <f>IF(AND(Q17&lt;&gt;"",R17&lt;&gt;"",DATE(2026,6,0)&gt;=Q17,DATE(2026,5,1)&lt;=R17),"█","")</f>
        <v/>
      </c>
      <c r="J17" s="30" t="str">
        <f>IF(AND(Q17&lt;&gt;"",R17&lt;&gt;"",DATE(2026,7,0)&gt;=Q17,DATE(2026,6,1)&lt;=R17),"█","")</f>
        <v/>
      </c>
      <c r="K17" s="30" t="str">
        <f>IF(AND(Q17&lt;&gt;"",R17&lt;&gt;"",DATE(2026,8,0)&gt;=Q17,DATE(2026,7,1)&lt;=R17),"█","")</f>
        <v/>
      </c>
      <c r="L17" s="30" t="str">
        <f>IF(AND(Q17&lt;&gt;"",R17&lt;&gt;"",DATE(2026,9,0)&gt;=Q17,DATE(2026,8,1)&lt;=R17),"█","")</f>
        <v/>
      </c>
      <c r="M17" s="30" t="str">
        <f>IF(AND(Q17&lt;&gt;"",R17&lt;&gt;"",DATE(2026,10,0)&gt;=Q17,DATE(2026,9,1)&lt;=R17),"█","")</f>
        <v>█</v>
      </c>
      <c r="N17" s="30" t="str">
        <f>IF(AND(Q17&lt;&gt;"",R17&lt;&gt;"",DATE(2026,11,0)&gt;=Q17,DATE(2026,10,1)&lt;=R17),"█","")</f>
        <v/>
      </c>
      <c r="O17" s="30" t="str">
        <f>IF(AND(Q17&lt;&gt;"",R17&lt;&gt;"",DATE(2026,12,0)&gt;=Q17,DATE(2026,11,1)&lt;=R17),"█","")</f>
        <v/>
      </c>
      <c r="P17" s="30" t="str">
        <f>IF(AND(Q17&lt;&gt;"",R17&lt;&gt;"",DATE(2026,12,31)&gt;=Q17,DATE(2026,12,1)&lt;=R17),"█","")</f>
        <v/>
      </c>
      <c r="Q17" s="7">
        <f>IF('Release Calendar'!I17&lt;&gt;"",'Release Calendar'!I17,"")</f>
        <v>46272</v>
      </c>
      <c r="R17" s="7">
        <f>IF('Release Calendar'!J17&lt;&gt;"",'Release Calendar'!J17,"")</f>
        <v>46275</v>
      </c>
    </row>
    <row r="18" spans="1:18" ht="20.100000000000001" customHeight="1">
      <c r="A18" s="31">
        <v>14</v>
      </c>
      <c r="B18" s="32" t="str">
        <f>IF('Release Calendar'!B18&lt;&gt;"",'Release Calendar'!B18,"")</f>
        <v>Simosa Parent Child Sourcing</v>
      </c>
      <c r="C18" s="33" t="str">
        <f>IF('Release Calendar'!K18&lt;&gt;"",'Release Calendar'!K18,"")</f>
        <v>Production</v>
      </c>
      <c r="D18" s="33" t="str">
        <f>IF('Release Calendar'!M18&lt;&gt;"",'Release Calendar'!M18,"")</f>
        <v>Completed</v>
      </c>
      <c r="E18" s="34" t="str">
        <f>IF(AND(Q18&lt;&gt;"",R18&lt;&gt;"",DATE(2026,2,0)&gt;=Q18,DATE(2026,1,1)&lt;=R18),"█","")</f>
        <v/>
      </c>
      <c r="F18" s="34" t="str">
        <f>IF(AND(Q18&lt;&gt;"",R18&lt;&gt;"",DATE(2026,3,0)&gt;=Q18,DATE(2026,2,1)&lt;=R18),"█","")</f>
        <v/>
      </c>
      <c r="G18" s="34" t="str">
        <f>IF(AND(Q18&lt;&gt;"",R18&lt;&gt;"",DATE(2026,4,0)&gt;=Q18,DATE(2026,3,1)&lt;=R18),"█","")</f>
        <v/>
      </c>
      <c r="H18" s="34" t="str">
        <f>IF(AND(Q18&lt;&gt;"",R18&lt;&gt;"",DATE(2026,5,0)&gt;=Q18,DATE(2026,4,1)&lt;=R18),"█","")</f>
        <v/>
      </c>
      <c r="I18" s="34" t="str">
        <f>IF(AND(Q18&lt;&gt;"",R18&lt;&gt;"",DATE(2026,6,0)&gt;=Q18,DATE(2026,5,1)&lt;=R18),"█","")</f>
        <v/>
      </c>
      <c r="J18" s="34" t="str">
        <f>IF(AND(Q18&lt;&gt;"",R18&lt;&gt;"",DATE(2026,7,0)&gt;=Q18,DATE(2026,6,1)&lt;=R18),"█","")</f>
        <v/>
      </c>
      <c r="K18" s="34" t="str">
        <f>IF(AND(Q18&lt;&gt;"",R18&lt;&gt;"",DATE(2026,8,0)&gt;=Q18,DATE(2026,7,1)&lt;=R18),"█","")</f>
        <v/>
      </c>
      <c r="L18" s="34" t="str">
        <f>IF(AND(Q18&lt;&gt;"",R18&lt;&gt;"",DATE(2026,9,0)&gt;=Q18,DATE(2026,8,1)&lt;=R18),"█","")</f>
        <v/>
      </c>
      <c r="M18" s="34" t="str">
        <f>IF(AND(Q18&lt;&gt;"",R18&lt;&gt;"",DATE(2026,10,0)&gt;=Q18,DATE(2026,9,1)&lt;=R18),"█","")</f>
        <v>█</v>
      </c>
      <c r="N18" s="34" t="str">
        <f>IF(AND(Q18&lt;&gt;"",R18&lt;&gt;"",DATE(2026,11,0)&gt;=Q18,DATE(2026,10,1)&lt;=R18),"█","")</f>
        <v/>
      </c>
      <c r="O18" s="34" t="str">
        <f>IF(AND(Q18&lt;&gt;"",R18&lt;&gt;"",DATE(2026,12,0)&gt;=Q18,DATE(2026,11,1)&lt;=R18),"█","")</f>
        <v/>
      </c>
      <c r="P18" s="34" t="str">
        <f>IF(AND(Q18&lt;&gt;"",R18&lt;&gt;"",DATE(2026,12,31)&gt;=Q18,DATE(2026,12,1)&lt;=R18),"█","")</f>
        <v/>
      </c>
      <c r="Q18" s="7">
        <f>IF('Release Calendar'!I18&lt;&gt;"",'Release Calendar'!I18,"")</f>
        <v>46273</v>
      </c>
      <c r="R18" s="7">
        <f>IF('Release Calendar'!J18&lt;&gt;"",'Release Calendar'!J18,"")</f>
        <v>46274</v>
      </c>
    </row>
    <row r="19" spans="1:18" ht="20.100000000000001" customHeight="1">
      <c r="A19" s="14">
        <v>15</v>
      </c>
      <c r="B19" s="28" t="str">
        <f>IF('Release Calendar'!B19&lt;&gt;"",'Release Calendar'!B19,"")</f>
        <v>live app hierarchy fix</v>
      </c>
      <c r="C19" s="29" t="str">
        <f>IF('Release Calendar'!K19&lt;&gt;"",'Release Calendar'!K19,"")</f>
        <v>Production</v>
      </c>
      <c r="D19" s="29" t="str">
        <f>IF('Release Calendar'!M19&lt;&gt;"",'Release Calendar'!M19,"")</f>
        <v>Completed</v>
      </c>
      <c r="E19" s="30" t="str">
        <f>IF(AND(Q19&lt;&gt;"",R19&lt;&gt;"",DATE(2026,2,0)&gt;=Q19,DATE(2026,1,1)&lt;=R19),"█","")</f>
        <v/>
      </c>
      <c r="F19" s="30" t="str">
        <f>IF(AND(Q19&lt;&gt;"",R19&lt;&gt;"",DATE(2026,3,0)&gt;=Q19,DATE(2026,2,1)&lt;=R19),"█","")</f>
        <v/>
      </c>
      <c r="G19" s="30" t="str">
        <f>IF(AND(Q19&lt;&gt;"",R19&lt;&gt;"",DATE(2026,4,0)&gt;=Q19,DATE(2026,3,1)&lt;=R19),"█","")</f>
        <v/>
      </c>
      <c r="H19" s="30" t="str">
        <f>IF(AND(Q19&lt;&gt;"",R19&lt;&gt;"",DATE(2026,5,0)&gt;=Q19,DATE(2026,4,1)&lt;=R19),"█","")</f>
        <v/>
      </c>
      <c r="I19" s="30" t="str">
        <f>IF(AND(Q19&lt;&gt;"",R19&lt;&gt;"",DATE(2026,6,0)&gt;=Q19,DATE(2026,5,1)&lt;=R19),"█","")</f>
        <v/>
      </c>
      <c r="J19" s="30" t="str">
        <f>IF(AND(Q19&lt;&gt;"",R19&lt;&gt;"",DATE(2026,7,0)&gt;=Q19,DATE(2026,6,1)&lt;=R19),"█","")</f>
        <v/>
      </c>
      <c r="K19" s="30" t="str">
        <f>IF(AND(Q19&lt;&gt;"",R19&lt;&gt;"",DATE(2026,8,0)&gt;=Q19,DATE(2026,7,1)&lt;=R19),"█","")</f>
        <v/>
      </c>
      <c r="L19" s="30" t="str">
        <f>IF(AND(Q19&lt;&gt;"",R19&lt;&gt;"",DATE(2026,9,0)&gt;=Q19,DATE(2026,8,1)&lt;=R19),"█","")</f>
        <v>█</v>
      </c>
      <c r="M19" s="30" t="str">
        <f>IF(AND(Q19&lt;&gt;"",R19&lt;&gt;"",DATE(2026,10,0)&gt;=Q19,DATE(2026,9,1)&lt;=R19),"█","")</f>
        <v/>
      </c>
      <c r="N19" s="30" t="str">
        <f>IF(AND(Q19&lt;&gt;"",R19&lt;&gt;"",DATE(2026,11,0)&gt;=Q19,DATE(2026,10,1)&lt;=R19),"█","")</f>
        <v/>
      </c>
      <c r="O19" s="30" t="str">
        <f>IF(AND(Q19&lt;&gt;"",R19&lt;&gt;"",DATE(2026,12,0)&gt;=Q19,DATE(2026,11,1)&lt;=R19),"█","")</f>
        <v/>
      </c>
      <c r="P19" s="30" t="str">
        <f>IF(AND(Q19&lt;&gt;"",R19&lt;&gt;"",DATE(2026,12,31)&gt;=Q19,DATE(2026,12,1)&lt;=R19),"█","")</f>
        <v/>
      </c>
      <c r="Q19" s="7">
        <f>IF('Release Calendar'!I19&lt;&gt;"",'Release Calendar'!I19,"")</f>
        <v>46243</v>
      </c>
      <c r="R19" s="7">
        <f>IF('Release Calendar'!J19&lt;&gt;"",'Release Calendar'!J19,"")</f>
        <v>46243</v>
      </c>
    </row>
    <row r="20" spans="1:18" ht="20.100000000000001" customHeight="1">
      <c r="A20" s="31">
        <v>16</v>
      </c>
      <c r="B20" s="32" t="str">
        <f>IF('Release Calendar'!B20&lt;&gt;"",'Release Calendar'!B20,"")</f>
        <v>Dekho - Digital Lifecycle Snapshot Discontinuation</v>
      </c>
      <c r="C20" s="33" t="str">
        <f>IF('Release Calendar'!K20&lt;&gt;"",'Release Calendar'!K20,"")</f>
        <v>Production</v>
      </c>
      <c r="D20" s="33" t="str">
        <f>IF('Release Calendar'!M20&lt;&gt;"",'Release Calendar'!M20,"")</f>
        <v>Completed</v>
      </c>
      <c r="E20" s="34" t="str">
        <f>IF(AND(Q20&lt;&gt;"",R20&lt;&gt;"",DATE(2026,2,0)&gt;=Q20,DATE(2026,1,1)&lt;=R20),"█","")</f>
        <v/>
      </c>
      <c r="F20" s="34" t="str">
        <f>IF(AND(Q20&lt;&gt;"",R20&lt;&gt;"",DATE(2026,3,0)&gt;=Q20,DATE(2026,2,1)&lt;=R20),"█","")</f>
        <v/>
      </c>
      <c r="G20" s="34" t="str">
        <f>IF(AND(Q20&lt;&gt;"",R20&lt;&gt;"",DATE(2026,4,0)&gt;=Q20,DATE(2026,3,1)&lt;=R20),"█","")</f>
        <v/>
      </c>
      <c r="H20" s="34" t="str">
        <f>IF(AND(Q20&lt;&gt;"",R20&lt;&gt;"",DATE(2026,5,0)&gt;=Q20,DATE(2026,4,1)&lt;=R20),"█","")</f>
        <v/>
      </c>
      <c r="I20" s="34" t="str">
        <f>IF(AND(Q20&lt;&gt;"",R20&lt;&gt;"",DATE(2026,6,0)&gt;=Q20,DATE(2026,5,1)&lt;=R20),"█","")</f>
        <v/>
      </c>
      <c r="J20" s="34" t="str">
        <f>IF(AND(Q20&lt;&gt;"",R20&lt;&gt;"",DATE(2026,7,0)&gt;=Q20,DATE(2026,6,1)&lt;=R20),"█","")</f>
        <v/>
      </c>
      <c r="K20" s="34" t="str">
        <f>IF(AND(Q20&lt;&gt;"",R20&lt;&gt;"",DATE(2026,8,0)&gt;=Q20,DATE(2026,7,1)&lt;=R20),"█","")</f>
        <v/>
      </c>
      <c r="L20" s="34" t="str">
        <f>IF(AND(Q20&lt;&gt;"",R20&lt;&gt;"",DATE(2026,9,0)&gt;=Q20,DATE(2026,8,1)&lt;=R20),"█","")</f>
        <v/>
      </c>
      <c r="M20" s="34" t="str">
        <f>IF(AND(Q20&lt;&gt;"",R20&lt;&gt;"",DATE(2026,10,0)&gt;=Q20,DATE(2026,9,1)&lt;=R20),"█","")</f>
        <v>█</v>
      </c>
      <c r="N20" s="34" t="str">
        <f>IF(AND(Q20&lt;&gt;"",R20&lt;&gt;"",DATE(2026,11,0)&gt;=Q20,DATE(2026,10,1)&lt;=R20),"█","")</f>
        <v/>
      </c>
      <c r="O20" s="34" t="str">
        <f>IF(AND(Q20&lt;&gt;"",R20&lt;&gt;"",DATE(2026,12,0)&gt;=Q20,DATE(2026,11,1)&lt;=R20),"█","")</f>
        <v/>
      </c>
      <c r="P20" s="34" t="str">
        <f>IF(AND(Q20&lt;&gt;"",R20&lt;&gt;"",DATE(2026,12,31)&gt;=Q20,DATE(2026,12,1)&lt;=R20),"█","")</f>
        <v/>
      </c>
      <c r="Q20" s="7">
        <f>IF('Release Calendar'!I20&lt;&gt;"",'Release Calendar'!I20,"")</f>
        <v>46273</v>
      </c>
      <c r="R20" s="7">
        <f>IF('Release Calendar'!J20&lt;&gt;"",'Release Calendar'!J20,"")</f>
        <v>46274</v>
      </c>
    </row>
    <row r="21" spans="1:18" ht="20.100000000000001" customHeight="1">
      <c r="A21" s="14">
        <v>17</v>
      </c>
      <c r="B21" s="28" t="str">
        <f>IF('Release Calendar'!B21&lt;&gt;"",'Release Calendar'!B21,"")</f>
        <v>DFS Lifecycle new columns addition</v>
      </c>
      <c r="C21" s="29" t="str">
        <f>IF('Release Calendar'!K21&lt;&gt;"",'Release Calendar'!K21,"")</f>
        <v>Production</v>
      </c>
      <c r="D21" s="29" t="str">
        <f>IF('Release Calendar'!M21&lt;&gt;"",'Release Calendar'!M21,"")</f>
        <v>Completed</v>
      </c>
      <c r="E21" s="30" t="str">
        <f>IF(AND(Q21&lt;&gt;"",R21&lt;&gt;"",DATE(2026,2,0)&gt;=Q21,DATE(2026,1,1)&lt;=R21),"█","")</f>
        <v/>
      </c>
      <c r="F21" s="30" t="str">
        <f>IF(AND(Q21&lt;&gt;"",R21&lt;&gt;"",DATE(2026,3,0)&gt;=Q21,DATE(2026,2,1)&lt;=R21),"█","")</f>
        <v/>
      </c>
      <c r="G21" s="30" t="str">
        <f>IF(AND(Q21&lt;&gt;"",R21&lt;&gt;"",DATE(2026,4,0)&gt;=Q21,DATE(2026,3,1)&lt;=R21),"█","")</f>
        <v/>
      </c>
      <c r="H21" s="30" t="str">
        <f>IF(AND(Q21&lt;&gt;"",R21&lt;&gt;"",DATE(2026,5,0)&gt;=Q21,DATE(2026,4,1)&lt;=R21),"█","")</f>
        <v/>
      </c>
      <c r="I21" s="30" t="str">
        <f>IF(AND(Q21&lt;&gt;"",R21&lt;&gt;"",DATE(2026,6,0)&gt;=Q21,DATE(2026,5,1)&lt;=R21),"█","")</f>
        <v/>
      </c>
      <c r="J21" s="30" t="str">
        <f>IF(AND(Q21&lt;&gt;"",R21&lt;&gt;"",DATE(2026,7,0)&gt;=Q21,DATE(2026,6,1)&lt;=R21),"█","")</f>
        <v/>
      </c>
      <c r="K21" s="30" t="str">
        <f>IF(AND(Q21&lt;&gt;"",R21&lt;&gt;"",DATE(2026,8,0)&gt;=Q21,DATE(2026,7,1)&lt;=R21),"█","")</f>
        <v/>
      </c>
      <c r="L21" s="30" t="str">
        <f>IF(AND(Q21&lt;&gt;"",R21&lt;&gt;"",DATE(2026,9,0)&gt;=Q21,DATE(2026,8,1)&lt;=R21),"█","")</f>
        <v/>
      </c>
      <c r="M21" s="30" t="str">
        <f>IF(AND(Q21&lt;&gt;"",R21&lt;&gt;"",DATE(2026,10,0)&gt;=Q21,DATE(2026,9,1)&lt;=R21),"█","")</f>
        <v>█</v>
      </c>
      <c r="N21" s="30" t="str">
        <f>IF(AND(Q21&lt;&gt;"",R21&lt;&gt;"",DATE(2026,11,0)&gt;=Q21,DATE(2026,10,1)&lt;=R21),"█","")</f>
        <v/>
      </c>
      <c r="O21" s="30" t="str">
        <f>IF(AND(Q21&lt;&gt;"",R21&lt;&gt;"",DATE(2026,12,0)&gt;=Q21,DATE(2026,11,1)&lt;=R21),"█","")</f>
        <v/>
      </c>
      <c r="P21" s="30" t="str">
        <f>IF(AND(Q21&lt;&gt;"",R21&lt;&gt;"",DATE(2026,12,31)&gt;=Q21,DATE(2026,12,1)&lt;=R21),"█","")</f>
        <v/>
      </c>
      <c r="Q21" s="7">
        <f>IF('Release Calendar'!I21&lt;&gt;"",'Release Calendar'!I21,"")</f>
        <v>46281</v>
      </c>
      <c r="R21" s="7">
        <f>IF('Release Calendar'!J21&lt;&gt;"",'Release Calendar'!J21,"")</f>
        <v>46281</v>
      </c>
    </row>
    <row r="22" spans="1:18" ht="20.100000000000001" customHeight="1">
      <c r="A22" s="31">
        <v>18</v>
      </c>
      <c r="B22" s="32" t="str">
        <f>IF('Release Calendar'!B22&lt;&gt;"",'Release Calendar'!B22,"")</f>
        <v>lifecycle view fix for sbskey</v>
      </c>
      <c r="C22" s="33" t="str">
        <f>IF('Release Calendar'!K22&lt;&gt;"",'Release Calendar'!K22,"")</f>
        <v>Production</v>
      </c>
      <c r="D22" s="33" t="str">
        <f>IF('Release Calendar'!M22&lt;&gt;"",'Release Calendar'!M22,"")</f>
        <v>Completed</v>
      </c>
      <c r="E22" s="34" t="str">
        <f>IF(AND(Q22&lt;&gt;"",R22&lt;&gt;"",DATE(2026,2,0)&gt;=Q22,DATE(2026,1,1)&lt;=R22),"█","")</f>
        <v/>
      </c>
      <c r="F22" s="34" t="str">
        <f>IF(AND(Q22&lt;&gt;"",R22&lt;&gt;"",DATE(2026,3,0)&gt;=Q22,DATE(2026,2,1)&lt;=R22),"█","")</f>
        <v/>
      </c>
      <c r="G22" s="34" t="str">
        <f>IF(AND(Q22&lt;&gt;"",R22&lt;&gt;"",DATE(2026,4,0)&gt;=Q22,DATE(2026,3,1)&lt;=R22),"█","")</f>
        <v/>
      </c>
      <c r="H22" s="34" t="str">
        <f>IF(AND(Q22&lt;&gt;"",R22&lt;&gt;"",DATE(2026,5,0)&gt;=Q22,DATE(2026,4,1)&lt;=R22),"█","")</f>
        <v/>
      </c>
      <c r="I22" s="34" t="str">
        <f>IF(AND(Q22&lt;&gt;"",R22&lt;&gt;"",DATE(2026,6,0)&gt;=Q22,DATE(2026,5,1)&lt;=R22),"█","")</f>
        <v/>
      </c>
      <c r="J22" s="34" t="str">
        <f>IF(AND(Q22&lt;&gt;"",R22&lt;&gt;"",DATE(2026,7,0)&gt;=Q22,DATE(2026,6,1)&lt;=R22),"█","")</f>
        <v/>
      </c>
      <c r="K22" s="34" t="str">
        <f>IF(AND(Q22&lt;&gt;"",R22&lt;&gt;"",DATE(2026,8,0)&gt;=Q22,DATE(2026,7,1)&lt;=R22),"█","")</f>
        <v/>
      </c>
      <c r="L22" s="34" t="str">
        <f>IF(AND(Q22&lt;&gt;"",R22&lt;&gt;"",DATE(2026,9,0)&gt;=Q22,DATE(2026,8,1)&lt;=R22),"█","")</f>
        <v/>
      </c>
      <c r="M22" s="34" t="str">
        <f>IF(AND(Q22&lt;&gt;"",R22&lt;&gt;"",DATE(2026,10,0)&gt;=Q22,DATE(2026,9,1)&lt;=R22),"█","")</f>
        <v>█</v>
      </c>
      <c r="N22" s="34" t="str">
        <f>IF(AND(Q22&lt;&gt;"",R22&lt;&gt;"",DATE(2026,11,0)&gt;=Q22,DATE(2026,10,1)&lt;=R22),"█","")</f>
        <v/>
      </c>
      <c r="O22" s="34" t="str">
        <f>IF(AND(Q22&lt;&gt;"",R22&lt;&gt;"",DATE(2026,12,0)&gt;=Q22,DATE(2026,11,1)&lt;=R22),"█","")</f>
        <v/>
      </c>
      <c r="P22" s="34" t="str">
        <f>IF(AND(Q22&lt;&gt;"",R22&lt;&gt;"",DATE(2026,12,31)&gt;=Q22,DATE(2026,12,1)&lt;=R22),"█","")</f>
        <v/>
      </c>
      <c r="Q22" s="7">
        <f>IF('Release Calendar'!I22&lt;&gt;"",'Release Calendar'!I22,"")</f>
        <v>46281</v>
      </c>
      <c r="R22" s="7">
        <f>IF('Release Calendar'!J22&lt;&gt;"",'Release Calendar'!J22,"")</f>
        <v>46281</v>
      </c>
    </row>
    <row r="23" spans="1:18" ht="20.100000000000001" customHeight="1">
      <c r="A23" s="14">
        <v>19</v>
      </c>
      <c r="B23" s="28" t="str">
        <f>IF('Release Calendar'!B23&lt;&gt;"",'Release Calendar'!B23,"")</f>
        <v>SDS 5G Attributes Addition</v>
      </c>
      <c r="C23" s="29" t="str">
        <f>IF('Release Calendar'!K23&lt;&gt;"",'Release Calendar'!K23,"")</f>
        <v>Production</v>
      </c>
      <c r="D23" s="29" t="str">
        <f>IF('Release Calendar'!M23&lt;&gt;"",'Release Calendar'!M23,"")</f>
        <v>Completed</v>
      </c>
      <c r="E23" s="30" t="str">
        <f>IF(AND(Q23&lt;&gt;"",R23&lt;&gt;"",DATE(2026,2,0)&gt;=Q23,DATE(2026,1,1)&lt;=R23),"█","")</f>
        <v/>
      </c>
      <c r="F23" s="30" t="str">
        <f>IF(AND(Q23&lt;&gt;"",R23&lt;&gt;"",DATE(2026,3,0)&gt;=Q23,DATE(2026,2,1)&lt;=R23),"█","")</f>
        <v/>
      </c>
      <c r="G23" s="30" t="str">
        <f>IF(AND(Q23&lt;&gt;"",R23&lt;&gt;"",DATE(2026,4,0)&gt;=Q23,DATE(2026,3,1)&lt;=R23),"█","")</f>
        <v/>
      </c>
      <c r="H23" s="30" t="str">
        <f>IF(AND(Q23&lt;&gt;"",R23&lt;&gt;"",DATE(2026,5,0)&gt;=Q23,DATE(2026,4,1)&lt;=R23),"█","")</f>
        <v/>
      </c>
      <c r="I23" s="30" t="str">
        <f>IF(AND(Q23&lt;&gt;"",R23&lt;&gt;"",DATE(2026,6,0)&gt;=Q23,DATE(2026,5,1)&lt;=R23),"█","")</f>
        <v/>
      </c>
      <c r="J23" s="30" t="str">
        <f>IF(AND(Q23&lt;&gt;"",R23&lt;&gt;"",DATE(2026,7,0)&gt;=Q23,DATE(2026,6,1)&lt;=R23),"█","")</f>
        <v/>
      </c>
      <c r="K23" s="30" t="str">
        <f>IF(AND(Q23&lt;&gt;"",R23&lt;&gt;"",DATE(2026,8,0)&gt;=Q23,DATE(2026,7,1)&lt;=R23),"█","")</f>
        <v/>
      </c>
      <c r="L23" s="30" t="str">
        <f>IF(AND(Q23&lt;&gt;"",R23&lt;&gt;"",DATE(2026,9,0)&gt;=Q23,DATE(2026,8,1)&lt;=R23),"█","")</f>
        <v/>
      </c>
      <c r="M23" s="30" t="str">
        <f>IF(AND(Q23&lt;&gt;"",R23&lt;&gt;"",DATE(2026,10,0)&gt;=Q23,DATE(2026,9,1)&lt;=R23),"█","")</f>
        <v>█</v>
      </c>
      <c r="N23" s="30" t="str">
        <f>IF(AND(Q23&lt;&gt;"",R23&lt;&gt;"",DATE(2026,11,0)&gt;=Q23,DATE(2026,10,1)&lt;=R23),"█","")</f>
        <v/>
      </c>
      <c r="O23" s="30" t="str">
        <f>IF(AND(Q23&lt;&gt;"",R23&lt;&gt;"",DATE(2026,12,0)&gt;=Q23,DATE(2026,11,1)&lt;=R23),"█","")</f>
        <v/>
      </c>
      <c r="P23" s="30" t="str">
        <f>IF(AND(Q23&lt;&gt;"",R23&lt;&gt;"",DATE(2026,12,31)&gt;=Q23,DATE(2026,12,1)&lt;=R23),"█","")</f>
        <v/>
      </c>
      <c r="Q23" s="7">
        <f>IF('Release Calendar'!I23&lt;&gt;"",'Release Calendar'!I23,"")</f>
        <v>46281</v>
      </c>
      <c r="R23" s="7">
        <f>IF('Release Calendar'!J23&lt;&gt;"",'Release Calendar'!J23,"")</f>
        <v>46281</v>
      </c>
    </row>
    <row r="24" spans="1:18" ht="20.100000000000001" customHeight="1">
      <c r="A24" s="31">
        <v>20</v>
      </c>
      <c r="B24" s="32" t="str">
        <f>IF('Release Calendar'!B24&lt;&gt;"",'Release Calendar'!B24,"")</f>
        <v>Rox Achievement Fix</v>
      </c>
      <c r="C24" s="33" t="str">
        <f>IF('Release Calendar'!K24&lt;&gt;"",'Release Calendar'!K24,"")</f>
        <v>Production</v>
      </c>
      <c r="D24" s="33" t="str">
        <f>IF('Release Calendar'!M24&lt;&gt;"",'Release Calendar'!M24,"")</f>
        <v>Completed</v>
      </c>
      <c r="E24" s="34" t="str">
        <f>IF(AND(Q24&lt;&gt;"",R24&lt;&gt;"",DATE(2026,2,0)&gt;=Q24,DATE(2026,1,1)&lt;=R24),"█","")</f>
        <v/>
      </c>
      <c r="F24" s="34" t="str">
        <f>IF(AND(Q24&lt;&gt;"",R24&lt;&gt;"",DATE(2026,3,0)&gt;=Q24,DATE(2026,2,1)&lt;=R24),"█","")</f>
        <v/>
      </c>
      <c r="G24" s="34" t="str">
        <f>IF(AND(Q24&lt;&gt;"",R24&lt;&gt;"",DATE(2026,4,0)&gt;=Q24,DATE(2026,3,1)&lt;=R24),"█","")</f>
        <v/>
      </c>
      <c r="H24" s="34" t="str">
        <f>IF(AND(Q24&lt;&gt;"",R24&lt;&gt;"",DATE(2026,5,0)&gt;=Q24,DATE(2026,4,1)&lt;=R24),"█","")</f>
        <v/>
      </c>
      <c r="I24" s="34" t="str">
        <f>IF(AND(Q24&lt;&gt;"",R24&lt;&gt;"",DATE(2026,6,0)&gt;=Q24,DATE(2026,5,1)&lt;=R24),"█","")</f>
        <v/>
      </c>
      <c r="J24" s="34" t="str">
        <f>IF(AND(Q24&lt;&gt;"",R24&lt;&gt;"",DATE(2026,7,0)&gt;=Q24,DATE(2026,6,1)&lt;=R24),"█","")</f>
        <v/>
      </c>
      <c r="K24" s="34" t="str">
        <f>IF(AND(Q24&lt;&gt;"",R24&lt;&gt;"",DATE(2026,8,0)&gt;=Q24,DATE(2026,7,1)&lt;=R24),"█","")</f>
        <v/>
      </c>
      <c r="L24" s="34" t="str">
        <f>IF(AND(Q24&lt;&gt;"",R24&lt;&gt;"",DATE(2026,9,0)&gt;=Q24,DATE(2026,8,1)&lt;=R24),"█","")</f>
        <v/>
      </c>
      <c r="M24" s="34" t="str">
        <f>IF(AND(Q24&lt;&gt;"",R24&lt;&gt;"",DATE(2026,10,0)&gt;=Q24,DATE(2026,9,1)&lt;=R24),"█","")</f>
        <v>█</v>
      </c>
      <c r="N24" s="34" t="str">
        <f>IF(AND(Q24&lt;&gt;"",R24&lt;&gt;"",DATE(2026,11,0)&gt;=Q24,DATE(2026,10,1)&lt;=R24),"█","")</f>
        <v/>
      </c>
      <c r="O24" s="34" t="str">
        <f>IF(AND(Q24&lt;&gt;"",R24&lt;&gt;"",DATE(2026,12,0)&gt;=Q24,DATE(2026,11,1)&lt;=R24),"█","")</f>
        <v/>
      </c>
      <c r="P24" s="34" t="str">
        <f>IF(AND(Q24&lt;&gt;"",R24&lt;&gt;"",DATE(2026,12,31)&gt;=Q24,DATE(2026,12,1)&lt;=R24),"█","")</f>
        <v/>
      </c>
      <c r="Q24" s="7">
        <f>IF('Release Calendar'!I24&lt;&gt;"",'Release Calendar'!I24,"")</f>
        <v>46286</v>
      </c>
      <c r="R24" s="7">
        <f>IF('Release Calendar'!J24&lt;&gt;"",'Release Calendar'!J24,"")</f>
        <v>46286</v>
      </c>
    </row>
    <row r="25" spans="1:18" ht="20.100000000000001" customHeight="1">
      <c r="A25" s="14">
        <v>21</v>
      </c>
      <c r="B25" s="28" t="str">
        <f>IF('Release Calendar'!B25&lt;&gt;"",'Release Calendar'!B25,"")</f>
        <v>CPS License Log &amp; Daily OFT Report</v>
      </c>
      <c r="C25" s="29" t="str">
        <f>IF('Release Calendar'!K25&lt;&gt;"",'Release Calendar'!K25,"")</f>
        <v>UAT</v>
      </c>
      <c r="D25" s="29" t="str">
        <f>IF('Release Calendar'!M25&lt;&gt;"",'Release Calendar'!M25,"")</f>
        <v>Completed</v>
      </c>
      <c r="E25" s="30" t="str">
        <f>IF(AND(Q25&lt;&gt;"",R25&lt;&gt;"",DATE(2026,2,0)&gt;=Q25,DATE(2026,1,1)&lt;=R25),"█","")</f>
        <v/>
      </c>
      <c r="F25" s="30" t="str">
        <f>IF(AND(Q25&lt;&gt;"",R25&lt;&gt;"",DATE(2026,3,0)&gt;=Q25,DATE(2026,2,1)&lt;=R25),"█","")</f>
        <v/>
      </c>
      <c r="G25" s="30" t="str">
        <f>IF(AND(Q25&lt;&gt;"",R25&lt;&gt;"",DATE(2026,4,0)&gt;=Q25,DATE(2026,3,1)&lt;=R25),"█","")</f>
        <v/>
      </c>
      <c r="H25" s="30" t="str">
        <f>IF(AND(Q25&lt;&gt;"",R25&lt;&gt;"",DATE(2026,5,0)&gt;=Q25,DATE(2026,4,1)&lt;=R25),"█","")</f>
        <v/>
      </c>
      <c r="I25" s="30" t="str">
        <f>IF(AND(Q25&lt;&gt;"",R25&lt;&gt;"",DATE(2026,6,0)&gt;=Q25,DATE(2026,5,1)&lt;=R25),"█","")</f>
        <v/>
      </c>
      <c r="J25" s="30" t="str">
        <f>IF(AND(Q25&lt;&gt;"",R25&lt;&gt;"",DATE(2026,7,0)&gt;=Q25,DATE(2026,6,1)&lt;=R25),"█","")</f>
        <v/>
      </c>
      <c r="K25" s="30" t="str">
        <f>IF(AND(Q25&lt;&gt;"",R25&lt;&gt;"",DATE(2026,8,0)&gt;=Q25,DATE(2026,7,1)&lt;=R25),"█","")</f>
        <v/>
      </c>
      <c r="L25" s="30" t="str">
        <f>IF(AND(Q25&lt;&gt;"",R25&lt;&gt;"",DATE(2026,9,0)&gt;=Q25,DATE(2026,8,1)&lt;=R25),"█","")</f>
        <v/>
      </c>
      <c r="M25" s="30" t="str">
        <f>IF(AND(Q25&lt;&gt;"",R25&lt;&gt;"",DATE(2026,10,0)&gt;=Q25,DATE(2026,9,1)&lt;=R25),"█","")</f>
        <v>█</v>
      </c>
      <c r="N25" s="30" t="str">
        <f>IF(AND(Q25&lt;&gt;"",R25&lt;&gt;"",DATE(2026,11,0)&gt;=Q25,DATE(2026,10,1)&lt;=R25),"█","")</f>
        <v/>
      </c>
      <c r="O25" s="30" t="str">
        <f>IF(AND(Q25&lt;&gt;"",R25&lt;&gt;"",DATE(2026,12,0)&gt;=Q25,DATE(2026,11,1)&lt;=R25),"█","")</f>
        <v/>
      </c>
      <c r="P25" s="30" t="str">
        <f>IF(AND(Q25&lt;&gt;"",R25&lt;&gt;"",DATE(2026,12,31)&gt;=Q25,DATE(2026,12,1)&lt;=R25),"█","")</f>
        <v/>
      </c>
      <c r="Q25" s="7">
        <f>IF('Release Calendar'!I25&lt;&gt;"",'Release Calendar'!I25,"")</f>
        <v>46275</v>
      </c>
      <c r="R25" s="7">
        <f>IF('Release Calendar'!J25&lt;&gt;"",'Release Calendar'!J25,"")</f>
        <v>46287</v>
      </c>
    </row>
    <row r="26" spans="1:18" ht="20.100000000000001" customHeight="1">
      <c r="A26" s="31">
        <v>22</v>
      </c>
      <c r="B26" s="32" t="str">
        <f>IF('Release Calendar'!B26&lt;&gt;"",'Release Calendar'!B26,"")</f>
        <v>NBO Lookup - New Sourcing</v>
      </c>
      <c r="C26" s="33" t="str">
        <f>IF('Release Calendar'!K26&lt;&gt;"",'Release Calendar'!K26,"")</f>
        <v>Production</v>
      </c>
      <c r="D26" s="33" t="str">
        <f>IF('Release Calendar'!M26&lt;&gt;"",'Release Calendar'!M26,"")</f>
        <v>Completed</v>
      </c>
      <c r="E26" s="34" t="str">
        <f>IF(AND(Q26&lt;&gt;"",R26&lt;&gt;"",DATE(2026,2,0)&gt;=Q26,DATE(2026,1,1)&lt;=R26),"█","")</f>
        <v/>
      </c>
      <c r="F26" s="34" t="str">
        <f>IF(AND(Q26&lt;&gt;"",R26&lt;&gt;"",DATE(2026,3,0)&gt;=Q26,DATE(2026,2,1)&lt;=R26),"█","")</f>
        <v/>
      </c>
      <c r="G26" s="34" t="str">
        <f>IF(AND(Q26&lt;&gt;"",R26&lt;&gt;"",DATE(2026,4,0)&gt;=Q26,DATE(2026,3,1)&lt;=R26),"█","")</f>
        <v/>
      </c>
      <c r="H26" s="34" t="str">
        <f>IF(AND(Q26&lt;&gt;"",R26&lt;&gt;"",DATE(2026,5,0)&gt;=Q26,DATE(2026,4,1)&lt;=R26),"█","")</f>
        <v/>
      </c>
      <c r="I26" s="34" t="str">
        <f>IF(AND(Q26&lt;&gt;"",R26&lt;&gt;"",DATE(2026,6,0)&gt;=Q26,DATE(2026,5,1)&lt;=R26),"█","")</f>
        <v/>
      </c>
      <c r="J26" s="34" t="str">
        <f>IF(AND(Q26&lt;&gt;"",R26&lt;&gt;"",DATE(2026,7,0)&gt;=Q26,DATE(2026,6,1)&lt;=R26),"█","")</f>
        <v/>
      </c>
      <c r="K26" s="34" t="str">
        <f>IF(AND(Q26&lt;&gt;"",R26&lt;&gt;"",DATE(2026,8,0)&gt;=Q26,DATE(2026,7,1)&lt;=R26),"█","")</f>
        <v/>
      </c>
      <c r="L26" s="34" t="str">
        <f>IF(AND(Q26&lt;&gt;"",R26&lt;&gt;"",DATE(2026,9,0)&gt;=Q26,DATE(2026,8,1)&lt;=R26),"█","")</f>
        <v/>
      </c>
      <c r="M26" s="34" t="str">
        <f>IF(AND(Q26&lt;&gt;"",R26&lt;&gt;"",DATE(2026,10,0)&gt;=Q26,DATE(2026,9,1)&lt;=R26),"█","")</f>
        <v>█</v>
      </c>
      <c r="N26" s="34" t="str">
        <f>IF(AND(Q26&lt;&gt;"",R26&lt;&gt;"",DATE(2026,11,0)&gt;=Q26,DATE(2026,10,1)&lt;=R26),"█","")</f>
        <v/>
      </c>
      <c r="O26" s="34" t="str">
        <f>IF(AND(Q26&lt;&gt;"",R26&lt;&gt;"",DATE(2026,12,0)&gt;=Q26,DATE(2026,11,1)&lt;=R26),"█","")</f>
        <v/>
      </c>
      <c r="P26" s="34" t="str">
        <f>IF(AND(Q26&lt;&gt;"",R26&lt;&gt;"",DATE(2026,12,31)&gt;=Q26,DATE(2026,12,1)&lt;=R26),"█","")</f>
        <v/>
      </c>
      <c r="Q26" s="7">
        <f>IF('Release Calendar'!I26&lt;&gt;"",'Release Calendar'!I26,"")</f>
        <v>46288</v>
      </c>
      <c r="R26" s="7">
        <f>IF('Release Calendar'!J26&lt;&gt;"",'Release Calendar'!J26,"")</f>
        <v>46288</v>
      </c>
    </row>
    <row r="27" spans="1:18" ht="20.100000000000001" customHeight="1">
      <c r="A27" s="14">
        <v>23</v>
      </c>
      <c r="B27" s="28" t="str">
        <f>IF('Release Calendar'!B27&lt;&gt;"",'Release Calendar'!B27,"")</f>
        <v>Sales Fact 5G Date Addition</v>
      </c>
      <c r="C27" s="29" t="str">
        <f>IF('Release Calendar'!K27&lt;&gt;"",'Release Calendar'!K27,"")</f>
        <v>Production</v>
      </c>
      <c r="D27" s="29" t="str">
        <f>IF('Release Calendar'!M27&lt;&gt;"",'Release Calendar'!M27,"")</f>
        <v>Completed</v>
      </c>
      <c r="E27" s="30" t="str">
        <f>IF(AND(Q27&lt;&gt;"",R27&lt;&gt;"",DATE(2026,2,0)&gt;=Q27,DATE(2026,1,1)&lt;=R27),"█","")</f>
        <v/>
      </c>
      <c r="F27" s="30" t="str">
        <f>IF(AND(Q27&lt;&gt;"",R27&lt;&gt;"",DATE(2026,3,0)&gt;=Q27,DATE(2026,2,1)&lt;=R27),"█","")</f>
        <v/>
      </c>
      <c r="G27" s="30" t="str">
        <f>IF(AND(Q27&lt;&gt;"",R27&lt;&gt;"",DATE(2026,4,0)&gt;=Q27,DATE(2026,3,1)&lt;=R27),"█","")</f>
        <v/>
      </c>
      <c r="H27" s="30" t="str">
        <f>IF(AND(Q27&lt;&gt;"",R27&lt;&gt;"",DATE(2026,5,0)&gt;=Q27,DATE(2026,4,1)&lt;=R27),"█","")</f>
        <v/>
      </c>
      <c r="I27" s="30" t="str">
        <f>IF(AND(Q27&lt;&gt;"",R27&lt;&gt;"",DATE(2026,6,0)&gt;=Q27,DATE(2026,5,1)&lt;=R27),"█","")</f>
        <v/>
      </c>
      <c r="J27" s="30" t="str">
        <f>IF(AND(Q27&lt;&gt;"",R27&lt;&gt;"",DATE(2026,7,0)&gt;=Q27,DATE(2026,6,1)&lt;=R27),"█","")</f>
        <v/>
      </c>
      <c r="K27" s="30" t="str">
        <f>IF(AND(Q27&lt;&gt;"",R27&lt;&gt;"",DATE(2026,8,0)&gt;=Q27,DATE(2026,7,1)&lt;=R27),"█","")</f>
        <v/>
      </c>
      <c r="L27" s="30" t="str">
        <f>IF(AND(Q27&lt;&gt;"",R27&lt;&gt;"",DATE(2026,9,0)&gt;=Q27,DATE(2026,8,1)&lt;=R27),"█","")</f>
        <v/>
      </c>
      <c r="M27" s="30" t="str">
        <f>IF(AND(Q27&lt;&gt;"",R27&lt;&gt;"",DATE(2026,10,0)&gt;=Q27,DATE(2026,9,1)&lt;=R27),"█","")</f>
        <v>█</v>
      </c>
      <c r="N27" s="30" t="str">
        <f>IF(AND(Q27&lt;&gt;"",R27&lt;&gt;"",DATE(2026,11,0)&gt;=Q27,DATE(2026,10,1)&lt;=R27),"█","")</f>
        <v/>
      </c>
      <c r="O27" s="30" t="str">
        <f>IF(AND(Q27&lt;&gt;"",R27&lt;&gt;"",DATE(2026,12,0)&gt;=Q27,DATE(2026,11,1)&lt;=R27),"█","")</f>
        <v/>
      </c>
      <c r="P27" s="30" t="str">
        <f>IF(AND(Q27&lt;&gt;"",R27&lt;&gt;"",DATE(2026,12,31)&gt;=Q27,DATE(2026,12,1)&lt;=R27),"█","")</f>
        <v/>
      </c>
      <c r="Q27" s="7">
        <f>IF('Release Calendar'!I27&lt;&gt;"",'Release Calendar'!I27,"")</f>
        <v>46290</v>
      </c>
      <c r="R27" s="7">
        <f>IF('Release Calendar'!J27&lt;&gt;"",'Release Calendar'!J27,"")</f>
        <v>46295</v>
      </c>
    </row>
    <row r="28" spans="1:18" ht="20.100000000000001" customHeight="1">
      <c r="A28" s="31">
        <v>24</v>
      </c>
      <c r="B28" s="32" t="str">
        <f>IF('Release Calendar'!B28&lt;&gt;"",'Release Calendar'!B28,"")</f>
        <v>postpaid live</v>
      </c>
      <c r="C28" s="33" t="str">
        <f>IF('Release Calendar'!K28&lt;&gt;"",'Release Calendar'!K28,"")</f>
        <v>Production</v>
      </c>
      <c r="D28" s="33" t="str">
        <f>IF('Release Calendar'!M28&lt;&gt;"",'Release Calendar'!M28,"")</f>
        <v>Completed</v>
      </c>
      <c r="E28" s="34" t="str">
        <f>IF(AND(Q28&lt;&gt;"",R28&lt;&gt;"",DATE(2026,2,0)&gt;=Q28,DATE(2026,1,1)&lt;=R28),"█","")</f>
        <v/>
      </c>
      <c r="F28" s="34" t="str">
        <f>IF(AND(Q28&lt;&gt;"",R28&lt;&gt;"",DATE(2026,3,0)&gt;=Q28,DATE(2026,2,1)&lt;=R28),"█","")</f>
        <v/>
      </c>
      <c r="G28" s="34" t="str">
        <f>IF(AND(Q28&lt;&gt;"",R28&lt;&gt;"",DATE(2026,4,0)&gt;=Q28,DATE(2026,3,1)&lt;=R28),"█","")</f>
        <v/>
      </c>
      <c r="H28" s="34" t="str">
        <f>IF(AND(Q28&lt;&gt;"",R28&lt;&gt;"",DATE(2026,5,0)&gt;=Q28,DATE(2026,4,1)&lt;=R28),"█","")</f>
        <v/>
      </c>
      <c r="I28" s="34" t="str">
        <f>IF(AND(Q28&lt;&gt;"",R28&lt;&gt;"",DATE(2026,6,0)&gt;=Q28,DATE(2026,5,1)&lt;=R28),"█","")</f>
        <v/>
      </c>
      <c r="J28" s="34" t="str">
        <f>IF(AND(Q28&lt;&gt;"",R28&lt;&gt;"",DATE(2026,7,0)&gt;=Q28,DATE(2026,6,1)&lt;=R28),"█","")</f>
        <v/>
      </c>
      <c r="K28" s="34" t="str">
        <f>IF(AND(Q28&lt;&gt;"",R28&lt;&gt;"",DATE(2026,8,0)&gt;=Q28,DATE(2026,7,1)&lt;=R28),"█","")</f>
        <v/>
      </c>
      <c r="L28" s="34" t="str">
        <f>IF(AND(Q28&lt;&gt;"",R28&lt;&gt;"",DATE(2026,9,0)&gt;=Q28,DATE(2026,8,1)&lt;=R28),"█","")</f>
        <v/>
      </c>
      <c r="M28" s="34" t="str">
        <f>IF(AND(Q28&lt;&gt;"",R28&lt;&gt;"",DATE(2026,10,0)&gt;=Q28,DATE(2026,9,1)&lt;=R28),"█","")</f>
        <v>█</v>
      </c>
      <c r="N28" s="34" t="str">
        <f>IF(AND(Q28&lt;&gt;"",R28&lt;&gt;"",DATE(2026,11,0)&gt;=Q28,DATE(2026,10,1)&lt;=R28),"█","")</f>
        <v/>
      </c>
      <c r="O28" s="34" t="str">
        <f>IF(AND(Q28&lt;&gt;"",R28&lt;&gt;"",DATE(2026,12,0)&gt;=Q28,DATE(2026,11,1)&lt;=R28),"█","")</f>
        <v/>
      </c>
      <c r="P28" s="34" t="str">
        <f>IF(AND(Q28&lt;&gt;"",R28&lt;&gt;"",DATE(2026,12,31)&gt;=Q28,DATE(2026,12,1)&lt;=R28),"█","")</f>
        <v/>
      </c>
      <c r="Q28" s="7">
        <f>IF('Release Calendar'!I28&lt;&gt;"",'Release Calendar'!I28,"")</f>
        <v>46295</v>
      </c>
      <c r="R28" s="7">
        <f>IF('Release Calendar'!J28&lt;&gt;"",'Release Calendar'!J28,"")</f>
        <v>46295</v>
      </c>
    </row>
    <row r="29" spans="1:18" ht="20.100000000000001" customHeight="1">
      <c r="A29" s="14">
        <v>25</v>
      </c>
      <c r="B29" s="28" t="str">
        <f>IF('Release Calendar'!B29&lt;&gt;"",'Release Calendar'!B29,"")</f>
        <v>addition of KPIS in script dashboard day wise kpi</v>
      </c>
      <c r="C29" s="29" t="str">
        <f>IF('Release Calendar'!K29&lt;&gt;"",'Release Calendar'!K29,"")</f>
        <v>Production</v>
      </c>
      <c r="D29" s="29" t="str">
        <f>IF('Release Calendar'!M29&lt;&gt;"",'Release Calendar'!M29,"")</f>
        <v>Completed</v>
      </c>
      <c r="E29" s="30" t="str">
        <f>IF(AND(Q29&lt;&gt;"",R29&lt;&gt;"",DATE(2026,2,0)&gt;=Q29,DATE(2026,1,1)&lt;=R29),"█","")</f>
        <v/>
      </c>
      <c r="F29" s="30" t="str">
        <f>IF(AND(Q29&lt;&gt;"",R29&lt;&gt;"",DATE(2026,3,0)&gt;=Q29,DATE(2026,2,1)&lt;=R29),"█","")</f>
        <v/>
      </c>
      <c r="G29" s="30" t="str">
        <f>IF(AND(Q29&lt;&gt;"",R29&lt;&gt;"",DATE(2026,4,0)&gt;=Q29,DATE(2026,3,1)&lt;=R29),"█","")</f>
        <v/>
      </c>
      <c r="H29" s="30" t="str">
        <f>IF(AND(Q29&lt;&gt;"",R29&lt;&gt;"",DATE(2026,5,0)&gt;=Q29,DATE(2026,4,1)&lt;=R29),"█","")</f>
        <v/>
      </c>
      <c r="I29" s="30" t="str">
        <f>IF(AND(Q29&lt;&gt;"",R29&lt;&gt;"",DATE(2026,6,0)&gt;=Q29,DATE(2026,5,1)&lt;=R29),"█","")</f>
        <v/>
      </c>
      <c r="J29" s="30" t="str">
        <f>IF(AND(Q29&lt;&gt;"",R29&lt;&gt;"",DATE(2026,7,0)&gt;=Q29,DATE(2026,6,1)&lt;=R29),"█","")</f>
        <v/>
      </c>
      <c r="K29" s="30" t="str">
        <f>IF(AND(Q29&lt;&gt;"",R29&lt;&gt;"",DATE(2026,8,0)&gt;=Q29,DATE(2026,7,1)&lt;=R29),"█","")</f>
        <v/>
      </c>
      <c r="L29" s="30" t="str">
        <f>IF(AND(Q29&lt;&gt;"",R29&lt;&gt;"",DATE(2026,9,0)&gt;=Q29,DATE(2026,8,1)&lt;=R29),"█","")</f>
        <v/>
      </c>
      <c r="M29" s="30" t="str">
        <f>IF(AND(Q29&lt;&gt;"",R29&lt;&gt;"",DATE(2026,10,0)&gt;=Q29,DATE(2026,9,1)&lt;=R29),"█","")</f>
        <v>█</v>
      </c>
      <c r="N29" s="30" t="str">
        <f>IF(AND(Q29&lt;&gt;"",R29&lt;&gt;"",DATE(2026,11,0)&gt;=Q29,DATE(2026,10,1)&lt;=R29),"█","")</f>
        <v/>
      </c>
      <c r="O29" s="30" t="str">
        <f>IF(AND(Q29&lt;&gt;"",R29&lt;&gt;"",DATE(2026,12,0)&gt;=Q29,DATE(2026,11,1)&lt;=R29),"█","")</f>
        <v/>
      </c>
      <c r="P29" s="30" t="str">
        <f>IF(AND(Q29&lt;&gt;"",R29&lt;&gt;"",DATE(2026,12,31)&gt;=Q29,DATE(2026,12,1)&lt;=R29),"█","")</f>
        <v/>
      </c>
      <c r="Q29" s="7">
        <f>IF('Release Calendar'!I29&lt;&gt;"",'Release Calendar'!I29,"")</f>
        <v>46295</v>
      </c>
      <c r="R29" s="7">
        <f>IF('Release Calendar'!J29&lt;&gt;"",'Release Calendar'!J29,"")</f>
        <v>46295</v>
      </c>
    </row>
    <row r="30" spans="1:18" ht="20.100000000000001" customHeight="1">
      <c r="A30" s="31">
        <v>26</v>
      </c>
      <c r="B30" s="32" t="str">
        <f>IF('Release Calendar'!B30&lt;&gt;"",'Release Calendar'!B30,"")</f>
        <v>Postpaid Conversion API</v>
      </c>
      <c r="C30" s="33" t="str">
        <f>IF('Release Calendar'!K30&lt;&gt;"",'Release Calendar'!K30,"")</f>
        <v>Pre-Prod</v>
      </c>
      <c r="D30" s="33" t="str">
        <f>IF('Release Calendar'!M30&lt;&gt;"",'Release Calendar'!M30,"")</f>
        <v>Completed</v>
      </c>
      <c r="E30" s="34" t="str">
        <f>IF(AND(Q30&lt;&gt;"",R30&lt;&gt;"",DATE(2026,2,0)&gt;=Q30,DATE(2026,1,1)&lt;=R30),"█","")</f>
        <v/>
      </c>
      <c r="F30" s="34" t="str">
        <f>IF(AND(Q30&lt;&gt;"",R30&lt;&gt;"",DATE(2026,3,0)&gt;=Q30,DATE(2026,2,1)&lt;=R30),"█","")</f>
        <v/>
      </c>
      <c r="G30" s="34" t="str">
        <f>IF(AND(Q30&lt;&gt;"",R30&lt;&gt;"",DATE(2026,4,0)&gt;=Q30,DATE(2026,3,1)&lt;=R30),"█","")</f>
        <v/>
      </c>
      <c r="H30" s="34" t="str">
        <f>IF(AND(Q30&lt;&gt;"",R30&lt;&gt;"",DATE(2026,5,0)&gt;=Q30,DATE(2026,4,1)&lt;=R30),"█","")</f>
        <v/>
      </c>
      <c r="I30" s="34" t="str">
        <f>IF(AND(Q30&lt;&gt;"",R30&lt;&gt;"",DATE(2026,6,0)&gt;=Q30,DATE(2026,5,1)&lt;=R30),"█","")</f>
        <v/>
      </c>
      <c r="J30" s="34" t="str">
        <f>IF(AND(Q30&lt;&gt;"",R30&lt;&gt;"",DATE(2026,7,0)&gt;=Q30,DATE(2026,6,1)&lt;=R30),"█","")</f>
        <v/>
      </c>
      <c r="K30" s="34" t="str">
        <f>IF(AND(Q30&lt;&gt;"",R30&lt;&gt;"",DATE(2026,8,0)&gt;=Q30,DATE(2026,7,1)&lt;=R30),"█","")</f>
        <v/>
      </c>
      <c r="L30" s="34" t="str">
        <f>IF(AND(Q30&lt;&gt;"",R30&lt;&gt;"",DATE(2026,9,0)&gt;=Q30,DATE(2026,8,1)&lt;=R30),"█","")</f>
        <v/>
      </c>
      <c r="M30" s="34" t="str">
        <f>IF(AND(Q30&lt;&gt;"",R30&lt;&gt;"",DATE(2026,10,0)&gt;=Q30,DATE(2026,9,1)&lt;=R30),"█","")</f>
        <v>█</v>
      </c>
      <c r="N30" s="34" t="str">
        <f>IF(AND(Q30&lt;&gt;"",R30&lt;&gt;"",DATE(2026,11,0)&gt;=Q30,DATE(2026,10,1)&lt;=R30),"█","")</f>
        <v/>
      </c>
      <c r="O30" s="34" t="str">
        <f>IF(AND(Q30&lt;&gt;"",R30&lt;&gt;"",DATE(2026,12,0)&gt;=Q30,DATE(2026,11,1)&lt;=R30),"█","")</f>
        <v/>
      </c>
      <c r="P30" s="34" t="str">
        <f>IF(AND(Q30&lt;&gt;"",R30&lt;&gt;"",DATE(2026,12,31)&gt;=Q30,DATE(2026,12,1)&lt;=R30),"█","")</f>
        <v/>
      </c>
      <c r="Q30" s="7">
        <f>IF('Release Calendar'!I30&lt;&gt;"",'Release Calendar'!I30,"")</f>
        <v>46293</v>
      </c>
      <c r="R30" s="7">
        <f>IF('Release Calendar'!J30&lt;&gt;"",'Release Calendar'!J30,"")</f>
        <v>46295</v>
      </c>
    </row>
    <row r="31" spans="1:18" ht="20.100000000000001" customHeight="1">
      <c r="A31" s="14">
        <v>27</v>
      </c>
      <c r="B31" s="28" t="str">
        <f>IF('Release Calendar'!B31&lt;&gt;"",'Release Calendar'!B31,"")</f>
        <v>Jazz Advance TPT Update</v>
      </c>
      <c r="C31" s="29" t="str">
        <f>IF('Release Calendar'!K31&lt;&gt;"",'Release Calendar'!K31,"")</f>
        <v>Pre-Prod</v>
      </c>
      <c r="D31" s="29" t="str">
        <f>IF('Release Calendar'!M31&lt;&gt;"",'Release Calendar'!M31,"")</f>
        <v>Completed</v>
      </c>
      <c r="E31" s="30" t="str">
        <f>IF(AND(Q31&lt;&gt;"",R31&lt;&gt;"",DATE(2026,2,0)&gt;=Q31,DATE(2026,1,1)&lt;=R31),"█","")</f>
        <v/>
      </c>
      <c r="F31" s="30" t="str">
        <f>IF(AND(Q31&lt;&gt;"",R31&lt;&gt;"",DATE(2026,3,0)&gt;=Q31,DATE(2026,2,1)&lt;=R31),"█","")</f>
        <v/>
      </c>
      <c r="G31" s="30" t="str">
        <f>IF(AND(Q31&lt;&gt;"",R31&lt;&gt;"",DATE(2026,4,0)&gt;=Q31,DATE(2026,3,1)&lt;=R31),"█","")</f>
        <v/>
      </c>
      <c r="H31" s="30" t="str">
        <f>IF(AND(Q31&lt;&gt;"",R31&lt;&gt;"",DATE(2026,5,0)&gt;=Q31,DATE(2026,4,1)&lt;=R31),"█","")</f>
        <v/>
      </c>
      <c r="I31" s="30" t="str">
        <f>IF(AND(Q31&lt;&gt;"",R31&lt;&gt;"",DATE(2026,6,0)&gt;=Q31,DATE(2026,5,1)&lt;=R31),"█","")</f>
        <v/>
      </c>
      <c r="J31" s="30" t="str">
        <f>IF(AND(Q31&lt;&gt;"",R31&lt;&gt;"",DATE(2026,7,0)&gt;=Q31,DATE(2026,6,1)&lt;=R31),"█","")</f>
        <v/>
      </c>
      <c r="K31" s="30" t="str">
        <f>IF(AND(Q31&lt;&gt;"",R31&lt;&gt;"",DATE(2026,8,0)&gt;=Q31,DATE(2026,7,1)&lt;=R31),"█","")</f>
        <v/>
      </c>
      <c r="L31" s="30" t="str">
        <f>IF(AND(Q31&lt;&gt;"",R31&lt;&gt;"",DATE(2026,9,0)&gt;=Q31,DATE(2026,8,1)&lt;=R31),"█","")</f>
        <v/>
      </c>
      <c r="M31" s="30" t="str">
        <f>IF(AND(Q31&lt;&gt;"",R31&lt;&gt;"",DATE(2026,10,0)&gt;=Q31,DATE(2026,9,1)&lt;=R31),"█","")</f>
        <v>█</v>
      </c>
      <c r="N31" s="30" t="str">
        <f>IF(AND(Q31&lt;&gt;"",R31&lt;&gt;"",DATE(2026,11,0)&gt;=Q31,DATE(2026,10,1)&lt;=R31),"█","")</f>
        <v/>
      </c>
      <c r="O31" s="30" t="str">
        <f>IF(AND(Q31&lt;&gt;"",R31&lt;&gt;"",DATE(2026,12,0)&gt;=Q31,DATE(2026,11,1)&lt;=R31),"█","")</f>
        <v/>
      </c>
      <c r="P31" s="30" t="str">
        <f>IF(AND(Q31&lt;&gt;"",R31&lt;&gt;"",DATE(2026,12,31)&gt;=Q31,DATE(2026,12,1)&lt;=R31),"█","")</f>
        <v/>
      </c>
      <c r="Q31" s="7">
        <f>IF('Release Calendar'!I31&lt;&gt;"",'Release Calendar'!I31,"")</f>
        <v>46293</v>
      </c>
      <c r="R31" s="7">
        <f>IF('Release Calendar'!J31&lt;&gt;"",'Release Calendar'!J31,"")</f>
        <v>46295</v>
      </c>
    </row>
    <row r="32" spans="1:18" ht="20.100000000000001" customHeight="1">
      <c r="A32" s="31">
        <v>28</v>
      </c>
      <c r="B32" s="32" t="str">
        <f>IF('Release Calendar'!B32&lt;&gt;"",'Release Calendar'!B32,"")</f>
        <v>Jazz CX IVR API</v>
      </c>
      <c r="C32" s="33" t="str">
        <f>IF('Release Calendar'!K32&lt;&gt;"",'Release Calendar'!K32,"")</f>
        <v>Production</v>
      </c>
      <c r="D32" s="33" t="str">
        <f>IF('Release Calendar'!M32&lt;&gt;"",'Release Calendar'!M32,"")</f>
        <v>On Hold</v>
      </c>
      <c r="E32" s="34" t="str">
        <f>IF(AND(Q32&lt;&gt;"",R32&lt;&gt;"",DATE(2026,2,0)&gt;=Q32,DATE(2026,1,1)&lt;=R32),"█","")</f>
        <v/>
      </c>
      <c r="F32" s="34" t="str">
        <f>IF(AND(Q32&lt;&gt;"",R32&lt;&gt;"",DATE(2026,3,0)&gt;=Q32,DATE(2026,2,1)&lt;=R32),"█","")</f>
        <v/>
      </c>
      <c r="G32" s="34" t="str">
        <f>IF(AND(Q32&lt;&gt;"",R32&lt;&gt;"",DATE(2026,4,0)&gt;=Q32,DATE(2026,3,1)&lt;=R32),"█","")</f>
        <v/>
      </c>
      <c r="H32" s="34" t="str">
        <f>IF(AND(Q32&lt;&gt;"",R32&lt;&gt;"",DATE(2026,5,0)&gt;=Q32,DATE(2026,4,1)&lt;=R32),"█","")</f>
        <v/>
      </c>
      <c r="I32" s="34" t="str">
        <f>IF(AND(Q32&lt;&gt;"",R32&lt;&gt;"",DATE(2026,6,0)&gt;=Q32,DATE(2026,5,1)&lt;=R32),"█","")</f>
        <v/>
      </c>
      <c r="J32" s="34" t="str">
        <f>IF(AND(Q32&lt;&gt;"",R32&lt;&gt;"",DATE(2026,7,0)&gt;=Q32,DATE(2026,6,1)&lt;=R32),"█","")</f>
        <v/>
      </c>
      <c r="K32" s="34" t="str">
        <f>IF(AND(Q32&lt;&gt;"",R32&lt;&gt;"",DATE(2026,8,0)&gt;=Q32,DATE(2026,7,1)&lt;=R32),"█","")</f>
        <v/>
      </c>
      <c r="L32" s="34" t="str">
        <f>IF(AND(Q32&lt;&gt;"",R32&lt;&gt;"",DATE(2026,9,0)&gt;=Q32,DATE(2026,8,1)&lt;=R32),"█","")</f>
        <v/>
      </c>
      <c r="M32" s="34" t="str">
        <f>IF(AND(Q32&lt;&gt;"",R32&lt;&gt;"",DATE(2026,10,0)&gt;=Q32,DATE(2026,9,1)&lt;=R32),"█","")</f>
        <v>█</v>
      </c>
      <c r="N32" s="34" t="str">
        <f>IF(AND(Q32&lt;&gt;"",R32&lt;&gt;"",DATE(2026,11,0)&gt;=Q32,DATE(2026,10,1)&lt;=R32),"█","")</f>
        <v/>
      </c>
      <c r="O32" s="34" t="str">
        <f>IF(AND(Q32&lt;&gt;"",R32&lt;&gt;"",DATE(2026,12,0)&gt;=Q32,DATE(2026,11,1)&lt;=R32),"█","")</f>
        <v/>
      </c>
      <c r="P32" s="34" t="str">
        <f>IF(AND(Q32&lt;&gt;"",R32&lt;&gt;"",DATE(2026,12,31)&gt;=Q32,DATE(2026,12,1)&lt;=R32),"█","")</f>
        <v/>
      </c>
      <c r="Q32" s="7">
        <f>IF('Release Calendar'!I32&lt;&gt;"",'Release Calendar'!I32,"")</f>
        <v>46293</v>
      </c>
      <c r="R32" s="7">
        <f>IF('Release Calendar'!J32&lt;&gt;"",'Release Calendar'!J32,"")</f>
        <v>46295</v>
      </c>
    </row>
    <row r="33" spans="1:18" ht="20.100000000000001" customHeight="1">
      <c r="A33" s="14">
        <v>29</v>
      </c>
      <c r="B33" s="28" t="str">
        <f>IF('Release Calendar'!B33&lt;&gt;"",'Release Calendar'!B33,"")</f>
        <v>FikrFree New Sourcing</v>
      </c>
      <c r="C33" s="29" t="str">
        <f>IF('Release Calendar'!K33&lt;&gt;"",'Release Calendar'!K33,"")</f>
        <v>Production</v>
      </c>
      <c r="D33" s="29" t="str">
        <f>IF('Release Calendar'!M33&lt;&gt;"",'Release Calendar'!M33,"")</f>
        <v>On Hold</v>
      </c>
      <c r="E33" s="30" t="str">
        <f>IF(AND(Q33&lt;&gt;"",R33&lt;&gt;"",DATE(2026,2,0)&gt;=Q33,DATE(2026,1,1)&lt;=R33),"█","")</f>
        <v/>
      </c>
      <c r="F33" s="30" t="str">
        <f>IF(AND(Q33&lt;&gt;"",R33&lt;&gt;"",DATE(2026,3,0)&gt;=Q33,DATE(2026,2,1)&lt;=R33),"█","")</f>
        <v/>
      </c>
      <c r="G33" s="30" t="str">
        <f>IF(AND(Q33&lt;&gt;"",R33&lt;&gt;"",DATE(2026,4,0)&gt;=Q33,DATE(2026,3,1)&lt;=R33),"█","")</f>
        <v/>
      </c>
      <c r="H33" s="30" t="str">
        <f>IF(AND(Q33&lt;&gt;"",R33&lt;&gt;"",DATE(2026,5,0)&gt;=Q33,DATE(2026,4,1)&lt;=R33),"█","")</f>
        <v/>
      </c>
      <c r="I33" s="30" t="str">
        <f>IF(AND(Q33&lt;&gt;"",R33&lt;&gt;"",DATE(2026,6,0)&gt;=Q33,DATE(2026,5,1)&lt;=R33),"█","")</f>
        <v/>
      </c>
      <c r="J33" s="30" t="str">
        <f>IF(AND(Q33&lt;&gt;"",R33&lt;&gt;"",DATE(2026,7,0)&gt;=Q33,DATE(2026,6,1)&lt;=R33),"█","")</f>
        <v/>
      </c>
      <c r="K33" s="30" t="str">
        <f>IF(AND(Q33&lt;&gt;"",R33&lt;&gt;"",DATE(2026,8,0)&gt;=Q33,DATE(2026,7,1)&lt;=R33),"█","")</f>
        <v/>
      </c>
      <c r="L33" s="30" t="str">
        <f>IF(AND(Q33&lt;&gt;"",R33&lt;&gt;"",DATE(2026,9,0)&gt;=Q33,DATE(2026,8,1)&lt;=R33),"█","")</f>
        <v/>
      </c>
      <c r="M33" s="30" t="str">
        <f>IF(AND(Q33&lt;&gt;"",R33&lt;&gt;"",DATE(2026,10,0)&gt;=Q33,DATE(2026,9,1)&lt;=R33),"█","")</f>
        <v>█</v>
      </c>
      <c r="N33" s="30" t="str">
        <f>IF(AND(Q33&lt;&gt;"",R33&lt;&gt;"",DATE(2026,11,0)&gt;=Q33,DATE(2026,10,1)&lt;=R33),"█","")</f>
        <v/>
      </c>
      <c r="O33" s="30" t="str">
        <f>IF(AND(Q33&lt;&gt;"",R33&lt;&gt;"",DATE(2026,12,0)&gt;=Q33,DATE(2026,11,1)&lt;=R33),"█","")</f>
        <v/>
      </c>
      <c r="P33" s="30" t="str">
        <f>IF(AND(Q33&lt;&gt;"",R33&lt;&gt;"",DATE(2026,12,31)&gt;=Q33,DATE(2026,12,1)&lt;=R33),"█","")</f>
        <v/>
      </c>
      <c r="Q33" s="7">
        <f>IF('Release Calendar'!I33&lt;&gt;"",'Release Calendar'!I33,"")</f>
        <v>46294</v>
      </c>
      <c r="R33" s="7">
        <f>IF('Release Calendar'!J33&lt;&gt;"",'Release Calendar'!J33,"")</f>
        <v>46295</v>
      </c>
    </row>
    <row r="34" spans="1:18" ht="20.100000000000001" customHeight="1">
      <c r="A34" s="31">
        <v>30</v>
      </c>
      <c r="B34" s="32" t="str">
        <f>IF('Release Calendar'!B34&lt;&gt;"",'Release Calendar'!B34,"")</f>
        <v>MSPH COLUMN ADDITION</v>
      </c>
      <c r="C34" s="33" t="str">
        <f>IF('Release Calendar'!K34&lt;&gt;"",'Release Calendar'!K34,"")</f>
        <v>Production</v>
      </c>
      <c r="D34" s="33" t="str">
        <f>IF('Release Calendar'!M34&lt;&gt;"",'Release Calendar'!M34,"")</f>
        <v>Completed</v>
      </c>
      <c r="E34" s="34" t="str">
        <f>IF(AND(Q34&lt;&gt;"",R34&lt;&gt;"",DATE(2026,2,0)&gt;=Q34,DATE(2026,1,1)&lt;=R34),"█","")</f>
        <v/>
      </c>
      <c r="F34" s="34" t="str">
        <f>IF(AND(Q34&lt;&gt;"",R34&lt;&gt;"",DATE(2026,3,0)&gt;=Q34,DATE(2026,2,1)&lt;=R34),"█","")</f>
        <v/>
      </c>
      <c r="G34" s="34" t="str">
        <f>IF(AND(Q34&lt;&gt;"",R34&lt;&gt;"",DATE(2026,4,0)&gt;=Q34,DATE(2026,3,1)&lt;=R34),"█","")</f>
        <v/>
      </c>
      <c r="H34" s="34" t="str">
        <f>IF(AND(Q34&lt;&gt;"",R34&lt;&gt;"",DATE(2026,5,0)&gt;=Q34,DATE(2026,4,1)&lt;=R34),"█","")</f>
        <v/>
      </c>
      <c r="I34" s="34" t="str">
        <f>IF(AND(Q34&lt;&gt;"",R34&lt;&gt;"",DATE(2026,6,0)&gt;=Q34,DATE(2026,5,1)&lt;=R34),"█","")</f>
        <v/>
      </c>
      <c r="J34" s="34" t="str">
        <f>IF(AND(Q34&lt;&gt;"",R34&lt;&gt;"",DATE(2026,7,0)&gt;=Q34,DATE(2026,6,1)&lt;=R34),"█","")</f>
        <v/>
      </c>
      <c r="K34" s="34" t="str">
        <f>IF(AND(Q34&lt;&gt;"",R34&lt;&gt;"",DATE(2026,8,0)&gt;=Q34,DATE(2026,7,1)&lt;=R34),"█","")</f>
        <v/>
      </c>
      <c r="L34" s="34" t="str">
        <f>IF(AND(Q34&lt;&gt;"",R34&lt;&gt;"",DATE(2026,9,0)&gt;=Q34,DATE(2026,8,1)&lt;=R34),"█","")</f>
        <v/>
      </c>
      <c r="M34" s="34" t="str">
        <f>IF(AND(Q34&lt;&gt;"",R34&lt;&gt;"",DATE(2026,10,0)&gt;=Q34,DATE(2026,9,1)&lt;=R34),"█","")</f>
        <v>█</v>
      </c>
      <c r="N34" s="34" t="str">
        <f>IF(AND(Q34&lt;&gt;"",R34&lt;&gt;"",DATE(2026,11,0)&gt;=Q34,DATE(2026,10,1)&lt;=R34),"█","")</f>
        <v/>
      </c>
      <c r="O34" s="34" t="str">
        <f>IF(AND(Q34&lt;&gt;"",R34&lt;&gt;"",DATE(2026,12,0)&gt;=Q34,DATE(2026,11,1)&lt;=R34),"█","")</f>
        <v/>
      </c>
      <c r="P34" s="34" t="str">
        <f>IF(AND(Q34&lt;&gt;"",R34&lt;&gt;"",DATE(2026,12,31)&gt;=Q34,DATE(2026,12,1)&lt;=R34),"█","")</f>
        <v/>
      </c>
      <c r="Q34" s="7">
        <f>IF('Release Calendar'!I34&lt;&gt;"",'Release Calendar'!I34,"")</f>
        <v>46295</v>
      </c>
      <c r="R34" s="7">
        <f>IF('Release Calendar'!J34&lt;&gt;"",'Release Calendar'!J34,"")</f>
        <v>46295</v>
      </c>
    </row>
    <row r="35" spans="1:18" ht="20.100000000000001" customHeight="1">
      <c r="A35" s="14">
        <v>31</v>
      </c>
      <c r="B35" s="28" t="str">
        <f>IF('Release Calendar'!B35&lt;&gt;"",'Release Calendar'!B35,"")</f>
        <v>UCIP_LKP update (Gamenow Ucips)</v>
      </c>
      <c r="C35" s="29" t="str">
        <f>IF('Release Calendar'!K35&lt;&gt;"",'Release Calendar'!K35,"")</f>
        <v>Pre-Prod</v>
      </c>
      <c r="D35" s="29" t="str">
        <f>IF('Release Calendar'!M35&lt;&gt;"",'Release Calendar'!M35,"")</f>
        <v>Completed</v>
      </c>
      <c r="E35" s="30" t="str">
        <f>IF(AND(Q35&lt;&gt;"",R35&lt;&gt;"",DATE(2026,2,0)&gt;=Q35,DATE(2026,1,1)&lt;=R35),"█","")</f>
        <v/>
      </c>
      <c r="F35" s="30" t="str">
        <f>IF(AND(Q35&lt;&gt;"",R35&lt;&gt;"",DATE(2026,3,0)&gt;=Q35,DATE(2026,2,1)&lt;=R35),"█","")</f>
        <v/>
      </c>
      <c r="G35" s="30" t="str">
        <f>IF(AND(Q35&lt;&gt;"",R35&lt;&gt;"",DATE(2026,4,0)&gt;=Q35,DATE(2026,3,1)&lt;=R35),"█","")</f>
        <v/>
      </c>
      <c r="H35" s="30" t="str">
        <f>IF(AND(Q35&lt;&gt;"",R35&lt;&gt;"",DATE(2026,5,0)&gt;=Q35,DATE(2026,4,1)&lt;=R35),"█","")</f>
        <v/>
      </c>
      <c r="I35" s="30" t="str">
        <f>IF(AND(Q35&lt;&gt;"",R35&lt;&gt;"",DATE(2026,6,0)&gt;=Q35,DATE(2026,5,1)&lt;=R35),"█","")</f>
        <v/>
      </c>
      <c r="J35" s="30" t="str">
        <f>IF(AND(Q35&lt;&gt;"",R35&lt;&gt;"",DATE(2026,7,0)&gt;=Q35,DATE(2026,6,1)&lt;=R35),"█","")</f>
        <v/>
      </c>
      <c r="K35" s="30" t="str">
        <f>IF(AND(Q35&lt;&gt;"",R35&lt;&gt;"",DATE(2026,8,0)&gt;=Q35,DATE(2026,7,1)&lt;=R35),"█","")</f>
        <v/>
      </c>
      <c r="L35" s="30" t="str">
        <f>IF(AND(Q35&lt;&gt;"",R35&lt;&gt;"",DATE(2026,9,0)&gt;=Q35,DATE(2026,8,1)&lt;=R35),"█","")</f>
        <v/>
      </c>
      <c r="M35" s="30" t="str">
        <f>IF(AND(Q35&lt;&gt;"",R35&lt;&gt;"",DATE(2026,10,0)&gt;=Q35,DATE(2026,9,1)&lt;=R35),"█","")</f>
        <v>█</v>
      </c>
      <c r="N35" s="30" t="str">
        <f>IF(AND(Q35&lt;&gt;"",R35&lt;&gt;"",DATE(2026,11,0)&gt;=Q35,DATE(2026,10,1)&lt;=R35),"█","")</f>
        <v/>
      </c>
      <c r="O35" s="30" t="str">
        <f>IF(AND(Q35&lt;&gt;"",R35&lt;&gt;"",DATE(2026,12,0)&gt;=Q35,DATE(2026,11,1)&lt;=R35),"█","")</f>
        <v/>
      </c>
      <c r="P35" s="30" t="str">
        <f>IF(AND(Q35&lt;&gt;"",R35&lt;&gt;"",DATE(2026,12,31)&gt;=Q35,DATE(2026,12,1)&lt;=R35),"█","")</f>
        <v/>
      </c>
      <c r="Q35" s="7">
        <f>IF('Release Calendar'!I35&lt;&gt;"",'Release Calendar'!I35,"")</f>
        <v>46295</v>
      </c>
      <c r="R35" s="7">
        <f>IF('Release Calendar'!J35&lt;&gt;"",'Release Calendar'!J35,"")</f>
        <v>46295</v>
      </c>
    </row>
    <row r="36" spans="1:18" ht="20.100000000000001" customHeight="1">
      <c r="A36" s="31">
        <v>32</v>
      </c>
      <c r="B36" s="32" t="str">
        <f>IF('Release Calendar'!B36&lt;&gt;"",'Release Calendar'!B36,"")</f>
        <v>699 ODS – Subscriber Upgrade/Whitelisting Plan</v>
      </c>
      <c r="C36" s="33" t="str">
        <f>IF('Release Calendar'!K36&lt;&gt;"",'Release Calendar'!K36,"")</f>
        <v>Production</v>
      </c>
      <c r="D36" s="33" t="str">
        <f>IF('Release Calendar'!M36&lt;&gt;"",'Release Calendar'!M36,"")</f>
        <v>Completed</v>
      </c>
      <c r="E36" s="34" t="str">
        <f>IF(AND(Q36&lt;&gt;"",R36&lt;&gt;"",DATE(2026,2,0)&gt;=Q36,DATE(2026,1,1)&lt;=R36),"█","")</f>
        <v/>
      </c>
      <c r="F36" s="34" t="str">
        <f>IF(AND(Q36&lt;&gt;"",R36&lt;&gt;"",DATE(2026,3,0)&gt;=Q36,DATE(2026,2,1)&lt;=R36),"█","")</f>
        <v/>
      </c>
      <c r="G36" s="34" t="str">
        <f>IF(AND(Q36&lt;&gt;"",R36&lt;&gt;"",DATE(2026,4,0)&gt;=Q36,DATE(2026,3,1)&lt;=R36),"█","")</f>
        <v/>
      </c>
      <c r="H36" s="34" t="str">
        <f>IF(AND(Q36&lt;&gt;"",R36&lt;&gt;"",DATE(2026,5,0)&gt;=Q36,DATE(2026,4,1)&lt;=R36),"█","")</f>
        <v/>
      </c>
      <c r="I36" s="34" t="str">
        <f>IF(AND(Q36&lt;&gt;"",R36&lt;&gt;"",DATE(2026,6,0)&gt;=Q36,DATE(2026,5,1)&lt;=R36),"█","")</f>
        <v/>
      </c>
      <c r="J36" s="34" t="str">
        <f>IF(AND(Q36&lt;&gt;"",R36&lt;&gt;"",DATE(2026,7,0)&gt;=Q36,DATE(2026,6,1)&lt;=R36),"█","")</f>
        <v/>
      </c>
      <c r="K36" s="34" t="str">
        <f>IF(AND(Q36&lt;&gt;"",R36&lt;&gt;"",DATE(2026,8,0)&gt;=Q36,DATE(2026,7,1)&lt;=R36),"█","")</f>
        <v/>
      </c>
      <c r="L36" s="34" t="str">
        <f>IF(AND(Q36&lt;&gt;"",R36&lt;&gt;"",DATE(2026,9,0)&gt;=Q36,DATE(2026,8,1)&lt;=R36),"█","")</f>
        <v/>
      </c>
      <c r="M36" s="34" t="str">
        <f>IF(AND(Q36&lt;&gt;"",R36&lt;&gt;"",DATE(2026,10,0)&gt;=Q36,DATE(2026,9,1)&lt;=R36),"█","")</f>
        <v>█</v>
      </c>
      <c r="N36" s="34" t="str">
        <f>IF(AND(Q36&lt;&gt;"",R36&lt;&gt;"",DATE(2026,11,0)&gt;=Q36,DATE(2026,10,1)&lt;=R36),"█","")</f>
        <v/>
      </c>
      <c r="O36" s="34" t="str">
        <f>IF(AND(Q36&lt;&gt;"",R36&lt;&gt;"",DATE(2026,12,0)&gt;=Q36,DATE(2026,11,1)&lt;=R36),"█","")</f>
        <v/>
      </c>
      <c r="P36" s="34" t="str">
        <f>IF(AND(Q36&lt;&gt;"",R36&lt;&gt;"",DATE(2026,12,31)&gt;=Q36,DATE(2026,12,1)&lt;=R36),"█","")</f>
        <v/>
      </c>
      <c r="Q36" s="7">
        <f>IF('Release Calendar'!I36&lt;&gt;"",'Release Calendar'!I36,"")</f>
        <v>46295</v>
      </c>
      <c r="R36" s="7">
        <f>IF('Release Calendar'!J36&lt;&gt;"",'Release Calendar'!J36,"")</f>
        <v>46295</v>
      </c>
    </row>
    <row r="37" spans="1:18" ht="20.100000000000001" customHeight="1">
      <c r="A37" s="14">
        <v>33</v>
      </c>
      <c r="B37" s="28" t="str">
        <f>IF('Release Calendar'!B37&lt;&gt;"",'Release Calendar'!B37,"")</f>
        <v>Tamasha IP list update</v>
      </c>
      <c r="C37" s="29" t="str">
        <f>IF('Release Calendar'!K37&lt;&gt;"",'Release Calendar'!K37,"")</f>
        <v>Pre-Prod</v>
      </c>
      <c r="D37" s="29" t="str">
        <f>IF('Release Calendar'!M37&lt;&gt;"",'Release Calendar'!M37,"")</f>
        <v/>
      </c>
      <c r="E37" s="30" t="str">
        <f>IF(AND(Q37&lt;&gt;"",R37&lt;&gt;"",DATE(2026,2,0)&gt;=Q37,DATE(2026,1,1)&lt;=R37),"█","")</f>
        <v/>
      </c>
      <c r="F37" s="30" t="str">
        <f>IF(AND(Q37&lt;&gt;"",R37&lt;&gt;"",DATE(2026,3,0)&gt;=Q37,DATE(2026,2,1)&lt;=R37),"█","")</f>
        <v/>
      </c>
      <c r="G37" s="30" t="str">
        <f>IF(AND(Q37&lt;&gt;"",R37&lt;&gt;"",DATE(2026,4,0)&gt;=Q37,DATE(2026,3,1)&lt;=R37),"█","")</f>
        <v/>
      </c>
      <c r="H37" s="30" t="str">
        <f>IF(AND(Q37&lt;&gt;"",R37&lt;&gt;"",DATE(2026,5,0)&gt;=Q37,DATE(2026,4,1)&lt;=R37),"█","")</f>
        <v/>
      </c>
      <c r="I37" s="30" t="str">
        <f>IF(AND(Q37&lt;&gt;"",R37&lt;&gt;"",DATE(2026,6,0)&gt;=Q37,DATE(2026,5,1)&lt;=R37),"█","")</f>
        <v/>
      </c>
      <c r="J37" s="30" t="str">
        <f>IF(AND(Q37&lt;&gt;"",R37&lt;&gt;"",DATE(2026,7,0)&gt;=Q37,DATE(2026,6,1)&lt;=R37),"█","")</f>
        <v/>
      </c>
      <c r="K37" s="30" t="str">
        <f>IF(AND(Q37&lt;&gt;"",R37&lt;&gt;"",DATE(2026,8,0)&gt;=Q37,DATE(2026,7,1)&lt;=R37),"█","")</f>
        <v/>
      </c>
      <c r="L37" s="30" t="str">
        <f>IF(AND(Q37&lt;&gt;"",R37&lt;&gt;"",DATE(2026,9,0)&gt;=Q37,DATE(2026,8,1)&lt;=R37),"█","")</f>
        <v/>
      </c>
      <c r="M37" s="30" t="str">
        <f>IF(AND(Q37&lt;&gt;"",R37&lt;&gt;"",DATE(2026,10,0)&gt;=Q37,DATE(2026,9,1)&lt;=R37),"█","")</f>
        <v/>
      </c>
      <c r="N37" s="30" t="str">
        <f>IF(AND(Q37&lt;&gt;"",R37&lt;&gt;"",DATE(2026,11,0)&gt;=Q37,DATE(2026,10,1)&lt;=R37),"█","")</f>
        <v>█</v>
      </c>
      <c r="O37" s="30" t="str">
        <f>IF(AND(Q37&lt;&gt;"",R37&lt;&gt;"",DATE(2026,12,0)&gt;=Q37,DATE(2026,11,1)&lt;=R37),"█","")</f>
        <v/>
      </c>
      <c r="P37" s="30" t="str">
        <f>IF(AND(Q37&lt;&gt;"",R37&lt;&gt;"",DATE(2026,12,31)&gt;=Q37,DATE(2026,12,1)&lt;=R37),"█","")</f>
        <v/>
      </c>
      <c r="Q37" s="7">
        <f>IF('Release Calendar'!I37&lt;&gt;"",'Release Calendar'!I37,"")</f>
        <v>46302</v>
      </c>
      <c r="R37" s="7">
        <f>IF('Release Calendar'!J37&lt;&gt;"",'Release Calendar'!J37,"")</f>
        <v>46302</v>
      </c>
    </row>
    <row r="38" spans="1:18" ht="20.100000000000001" customHeight="1">
      <c r="A38" s="31">
        <v>34</v>
      </c>
      <c r="B38" s="32" t="str">
        <f>IF('Release Calendar'!B38&lt;&gt;"",'Release Calendar'!B38,"")</f>
        <v>Reward Hub Ceo Category</v>
      </c>
      <c r="C38" s="33" t="str">
        <f>IF('Release Calendar'!K38&lt;&gt;"",'Release Calendar'!K38,"")</f>
        <v>Production</v>
      </c>
      <c r="D38" s="33" t="str">
        <f>IF('Release Calendar'!M38&lt;&gt;"",'Release Calendar'!M38,"")</f>
        <v>Completed</v>
      </c>
      <c r="E38" s="34" t="str">
        <f>IF(AND(Q38&lt;&gt;"",R38&lt;&gt;"",DATE(2026,2,0)&gt;=Q38,DATE(2026,1,1)&lt;=R38),"█","")</f>
        <v/>
      </c>
      <c r="F38" s="34" t="str">
        <f>IF(AND(Q38&lt;&gt;"",R38&lt;&gt;"",DATE(2026,3,0)&gt;=Q38,DATE(2026,2,1)&lt;=R38),"█","")</f>
        <v/>
      </c>
      <c r="G38" s="34" t="str">
        <f>IF(AND(Q38&lt;&gt;"",R38&lt;&gt;"",DATE(2026,4,0)&gt;=Q38,DATE(2026,3,1)&lt;=R38),"█","")</f>
        <v/>
      </c>
      <c r="H38" s="34" t="str">
        <f>IF(AND(Q38&lt;&gt;"",R38&lt;&gt;"",DATE(2026,5,0)&gt;=Q38,DATE(2026,4,1)&lt;=R38),"█","")</f>
        <v/>
      </c>
      <c r="I38" s="34" t="str">
        <f>IF(AND(Q38&lt;&gt;"",R38&lt;&gt;"",DATE(2026,6,0)&gt;=Q38,DATE(2026,5,1)&lt;=R38),"█","")</f>
        <v/>
      </c>
      <c r="J38" s="34" t="str">
        <f>IF(AND(Q38&lt;&gt;"",R38&lt;&gt;"",DATE(2026,7,0)&gt;=Q38,DATE(2026,6,1)&lt;=R38),"█","")</f>
        <v/>
      </c>
      <c r="K38" s="34" t="str">
        <f>IF(AND(Q38&lt;&gt;"",R38&lt;&gt;"",DATE(2026,8,0)&gt;=Q38,DATE(2026,7,1)&lt;=R38),"█","")</f>
        <v/>
      </c>
      <c r="L38" s="34" t="str">
        <f>IF(AND(Q38&lt;&gt;"",R38&lt;&gt;"",DATE(2026,9,0)&gt;=Q38,DATE(2026,8,1)&lt;=R38),"█","")</f>
        <v/>
      </c>
      <c r="M38" s="34" t="str">
        <f>IF(AND(Q38&lt;&gt;"",R38&lt;&gt;"",DATE(2026,10,0)&gt;=Q38,DATE(2026,9,1)&lt;=R38),"█","")</f>
        <v/>
      </c>
      <c r="N38" s="34" t="str">
        <f>IF(AND(Q38&lt;&gt;"",R38&lt;&gt;"",DATE(2026,11,0)&gt;=Q38,DATE(2026,10,1)&lt;=R38),"█","")</f>
        <v>█</v>
      </c>
      <c r="O38" s="34" t="str">
        <f>IF(AND(Q38&lt;&gt;"",R38&lt;&gt;"",DATE(2026,12,0)&gt;=Q38,DATE(2026,11,1)&lt;=R38),"█","")</f>
        <v/>
      </c>
      <c r="P38" s="34" t="str">
        <f>IF(AND(Q38&lt;&gt;"",R38&lt;&gt;"",DATE(2026,12,31)&gt;=Q38,DATE(2026,12,1)&lt;=R38),"█","")</f>
        <v/>
      </c>
      <c r="Q38" s="7">
        <f>IF('Release Calendar'!I38&lt;&gt;"",'Release Calendar'!I38,"")</f>
        <v>46302</v>
      </c>
      <c r="R38" s="7">
        <f>IF('Release Calendar'!J38&lt;&gt;"",'Release Calendar'!J38,"")</f>
        <v>46302</v>
      </c>
    </row>
    <row r="39" spans="1:18" ht="20.100000000000001" customHeight="1">
      <c r="A39" s="14">
        <v>35</v>
      </c>
      <c r="B39" s="28" t="str">
        <f>IF('Release Calendar'!B39&lt;&gt;"",'Release Calendar'!B39,"")</f>
        <v>Digital Funnel Daily and linked MP Marts - Tamasha Definition Update</v>
      </c>
      <c r="C39" s="29" t="str">
        <f>IF('Release Calendar'!K39&lt;&gt;"",'Release Calendar'!K39,"")</f>
        <v>Pre-Prod</v>
      </c>
      <c r="D39" s="29" t="str">
        <f>IF('Release Calendar'!M39&lt;&gt;"",'Release Calendar'!M39,"")</f>
        <v/>
      </c>
      <c r="E39" s="30" t="str">
        <f>IF(AND(Q39&lt;&gt;"",R39&lt;&gt;"",DATE(2026,2,0)&gt;=Q39,DATE(2026,1,1)&lt;=R39),"█","")</f>
        <v/>
      </c>
      <c r="F39" s="30" t="str">
        <f>IF(AND(Q39&lt;&gt;"",R39&lt;&gt;"",DATE(2026,3,0)&gt;=Q39,DATE(2026,2,1)&lt;=R39),"█","")</f>
        <v/>
      </c>
      <c r="G39" s="30" t="str">
        <f>IF(AND(Q39&lt;&gt;"",R39&lt;&gt;"",DATE(2026,4,0)&gt;=Q39,DATE(2026,3,1)&lt;=R39),"█","")</f>
        <v/>
      </c>
      <c r="H39" s="30" t="str">
        <f>IF(AND(Q39&lt;&gt;"",R39&lt;&gt;"",DATE(2026,5,0)&gt;=Q39,DATE(2026,4,1)&lt;=R39),"█","")</f>
        <v/>
      </c>
      <c r="I39" s="30" t="str">
        <f>IF(AND(Q39&lt;&gt;"",R39&lt;&gt;"",DATE(2026,6,0)&gt;=Q39,DATE(2026,5,1)&lt;=R39),"█","")</f>
        <v/>
      </c>
      <c r="J39" s="30" t="str">
        <f>IF(AND(Q39&lt;&gt;"",R39&lt;&gt;"",DATE(2026,7,0)&gt;=Q39,DATE(2026,6,1)&lt;=R39),"█","")</f>
        <v/>
      </c>
      <c r="K39" s="30" t="str">
        <f>IF(AND(Q39&lt;&gt;"",R39&lt;&gt;"",DATE(2026,8,0)&gt;=Q39,DATE(2026,7,1)&lt;=R39),"█","")</f>
        <v/>
      </c>
      <c r="L39" s="30" t="str">
        <f>IF(AND(Q39&lt;&gt;"",R39&lt;&gt;"",DATE(2026,9,0)&gt;=Q39,DATE(2026,8,1)&lt;=R39),"█","")</f>
        <v/>
      </c>
      <c r="M39" s="30" t="str">
        <f>IF(AND(Q39&lt;&gt;"",R39&lt;&gt;"",DATE(2026,10,0)&gt;=Q39,DATE(2026,9,1)&lt;=R39),"█","")</f>
        <v/>
      </c>
      <c r="N39" s="30" t="str">
        <f>IF(AND(Q39&lt;&gt;"",R39&lt;&gt;"",DATE(2026,11,0)&gt;=Q39,DATE(2026,10,1)&lt;=R39),"█","")</f>
        <v/>
      </c>
      <c r="O39" s="30" t="str">
        <f>IF(AND(Q39&lt;&gt;"",R39&lt;&gt;"",DATE(2026,12,0)&gt;=Q39,DATE(2026,11,1)&lt;=R39),"█","")</f>
        <v/>
      </c>
      <c r="P39" s="30" t="str">
        <f>IF(AND(Q39&lt;&gt;"",R39&lt;&gt;"",DATE(2026,12,31)&gt;=Q39,DATE(2026,12,1)&lt;=R39),"█","")</f>
        <v/>
      </c>
      <c r="Q39" s="7">
        <f>IF('Release Calendar'!I39&lt;&gt;"",'Release Calendar'!I39,"")</f>
        <v>46302</v>
      </c>
      <c r="R39" s="7" t="str">
        <f>IF('Release Calendar'!J39&lt;&gt;"",'Release Calendar'!J39,"")</f>
        <v/>
      </c>
    </row>
    <row r="40" spans="1:18" ht="20.100000000000001" customHeight="1">
      <c r="A40" s="31">
        <v>36</v>
      </c>
      <c r="B40" s="32" t="str">
        <f>IF('Release Calendar'!B40&lt;&gt;"",'Release Calendar'!B40,"")</f>
        <v>DFS Lifecycle new columns addition</v>
      </c>
      <c r="C40" s="33" t="str">
        <f>IF('Release Calendar'!K40&lt;&gt;"",'Release Calendar'!K40,"")</f>
        <v>Production</v>
      </c>
      <c r="D40" s="33" t="str">
        <f>IF('Release Calendar'!M40&lt;&gt;"",'Release Calendar'!M40,"")</f>
        <v/>
      </c>
      <c r="E40" s="34" t="str">
        <f>IF(AND(Q40&lt;&gt;"",R40&lt;&gt;"",DATE(2026,2,0)&gt;=Q40,DATE(2026,1,1)&lt;=R40),"█","")</f>
        <v/>
      </c>
      <c r="F40" s="34" t="str">
        <f>IF(AND(Q40&lt;&gt;"",R40&lt;&gt;"",DATE(2026,3,0)&gt;=Q40,DATE(2026,2,1)&lt;=R40),"█","")</f>
        <v/>
      </c>
      <c r="G40" s="34" t="str">
        <f>IF(AND(Q40&lt;&gt;"",R40&lt;&gt;"",DATE(2026,4,0)&gt;=Q40,DATE(2026,3,1)&lt;=R40),"█","")</f>
        <v/>
      </c>
      <c r="H40" s="34" t="str">
        <f>IF(AND(Q40&lt;&gt;"",R40&lt;&gt;"",DATE(2026,5,0)&gt;=Q40,DATE(2026,4,1)&lt;=R40),"█","")</f>
        <v/>
      </c>
      <c r="I40" s="34" t="str">
        <f>IF(AND(Q40&lt;&gt;"",R40&lt;&gt;"",DATE(2026,6,0)&gt;=Q40,DATE(2026,5,1)&lt;=R40),"█","")</f>
        <v/>
      </c>
      <c r="J40" s="34" t="str">
        <f>IF(AND(Q40&lt;&gt;"",R40&lt;&gt;"",DATE(2026,7,0)&gt;=Q40,DATE(2026,6,1)&lt;=R40),"█","")</f>
        <v/>
      </c>
      <c r="K40" s="34" t="str">
        <f>IF(AND(Q40&lt;&gt;"",R40&lt;&gt;"",DATE(2026,8,0)&gt;=Q40,DATE(2026,7,1)&lt;=R40),"█","")</f>
        <v/>
      </c>
      <c r="L40" s="34" t="str">
        <f>IF(AND(Q40&lt;&gt;"",R40&lt;&gt;"",DATE(2026,9,0)&gt;=Q40,DATE(2026,8,1)&lt;=R40),"█","")</f>
        <v/>
      </c>
      <c r="M40" s="34" t="str">
        <f>IF(AND(Q40&lt;&gt;"",R40&lt;&gt;"",DATE(2026,10,0)&gt;=Q40,DATE(2026,9,1)&lt;=R40),"█","")</f>
        <v/>
      </c>
      <c r="N40" s="34" t="str">
        <f>IF(AND(Q40&lt;&gt;"",R40&lt;&gt;"",DATE(2026,11,0)&gt;=Q40,DATE(2026,10,1)&lt;=R40),"█","")</f>
        <v>█</v>
      </c>
      <c r="O40" s="34" t="str">
        <f>IF(AND(Q40&lt;&gt;"",R40&lt;&gt;"",DATE(2026,12,0)&gt;=Q40,DATE(2026,11,1)&lt;=R40),"█","")</f>
        <v/>
      </c>
      <c r="P40" s="34" t="str">
        <f>IF(AND(Q40&lt;&gt;"",R40&lt;&gt;"",DATE(2026,12,31)&gt;=Q40,DATE(2026,12,1)&lt;=R40),"█","")</f>
        <v/>
      </c>
      <c r="Q40" s="7">
        <f>IF('Release Calendar'!I40&lt;&gt;"",'Release Calendar'!I40,"")</f>
        <v>46307</v>
      </c>
      <c r="R40" s="7">
        <f>IF('Release Calendar'!J40&lt;&gt;"",'Release Calendar'!J40,"")</f>
        <v>46307</v>
      </c>
    </row>
    <row r="41" spans="1:18" ht="20.100000000000001" customHeight="1">
      <c r="A41" s="14">
        <v>37</v>
      </c>
      <c r="B41" s="28" t="str">
        <f>IF('Release Calendar'!B41&lt;&gt;"",'Release Calendar'!B41,"")</f>
        <v>b2c sales hotfix</v>
      </c>
      <c r="C41" s="29" t="str">
        <f>IF('Release Calendar'!K41&lt;&gt;"",'Release Calendar'!K41,"")</f>
        <v>Production</v>
      </c>
      <c r="D41" s="29" t="str">
        <f>IF('Release Calendar'!M41&lt;&gt;"",'Release Calendar'!M41,"")</f>
        <v/>
      </c>
      <c r="E41" s="30" t="str">
        <f>IF(AND(Q41&lt;&gt;"",R41&lt;&gt;"",DATE(2026,2,0)&gt;=Q41,DATE(2026,1,1)&lt;=R41),"█","")</f>
        <v/>
      </c>
      <c r="F41" s="30" t="str">
        <f>IF(AND(Q41&lt;&gt;"",R41&lt;&gt;"",DATE(2026,3,0)&gt;=Q41,DATE(2026,2,1)&lt;=R41),"█","")</f>
        <v/>
      </c>
      <c r="G41" s="30" t="str">
        <f>IF(AND(Q41&lt;&gt;"",R41&lt;&gt;"",DATE(2026,4,0)&gt;=Q41,DATE(2026,3,1)&lt;=R41),"█","")</f>
        <v/>
      </c>
      <c r="H41" s="30" t="str">
        <f>IF(AND(Q41&lt;&gt;"",R41&lt;&gt;"",DATE(2026,5,0)&gt;=Q41,DATE(2026,4,1)&lt;=R41),"█","")</f>
        <v/>
      </c>
      <c r="I41" s="30" t="str">
        <f>IF(AND(Q41&lt;&gt;"",R41&lt;&gt;"",DATE(2026,6,0)&gt;=Q41,DATE(2026,5,1)&lt;=R41),"█","")</f>
        <v/>
      </c>
      <c r="J41" s="30" t="str">
        <f>IF(AND(Q41&lt;&gt;"",R41&lt;&gt;"",DATE(2026,7,0)&gt;=Q41,DATE(2026,6,1)&lt;=R41),"█","")</f>
        <v/>
      </c>
      <c r="K41" s="30" t="str">
        <f>IF(AND(Q41&lt;&gt;"",R41&lt;&gt;"",DATE(2026,8,0)&gt;=Q41,DATE(2026,7,1)&lt;=R41),"█","")</f>
        <v/>
      </c>
      <c r="L41" s="30" t="str">
        <f>IF(AND(Q41&lt;&gt;"",R41&lt;&gt;"",DATE(2026,9,0)&gt;=Q41,DATE(2026,8,1)&lt;=R41),"█","")</f>
        <v/>
      </c>
      <c r="M41" s="30" t="str">
        <f>IF(AND(Q41&lt;&gt;"",R41&lt;&gt;"",DATE(2026,10,0)&gt;=Q41,DATE(2026,9,1)&lt;=R41),"█","")</f>
        <v/>
      </c>
      <c r="N41" s="30" t="str">
        <f>IF(AND(Q41&lt;&gt;"",R41&lt;&gt;"",DATE(2026,11,0)&gt;=Q41,DATE(2026,10,1)&lt;=R41),"█","")</f>
        <v>█</v>
      </c>
      <c r="O41" s="30" t="str">
        <f>IF(AND(Q41&lt;&gt;"",R41&lt;&gt;"",DATE(2026,12,0)&gt;=Q41,DATE(2026,11,1)&lt;=R41),"█","")</f>
        <v/>
      </c>
      <c r="P41" s="30" t="str">
        <f>IF(AND(Q41&lt;&gt;"",R41&lt;&gt;"",DATE(2026,12,31)&gt;=Q41,DATE(2026,12,1)&lt;=R41),"█","")</f>
        <v/>
      </c>
      <c r="Q41" s="7">
        <f>IF('Release Calendar'!I41&lt;&gt;"",'Release Calendar'!I41,"")</f>
        <v>46308</v>
      </c>
      <c r="R41" s="7">
        <f>IF('Release Calendar'!J41&lt;&gt;"",'Release Calendar'!J41,"")</f>
        <v>46308</v>
      </c>
    </row>
    <row r="42" spans="1:18" ht="20.100000000000001" customHeight="1">
      <c r="A42" s="31">
        <v>38</v>
      </c>
      <c r="B42" s="32" t="str">
        <f>IF('Release Calendar'!B42&lt;&gt;"",'Release Calendar'!B42,"")</f>
        <v/>
      </c>
      <c r="C42" s="33" t="str">
        <f>IF('Release Calendar'!K42&lt;&gt;"",'Release Calendar'!K42,"")</f>
        <v/>
      </c>
      <c r="D42" s="33" t="str">
        <f>IF('Release Calendar'!M42&lt;&gt;"",'Release Calendar'!M42,"")</f>
        <v/>
      </c>
      <c r="E42" s="34" t="str">
        <f>IF(AND(Q42&lt;&gt;"",R42&lt;&gt;"",DATE(2026,2,0)&gt;=Q42,DATE(2026,1,1)&lt;=R42),"█","")</f>
        <v/>
      </c>
      <c r="F42" s="34" t="str">
        <f>IF(AND(Q42&lt;&gt;"",R42&lt;&gt;"",DATE(2026,3,0)&gt;=Q42,DATE(2026,2,1)&lt;=R42),"█","")</f>
        <v/>
      </c>
      <c r="G42" s="34" t="str">
        <f>IF(AND(Q42&lt;&gt;"",R42&lt;&gt;"",DATE(2026,4,0)&gt;=Q42,DATE(2026,3,1)&lt;=R42),"█","")</f>
        <v/>
      </c>
      <c r="H42" s="34" t="str">
        <f>IF(AND(Q42&lt;&gt;"",R42&lt;&gt;"",DATE(2026,5,0)&gt;=Q42,DATE(2026,4,1)&lt;=R42),"█","")</f>
        <v/>
      </c>
      <c r="I42" s="34" t="str">
        <f>IF(AND(Q42&lt;&gt;"",R42&lt;&gt;"",DATE(2026,6,0)&gt;=Q42,DATE(2026,5,1)&lt;=R42),"█","")</f>
        <v/>
      </c>
      <c r="J42" s="34" t="str">
        <f>IF(AND(Q42&lt;&gt;"",R42&lt;&gt;"",DATE(2026,7,0)&gt;=Q42,DATE(2026,6,1)&lt;=R42),"█","")</f>
        <v/>
      </c>
      <c r="K42" s="34" t="str">
        <f>IF(AND(Q42&lt;&gt;"",R42&lt;&gt;"",DATE(2026,8,0)&gt;=Q42,DATE(2026,7,1)&lt;=R42),"█","")</f>
        <v/>
      </c>
      <c r="L42" s="34" t="str">
        <f>IF(AND(Q42&lt;&gt;"",R42&lt;&gt;"",DATE(2026,9,0)&gt;=Q42,DATE(2026,8,1)&lt;=R42),"█","")</f>
        <v/>
      </c>
      <c r="M42" s="34" t="str">
        <f>IF(AND(Q42&lt;&gt;"",R42&lt;&gt;"",DATE(2026,10,0)&gt;=Q42,DATE(2026,9,1)&lt;=R42),"█","")</f>
        <v/>
      </c>
      <c r="N42" s="34" t="str">
        <f>IF(AND(Q42&lt;&gt;"",R42&lt;&gt;"",DATE(2026,11,0)&gt;=Q42,DATE(2026,10,1)&lt;=R42),"█","")</f>
        <v/>
      </c>
      <c r="O42" s="34" t="str">
        <f>IF(AND(Q42&lt;&gt;"",R42&lt;&gt;"",DATE(2026,12,0)&gt;=Q42,DATE(2026,11,1)&lt;=R42),"█","")</f>
        <v/>
      </c>
      <c r="P42" s="34" t="str">
        <f>IF(AND(Q42&lt;&gt;"",R42&lt;&gt;"",DATE(2026,12,31)&gt;=Q42,DATE(2026,12,1)&lt;=R42),"█","")</f>
        <v/>
      </c>
      <c r="Q42" s="7" t="str">
        <f>IF('Release Calendar'!I42&lt;&gt;"",'Release Calendar'!I42,"")</f>
        <v/>
      </c>
      <c r="R42" s="7" t="str">
        <f>IF('Release Calendar'!J42&lt;&gt;"",'Release Calendar'!J42,"")</f>
        <v/>
      </c>
    </row>
    <row r="43" spans="1:18" ht="20.100000000000001" customHeight="1">
      <c r="A43" s="14">
        <v>39</v>
      </c>
      <c r="B43" s="28" t="str">
        <f>IF('Release Calendar'!B43&lt;&gt;"",'Release Calendar'!B43,"")</f>
        <v/>
      </c>
      <c r="C43" s="29" t="str">
        <f>IF('Release Calendar'!K43&lt;&gt;"",'Release Calendar'!K43,"")</f>
        <v/>
      </c>
      <c r="D43" s="29" t="str">
        <f>IF('Release Calendar'!M43&lt;&gt;"",'Release Calendar'!M43,"")</f>
        <v/>
      </c>
      <c r="E43" s="30" t="str">
        <f>IF(AND(Q43&lt;&gt;"",R43&lt;&gt;"",DATE(2026,2,0)&gt;=Q43,DATE(2026,1,1)&lt;=R43),"█","")</f>
        <v/>
      </c>
      <c r="F43" s="30" t="str">
        <f>IF(AND(Q43&lt;&gt;"",R43&lt;&gt;"",DATE(2026,3,0)&gt;=Q43,DATE(2026,2,1)&lt;=R43),"█","")</f>
        <v/>
      </c>
      <c r="G43" s="30" t="str">
        <f>IF(AND(Q43&lt;&gt;"",R43&lt;&gt;"",DATE(2026,4,0)&gt;=Q43,DATE(2026,3,1)&lt;=R43),"█","")</f>
        <v/>
      </c>
      <c r="H43" s="30" t="str">
        <f>IF(AND(Q43&lt;&gt;"",R43&lt;&gt;"",DATE(2026,5,0)&gt;=Q43,DATE(2026,4,1)&lt;=R43),"█","")</f>
        <v/>
      </c>
      <c r="I43" s="30" t="str">
        <f>IF(AND(Q43&lt;&gt;"",R43&lt;&gt;"",DATE(2026,6,0)&gt;=Q43,DATE(2026,5,1)&lt;=R43),"█","")</f>
        <v/>
      </c>
      <c r="J43" s="30" t="str">
        <f>IF(AND(Q43&lt;&gt;"",R43&lt;&gt;"",DATE(2026,7,0)&gt;=Q43,DATE(2026,6,1)&lt;=R43),"█","")</f>
        <v/>
      </c>
      <c r="K43" s="30" t="str">
        <f>IF(AND(Q43&lt;&gt;"",R43&lt;&gt;"",DATE(2026,8,0)&gt;=Q43,DATE(2026,7,1)&lt;=R43),"█","")</f>
        <v/>
      </c>
      <c r="L43" s="30" t="str">
        <f>IF(AND(Q43&lt;&gt;"",R43&lt;&gt;"",DATE(2026,9,0)&gt;=Q43,DATE(2026,8,1)&lt;=R43),"█","")</f>
        <v/>
      </c>
      <c r="M43" s="30" t="str">
        <f>IF(AND(Q43&lt;&gt;"",R43&lt;&gt;"",DATE(2026,10,0)&gt;=Q43,DATE(2026,9,1)&lt;=R43),"█","")</f>
        <v/>
      </c>
      <c r="N43" s="30" t="str">
        <f>IF(AND(Q43&lt;&gt;"",R43&lt;&gt;"",DATE(2026,11,0)&gt;=Q43,DATE(2026,10,1)&lt;=R43),"█","")</f>
        <v/>
      </c>
      <c r="O43" s="30" t="str">
        <f>IF(AND(Q43&lt;&gt;"",R43&lt;&gt;"",DATE(2026,12,0)&gt;=Q43,DATE(2026,11,1)&lt;=R43),"█","")</f>
        <v/>
      </c>
      <c r="P43" s="30" t="str">
        <f>IF(AND(Q43&lt;&gt;"",R43&lt;&gt;"",DATE(2026,12,31)&gt;=Q43,DATE(2026,12,1)&lt;=R43),"█","")</f>
        <v/>
      </c>
      <c r="Q43" s="7" t="str">
        <f>IF('Release Calendar'!I43&lt;&gt;"",'Release Calendar'!I43,"")</f>
        <v/>
      </c>
      <c r="R43" s="7" t="str">
        <f>IF('Release Calendar'!J43&lt;&gt;"",'Release Calendar'!J43,"")</f>
        <v/>
      </c>
    </row>
    <row r="44" spans="1:18" ht="20.100000000000001" customHeight="1">
      <c r="A44" s="31">
        <v>40</v>
      </c>
      <c r="B44" s="32" t="str">
        <f>IF('Release Calendar'!B44&lt;&gt;"",'Release Calendar'!B44,"")</f>
        <v/>
      </c>
      <c r="C44" s="33" t="str">
        <f>IF('Release Calendar'!K44&lt;&gt;"",'Release Calendar'!K44,"")</f>
        <v/>
      </c>
      <c r="D44" s="33" t="str">
        <f>IF('Release Calendar'!M44&lt;&gt;"",'Release Calendar'!M44,"")</f>
        <v/>
      </c>
      <c r="E44" s="34" t="str">
        <f>IF(AND(Q44&lt;&gt;"",R44&lt;&gt;"",DATE(2026,2,0)&gt;=Q44,DATE(2026,1,1)&lt;=R44),"█","")</f>
        <v/>
      </c>
      <c r="F44" s="34" t="str">
        <f>IF(AND(Q44&lt;&gt;"",R44&lt;&gt;"",DATE(2026,3,0)&gt;=Q44,DATE(2026,2,1)&lt;=R44),"█","")</f>
        <v/>
      </c>
      <c r="G44" s="34" t="str">
        <f>IF(AND(Q44&lt;&gt;"",R44&lt;&gt;"",DATE(2026,4,0)&gt;=Q44,DATE(2026,3,1)&lt;=R44),"█","")</f>
        <v/>
      </c>
      <c r="H44" s="34" t="str">
        <f>IF(AND(Q44&lt;&gt;"",R44&lt;&gt;"",DATE(2026,5,0)&gt;=Q44,DATE(2026,4,1)&lt;=R44),"█","")</f>
        <v/>
      </c>
      <c r="I44" s="34" t="str">
        <f>IF(AND(Q44&lt;&gt;"",R44&lt;&gt;"",DATE(2026,6,0)&gt;=Q44,DATE(2026,5,1)&lt;=R44),"█","")</f>
        <v/>
      </c>
      <c r="J44" s="34" t="str">
        <f>IF(AND(Q44&lt;&gt;"",R44&lt;&gt;"",DATE(2026,7,0)&gt;=Q44,DATE(2026,6,1)&lt;=R44),"█","")</f>
        <v/>
      </c>
      <c r="K44" s="34" t="str">
        <f>IF(AND(Q44&lt;&gt;"",R44&lt;&gt;"",DATE(2026,8,0)&gt;=Q44,DATE(2026,7,1)&lt;=R44),"█","")</f>
        <v/>
      </c>
      <c r="L44" s="34" t="str">
        <f>IF(AND(Q44&lt;&gt;"",R44&lt;&gt;"",DATE(2026,9,0)&gt;=Q44,DATE(2026,8,1)&lt;=R44),"█","")</f>
        <v/>
      </c>
      <c r="M44" s="34" t="str">
        <f>IF(AND(Q44&lt;&gt;"",R44&lt;&gt;"",DATE(2026,10,0)&gt;=Q44,DATE(2026,9,1)&lt;=R44),"█","")</f>
        <v/>
      </c>
      <c r="N44" s="34" t="str">
        <f>IF(AND(Q44&lt;&gt;"",R44&lt;&gt;"",DATE(2026,11,0)&gt;=Q44,DATE(2026,10,1)&lt;=R44),"█","")</f>
        <v/>
      </c>
      <c r="O44" s="34" t="str">
        <f>IF(AND(Q44&lt;&gt;"",R44&lt;&gt;"",DATE(2026,12,0)&gt;=Q44,DATE(2026,11,1)&lt;=R44),"█","")</f>
        <v/>
      </c>
      <c r="P44" s="34" t="str">
        <f>IF(AND(Q44&lt;&gt;"",R44&lt;&gt;"",DATE(2026,12,31)&gt;=Q44,DATE(2026,12,1)&lt;=R44),"█","")</f>
        <v/>
      </c>
      <c r="Q44" s="7" t="str">
        <f>IF('Release Calendar'!I44&lt;&gt;"",'Release Calendar'!I44,"")</f>
        <v/>
      </c>
      <c r="R44" s="7" t="str">
        <f>IF('Release Calendar'!J44&lt;&gt;"",'Release Calendar'!J44,"")</f>
        <v/>
      </c>
    </row>
    <row r="45" spans="1:18" ht="20.100000000000001" customHeight="1">
      <c r="A45" s="14">
        <v>41</v>
      </c>
      <c r="B45" s="28" t="str">
        <f>IF('Release Calendar'!B45&lt;&gt;"",'Release Calendar'!B45,"")</f>
        <v/>
      </c>
      <c r="C45" s="29" t="str">
        <f>IF('Release Calendar'!K45&lt;&gt;"",'Release Calendar'!K45,"")</f>
        <v/>
      </c>
      <c r="D45" s="29" t="str">
        <f>IF('Release Calendar'!M45&lt;&gt;"",'Release Calendar'!M45,"")</f>
        <v/>
      </c>
      <c r="E45" s="30" t="str">
        <f>IF(AND(Q45&lt;&gt;"",R45&lt;&gt;"",DATE(2026,2,0)&gt;=Q45,DATE(2026,1,1)&lt;=R45),"█","")</f>
        <v/>
      </c>
      <c r="F45" s="30" t="str">
        <f>IF(AND(Q45&lt;&gt;"",R45&lt;&gt;"",DATE(2026,3,0)&gt;=Q45,DATE(2026,2,1)&lt;=R45),"█","")</f>
        <v/>
      </c>
      <c r="G45" s="30" t="str">
        <f>IF(AND(Q45&lt;&gt;"",R45&lt;&gt;"",DATE(2026,4,0)&gt;=Q45,DATE(2026,3,1)&lt;=R45),"█","")</f>
        <v/>
      </c>
      <c r="H45" s="30" t="str">
        <f>IF(AND(Q45&lt;&gt;"",R45&lt;&gt;"",DATE(2026,5,0)&gt;=Q45,DATE(2026,4,1)&lt;=R45),"█","")</f>
        <v/>
      </c>
      <c r="I45" s="30" t="str">
        <f>IF(AND(Q45&lt;&gt;"",R45&lt;&gt;"",DATE(2026,6,0)&gt;=Q45,DATE(2026,5,1)&lt;=R45),"█","")</f>
        <v/>
      </c>
      <c r="J45" s="30" t="str">
        <f>IF(AND(Q45&lt;&gt;"",R45&lt;&gt;"",DATE(2026,7,0)&gt;=Q45,DATE(2026,6,1)&lt;=R45),"█","")</f>
        <v/>
      </c>
      <c r="K45" s="30" t="str">
        <f>IF(AND(Q45&lt;&gt;"",R45&lt;&gt;"",DATE(2026,8,0)&gt;=Q45,DATE(2026,7,1)&lt;=R45),"█","")</f>
        <v/>
      </c>
      <c r="L45" s="30" t="str">
        <f>IF(AND(Q45&lt;&gt;"",R45&lt;&gt;"",DATE(2026,9,0)&gt;=Q45,DATE(2026,8,1)&lt;=R45),"█","")</f>
        <v/>
      </c>
      <c r="M45" s="30" t="str">
        <f>IF(AND(Q45&lt;&gt;"",R45&lt;&gt;"",DATE(2026,10,0)&gt;=Q45,DATE(2026,9,1)&lt;=R45),"█","")</f>
        <v/>
      </c>
      <c r="N45" s="30" t="str">
        <f>IF(AND(Q45&lt;&gt;"",R45&lt;&gt;"",DATE(2026,11,0)&gt;=Q45,DATE(2026,10,1)&lt;=R45),"█","")</f>
        <v/>
      </c>
      <c r="O45" s="30" t="str">
        <f>IF(AND(Q45&lt;&gt;"",R45&lt;&gt;"",DATE(2026,12,0)&gt;=Q45,DATE(2026,11,1)&lt;=R45),"█","")</f>
        <v/>
      </c>
      <c r="P45" s="30" t="str">
        <f>IF(AND(Q45&lt;&gt;"",R45&lt;&gt;"",DATE(2026,12,31)&gt;=Q45,DATE(2026,12,1)&lt;=R45),"█","")</f>
        <v/>
      </c>
      <c r="Q45" s="7" t="str">
        <f>IF('Release Calendar'!I45&lt;&gt;"",'Release Calendar'!I45,"")</f>
        <v/>
      </c>
      <c r="R45" s="7" t="str">
        <f>IF('Release Calendar'!J45&lt;&gt;"",'Release Calendar'!J45,"")</f>
        <v/>
      </c>
    </row>
    <row r="46" spans="1:18" ht="20.100000000000001" customHeight="1">
      <c r="A46" s="31">
        <v>42</v>
      </c>
      <c r="B46" s="32" t="str">
        <f>IF('Release Calendar'!B46&lt;&gt;"",'Release Calendar'!B46,"")</f>
        <v/>
      </c>
      <c r="C46" s="33" t="str">
        <f>IF('Release Calendar'!K46&lt;&gt;"",'Release Calendar'!K46,"")</f>
        <v/>
      </c>
      <c r="D46" s="33" t="str">
        <f>IF('Release Calendar'!M46&lt;&gt;"",'Release Calendar'!M46,"")</f>
        <v/>
      </c>
      <c r="E46" s="34" t="str">
        <f>IF(AND(Q46&lt;&gt;"",R46&lt;&gt;"",DATE(2026,2,0)&gt;=Q46,DATE(2026,1,1)&lt;=R46),"█","")</f>
        <v/>
      </c>
      <c r="F46" s="34" t="str">
        <f>IF(AND(Q46&lt;&gt;"",R46&lt;&gt;"",DATE(2026,3,0)&gt;=Q46,DATE(2026,2,1)&lt;=R46),"█","")</f>
        <v/>
      </c>
      <c r="G46" s="34" t="str">
        <f>IF(AND(Q46&lt;&gt;"",R46&lt;&gt;"",DATE(2026,4,0)&gt;=Q46,DATE(2026,3,1)&lt;=R46),"█","")</f>
        <v/>
      </c>
      <c r="H46" s="34" t="str">
        <f>IF(AND(Q46&lt;&gt;"",R46&lt;&gt;"",DATE(2026,5,0)&gt;=Q46,DATE(2026,4,1)&lt;=R46),"█","")</f>
        <v/>
      </c>
      <c r="I46" s="34" t="str">
        <f>IF(AND(Q46&lt;&gt;"",R46&lt;&gt;"",DATE(2026,6,0)&gt;=Q46,DATE(2026,5,1)&lt;=R46),"█","")</f>
        <v/>
      </c>
      <c r="J46" s="34" t="str">
        <f>IF(AND(Q46&lt;&gt;"",R46&lt;&gt;"",DATE(2026,7,0)&gt;=Q46,DATE(2026,6,1)&lt;=R46),"█","")</f>
        <v/>
      </c>
      <c r="K46" s="34" t="str">
        <f>IF(AND(Q46&lt;&gt;"",R46&lt;&gt;"",DATE(2026,8,0)&gt;=Q46,DATE(2026,7,1)&lt;=R46),"█","")</f>
        <v/>
      </c>
      <c r="L46" s="34" t="str">
        <f>IF(AND(Q46&lt;&gt;"",R46&lt;&gt;"",DATE(2026,9,0)&gt;=Q46,DATE(2026,8,1)&lt;=R46),"█","")</f>
        <v/>
      </c>
      <c r="M46" s="34" t="str">
        <f>IF(AND(Q46&lt;&gt;"",R46&lt;&gt;"",DATE(2026,10,0)&gt;=Q46,DATE(2026,9,1)&lt;=R46),"█","")</f>
        <v/>
      </c>
      <c r="N46" s="34" t="str">
        <f>IF(AND(Q46&lt;&gt;"",R46&lt;&gt;"",DATE(2026,11,0)&gt;=Q46,DATE(2026,10,1)&lt;=R46),"█","")</f>
        <v/>
      </c>
      <c r="O46" s="34" t="str">
        <f>IF(AND(Q46&lt;&gt;"",R46&lt;&gt;"",DATE(2026,12,0)&gt;=Q46,DATE(2026,11,1)&lt;=R46),"█","")</f>
        <v/>
      </c>
      <c r="P46" s="34" t="str">
        <f>IF(AND(Q46&lt;&gt;"",R46&lt;&gt;"",DATE(2026,12,31)&gt;=Q46,DATE(2026,12,1)&lt;=R46),"█","")</f>
        <v/>
      </c>
      <c r="Q46" s="7" t="str">
        <f>IF('Release Calendar'!I46&lt;&gt;"",'Release Calendar'!I46,"")</f>
        <v/>
      </c>
      <c r="R46" s="7" t="str">
        <f>IF('Release Calendar'!J46&lt;&gt;"",'Release Calendar'!J46,"")</f>
        <v/>
      </c>
    </row>
    <row r="47" spans="1:18" ht="20.100000000000001" customHeight="1">
      <c r="A47" s="14">
        <v>43</v>
      </c>
      <c r="B47" s="28" t="str">
        <f>IF('Release Calendar'!B47&lt;&gt;"",'Release Calendar'!B47,"")</f>
        <v/>
      </c>
      <c r="C47" s="29" t="str">
        <f>IF('Release Calendar'!K47&lt;&gt;"",'Release Calendar'!K47,"")</f>
        <v/>
      </c>
      <c r="D47" s="29" t="str">
        <f>IF('Release Calendar'!M47&lt;&gt;"",'Release Calendar'!M47,"")</f>
        <v/>
      </c>
      <c r="E47" s="30" t="str">
        <f>IF(AND(Q47&lt;&gt;"",R47&lt;&gt;"",DATE(2026,2,0)&gt;=Q47,DATE(2026,1,1)&lt;=R47),"█","")</f>
        <v/>
      </c>
      <c r="F47" s="30" t="str">
        <f>IF(AND(Q47&lt;&gt;"",R47&lt;&gt;"",DATE(2026,3,0)&gt;=Q47,DATE(2026,2,1)&lt;=R47),"█","")</f>
        <v/>
      </c>
      <c r="G47" s="30" t="str">
        <f>IF(AND(Q47&lt;&gt;"",R47&lt;&gt;"",DATE(2026,4,0)&gt;=Q47,DATE(2026,3,1)&lt;=R47),"█","")</f>
        <v/>
      </c>
      <c r="H47" s="30" t="str">
        <f>IF(AND(Q47&lt;&gt;"",R47&lt;&gt;"",DATE(2026,5,0)&gt;=Q47,DATE(2026,4,1)&lt;=R47),"█","")</f>
        <v/>
      </c>
      <c r="I47" s="30" t="str">
        <f>IF(AND(Q47&lt;&gt;"",R47&lt;&gt;"",DATE(2026,6,0)&gt;=Q47,DATE(2026,5,1)&lt;=R47),"█","")</f>
        <v/>
      </c>
      <c r="J47" s="30" t="str">
        <f>IF(AND(Q47&lt;&gt;"",R47&lt;&gt;"",DATE(2026,7,0)&gt;=Q47,DATE(2026,6,1)&lt;=R47),"█","")</f>
        <v/>
      </c>
      <c r="K47" s="30" t="str">
        <f>IF(AND(Q47&lt;&gt;"",R47&lt;&gt;"",DATE(2026,8,0)&gt;=Q47,DATE(2026,7,1)&lt;=R47),"█","")</f>
        <v/>
      </c>
      <c r="L47" s="30" t="str">
        <f>IF(AND(Q47&lt;&gt;"",R47&lt;&gt;"",DATE(2026,9,0)&gt;=Q47,DATE(2026,8,1)&lt;=R47),"█","")</f>
        <v/>
      </c>
      <c r="M47" s="30" t="str">
        <f>IF(AND(Q47&lt;&gt;"",R47&lt;&gt;"",DATE(2026,10,0)&gt;=Q47,DATE(2026,9,1)&lt;=R47),"█","")</f>
        <v/>
      </c>
      <c r="N47" s="30" t="str">
        <f>IF(AND(Q47&lt;&gt;"",R47&lt;&gt;"",DATE(2026,11,0)&gt;=Q47,DATE(2026,10,1)&lt;=R47),"█","")</f>
        <v/>
      </c>
      <c r="O47" s="30" t="str">
        <f>IF(AND(Q47&lt;&gt;"",R47&lt;&gt;"",DATE(2026,12,0)&gt;=Q47,DATE(2026,11,1)&lt;=R47),"█","")</f>
        <v/>
      </c>
      <c r="P47" s="30" t="str">
        <f>IF(AND(Q47&lt;&gt;"",R47&lt;&gt;"",DATE(2026,12,31)&gt;=Q47,DATE(2026,12,1)&lt;=R47),"█","")</f>
        <v/>
      </c>
      <c r="Q47" s="7" t="str">
        <f>IF('Release Calendar'!I47&lt;&gt;"",'Release Calendar'!I47,"")</f>
        <v/>
      </c>
      <c r="R47" s="7" t="str">
        <f>IF('Release Calendar'!J47&lt;&gt;"",'Release Calendar'!J47,"")</f>
        <v/>
      </c>
    </row>
    <row r="48" spans="1:18" ht="20.100000000000001" customHeight="1">
      <c r="A48" s="31">
        <v>44</v>
      </c>
      <c r="B48" s="32" t="str">
        <f>IF('Release Calendar'!B48&lt;&gt;"",'Release Calendar'!B48,"")</f>
        <v/>
      </c>
      <c r="C48" s="33" t="str">
        <f>IF('Release Calendar'!K48&lt;&gt;"",'Release Calendar'!K48,"")</f>
        <v/>
      </c>
      <c r="D48" s="33" t="str">
        <f>IF('Release Calendar'!M48&lt;&gt;"",'Release Calendar'!M48,"")</f>
        <v/>
      </c>
      <c r="E48" s="34" t="str">
        <f>IF(AND(Q48&lt;&gt;"",R48&lt;&gt;"",DATE(2026,2,0)&gt;=Q48,DATE(2026,1,1)&lt;=R48),"█","")</f>
        <v/>
      </c>
      <c r="F48" s="34" t="str">
        <f>IF(AND(Q48&lt;&gt;"",R48&lt;&gt;"",DATE(2026,3,0)&gt;=Q48,DATE(2026,2,1)&lt;=R48),"█","")</f>
        <v/>
      </c>
      <c r="G48" s="34" t="str">
        <f>IF(AND(Q48&lt;&gt;"",R48&lt;&gt;"",DATE(2026,4,0)&gt;=Q48,DATE(2026,3,1)&lt;=R48),"█","")</f>
        <v/>
      </c>
      <c r="H48" s="34" t="str">
        <f>IF(AND(Q48&lt;&gt;"",R48&lt;&gt;"",DATE(2026,5,0)&gt;=Q48,DATE(2026,4,1)&lt;=R48),"█","")</f>
        <v/>
      </c>
      <c r="I48" s="34" t="str">
        <f>IF(AND(Q48&lt;&gt;"",R48&lt;&gt;"",DATE(2026,6,0)&gt;=Q48,DATE(2026,5,1)&lt;=R48),"█","")</f>
        <v/>
      </c>
      <c r="J48" s="34" t="str">
        <f>IF(AND(Q48&lt;&gt;"",R48&lt;&gt;"",DATE(2026,7,0)&gt;=Q48,DATE(2026,6,1)&lt;=R48),"█","")</f>
        <v/>
      </c>
      <c r="K48" s="34" t="str">
        <f>IF(AND(Q48&lt;&gt;"",R48&lt;&gt;"",DATE(2026,8,0)&gt;=Q48,DATE(2026,7,1)&lt;=R48),"█","")</f>
        <v/>
      </c>
      <c r="L48" s="34" t="str">
        <f>IF(AND(Q48&lt;&gt;"",R48&lt;&gt;"",DATE(2026,9,0)&gt;=Q48,DATE(2026,8,1)&lt;=R48),"█","")</f>
        <v/>
      </c>
      <c r="M48" s="34" t="str">
        <f>IF(AND(Q48&lt;&gt;"",R48&lt;&gt;"",DATE(2026,10,0)&gt;=Q48,DATE(2026,9,1)&lt;=R48),"█","")</f>
        <v/>
      </c>
      <c r="N48" s="34" t="str">
        <f>IF(AND(Q48&lt;&gt;"",R48&lt;&gt;"",DATE(2026,11,0)&gt;=Q48,DATE(2026,10,1)&lt;=R48),"█","")</f>
        <v/>
      </c>
      <c r="O48" s="34" t="str">
        <f>IF(AND(Q48&lt;&gt;"",R48&lt;&gt;"",DATE(2026,12,0)&gt;=Q48,DATE(2026,11,1)&lt;=R48),"█","")</f>
        <v/>
      </c>
      <c r="P48" s="34" t="str">
        <f>IF(AND(Q48&lt;&gt;"",R48&lt;&gt;"",DATE(2026,12,31)&gt;=Q48,DATE(2026,12,1)&lt;=R48),"█","")</f>
        <v/>
      </c>
      <c r="Q48" s="7" t="str">
        <f>IF('Release Calendar'!I48&lt;&gt;"",'Release Calendar'!I48,"")</f>
        <v/>
      </c>
      <c r="R48" s="7" t="str">
        <f>IF('Release Calendar'!J48&lt;&gt;"",'Release Calendar'!J48,"")</f>
        <v/>
      </c>
    </row>
    <row r="49" spans="1:18" ht="20.100000000000001" customHeight="1">
      <c r="A49" s="14">
        <v>45</v>
      </c>
      <c r="B49" s="28" t="str">
        <f>IF('Release Calendar'!B49&lt;&gt;"",'Release Calendar'!B49,"")</f>
        <v/>
      </c>
      <c r="C49" s="29" t="str">
        <f>IF('Release Calendar'!K49&lt;&gt;"",'Release Calendar'!K49,"")</f>
        <v/>
      </c>
      <c r="D49" s="29" t="str">
        <f>IF('Release Calendar'!M49&lt;&gt;"",'Release Calendar'!M49,"")</f>
        <v/>
      </c>
      <c r="E49" s="30" t="str">
        <f>IF(AND(Q49&lt;&gt;"",R49&lt;&gt;"",DATE(2026,2,0)&gt;=Q49,DATE(2026,1,1)&lt;=R49),"█","")</f>
        <v/>
      </c>
      <c r="F49" s="30" t="str">
        <f>IF(AND(Q49&lt;&gt;"",R49&lt;&gt;"",DATE(2026,3,0)&gt;=Q49,DATE(2026,2,1)&lt;=R49),"█","")</f>
        <v/>
      </c>
      <c r="G49" s="30" t="str">
        <f>IF(AND(Q49&lt;&gt;"",R49&lt;&gt;"",DATE(2026,4,0)&gt;=Q49,DATE(2026,3,1)&lt;=R49),"█","")</f>
        <v/>
      </c>
      <c r="H49" s="30" t="str">
        <f>IF(AND(Q49&lt;&gt;"",R49&lt;&gt;"",DATE(2026,5,0)&gt;=Q49,DATE(2026,4,1)&lt;=R49),"█","")</f>
        <v/>
      </c>
      <c r="I49" s="30" t="str">
        <f>IF(AND(Q49&lt;&gt;"",R49&lt;&gt;"",DATE(2026,6,0)&gt;=Q49,DATE(2026,5,1)&lt;=R49),"█","")</f>
        <v/>
      </c>
      <c r="J49" s="30" t="str">
        <f>IF(AND(Q49&lt;&gt;"",R49&lt;&gt;"",DATE(2026,7,0)&gt;=Q49,DATE(2026,6,1)&lt;=R49),"█","")</f>
        <v/>
      </c>
      <c r="K49" s="30" t="str">
        <f>IF(AND(Q49&lt;&gt;"",R49&lt;&gt;"",DATE(2026,8,0)&gt;=Q49,DATE(2026,7,1)&lt;=R49),"█","")</f>
        <v/>
      </c>
      <c r="L49" s="30" t="str">
        <f>IF(AND(Q49&lt;&gt;"",R49&lt;&gt;"",DATE(2026,9,0)&gt;=Q49,DATE(2026,8,1)&lt;=R49),"█","")</f>
        <v/>
      </c>
      <c r="M49" s="30" t="str">
        <f>IF(AND(Q49&lt;&gt;"",R49&lt;&gt;"",DATE(2026,10,0)&gt;=Q49,DATE(2026,9,1)&lt;=R49),"█","")</f>
        <v/>
      </c>
      <c r="N49" s="30" t="str">
        <f>IF(AND(Q49&lt;&gt;"",R49&lt;&gt;"",DATE(2026,11,0)&gt;=Q49,DATE(2026,10,1)&lt;=R49),"█","")</f>
        <v/>
      </c>
      <c r="O49" s="30" t="str">
        <f>IF(AND(Q49&lt;&gt;"",R49&lt;&gt;"",DATE(2026,12,0)&gt;=Q49,DATE(2026,11,1)&lt;=R49),"█","")</f>
        <v/>
      </c>
      <c r="P49" s="30" t="str">
        <f>IF(AND(Q49&lt;&gt;"",R49&lt;&gt;"",DATE(2026,12,31)&gt;=Q49,DATE(2026,12,1)&lt;=R49),"█","")</f>
        <v/>
      </c>
      <c r="Q49" s="7" t="str">
        <f>IF('Release Calendar'!I49&lt;&gt;"",'Release Calendar'!I49,"")</f>
        <v/>
      </c>
      <c r="R49" s="7" t="str">
        <f>IF('Release Calendar'!J49&lt;&gt;"",'Release Calendar'!J49,"")</f>
        <v/>
      </c>
    </row>
    <row r="50" spans="1:18" ht="20.100000000000001" customHeight="1">
      <c r="A50" s="31">
        <v>46</v>
      </c>
      <c r="B50" s="32" t="str">
        <f>IF('Release Calendar'!B50&lt;&gt;"",'Release Calendar'!B50,"")</f>
        <v/>
      </c>
      <c r="C50" s="33" t="str">
        <f>IF('Release Calendar'!K50&lt;&gt;"",'Release Calendar'!K50,"")</f>
        <v/>
      </c>
      <c r="D50" s="33" t="str">
        <f>IF('Release Calendar'!M50&lt;&gt;"",'Release Calendar'!M50,"")</f>
        <v/>
      </c>
      <c r="E50" s="34" t="str">
        <f>IF(AND(Q50&lt;&gt;"",R50&lt;&gt;"",DATE(2026,2,0)&gt;=Q50,DATE(2026,1,1)&lt;=R50),"█","")</f>
        <v/>
      </c>
      <c r="F50" s="34" t="str">
        <f>IF(AND(Q50&lt;&gt;"",R50&lt;&gt;"",DATE(2026,3,0)&gt;=Q50,DATE(2026,2,1)&lt;=R50),"█","")</f>
        <v/>
      </c>
      <c r="G50" s="34" t="str">
        <f>IF(AND(Q50&lt;&gt;"",R50&lt;&gt;"",DATE(2026,4,0)&gt;=Q50,DATE(2026,3,1)&lt;=R50),"█","")</f>
        <v/>
      </c>
      <c r="H50" s="34" t="str">
        <f>IF(AND(Q50&lt;&gt;"",R50&lt;&gt;"",DATE(2026,5,0)&gt;=Q50,DATE(2026,4,1)&lt;=R50),"█","")</f>
        <v/>
      </c>
      <c r="I50" s="34" t="str">
        <f>IF(AND(Q50&lt;&gt;"",R50&lt;&gt;"",DATE(2026,6,0)&gt;=Q50,DATE(2026,5,1)&lt;=R50),"█","")</f>
        <v/>
      </c>
      <c r="J50" s="34" t="str">
        <f>IF(AND(Q50&lt;&gt;"",R50&lt;&gt;"",DATE(2026,7,0)&gt;=Q50,DATE(2026,6,1)&lt;=R50),"█","")</f>
        <v/>
      </c>
      <c r="K50" s="34" t="str">
        <f>IF(AND(Q50&lt;&gt;"",R50&lt;&gt;"",DATE(2026,8,0)&gt;=Q50,DATE(2026,7,1)&lt;=R50),"█","")</f>
        <v/>
      </c>
      <c r="L50" s="34" t="str">
        <f>IF(AND(Q50&lt;&gt;"",R50&lt;&gt;"",DATE(2026,9,0)&gt;=Q50,DATE(2026,8,1)&lt;=R50),"█","")</f>
        <v/>
      </c>
      <c r="M50" s="34" t="str">
        <f>IF(AND(Q50&lt;&gt;"",R50&lt;&gt;"",DATE(2026,10,0)&gt;=Q50,DATE(2026,9,1)&lt;=R50),"█","")</f>
        <v/>
      </c>
      <c r="N50" s="34" t="str">
        <f>IF(AND(Q50&lt;&gt;"",R50&lt;&gt;"",DATE(2026,11,0)&gt;=Q50,DATE(2026,10,1)&lt;=R50),"█","")</f>
        <v/>
      </c>
      <c r="O50" s="34" t="str">
        <f>IF(AND(Q50&lt;&gt;"",R50&lt;&gt;"",DATE(2026,12,0)&gt;=Q50,DATE(2026,11,1)&lt;=R50),"█","")</f>
        <v/>
      </c>
      <c r="P50" s="34" t="str">
        <f>IF(AND(Q50&lt;&gt;"",R50&lt;&gt;"",DATE(2026,12,31)&gt;=Q50,DATE(2026,12,1)&lt;=R50),"█","")</f>
        <v/>
      </c>
      <c r="Q50" s="7" t="str">
        <f>IF('Release Calendar'!I50&lt;&gt;"",'Release Calendar'!I50,"")</f>
        <v/>
      </c>
      <c r="R50" s="7" t="str">
        <f>IF('Release Calendar'!J50&lt;&gt;"",'Release Calendar'!J50,"")</f>
        <v/>
      </c>
    </row>
    <row r="51" spans="1:18" ht="20.100000000000001" customHeight="1">
      <c r="A51" s="14">
        <v>47</v>
      </c>
      <c r="B51" s="28" t="str">
        <f>IF('Release Calendar'!B51&lt;&gt;"",'Release Calendar'!B51,"")</f>
        <v/>
      </c>
      <c r="C51" s="29" t="str">
        <f>IF('Release Calendar'!K51&lt;&gt;"",'Release Calendar'!K51,"")</f>
        <v/>
      </c>
      <c r="D51" s="29" t="str">
        <f>IF('Release Calendar'!M51&lt;&gt;"",'Release Calendar'!M51,"")</f>
        <v/>
      </c>
      <c r="E51" s="30" t="str">
        <f>IF(AND(Q51&lt;&gt;"",R51&lt;&gt;"",DATE(2026,2,0)&gt;=Q51,DATE(2026,1,1)&lt;=R51),"█","")</f>
        <v/>
      </c>
      <c r="F51" s="30" t="str">
        <f>IF(AND(Q51&lt;&gt;"",R51&lt;&gt;"",DATE(2026,3,0)&gt;=Q51,DATE(2026,2,1)&lt;=R51),"█","")</f>
        <v/>
      </c>
      <c r="G51" s="30" t="str">
        <f>IF(AND(Q51&lt;&gt;"",R51&lt;&gt;"",DATE(2026,4,0)&gt;=Q51,DATE(2026,3,1)&lt;=R51),"█","")</f>
        <v/>
      </c>
      <c r="H51" s="30" t="str">
        <f>IF(AND(Q51&lt;&gt;"",R51&lt;&gt;"",DATE(2026,5,0)&gt;=Q51,DATE(2026,4,1)&lt;=R51),"█","")</f>
        <v/>
      </c>
      <c r="I51" s="30" t="str">
        <f>IF(AND(Q51&lt;&gt;"",R51&lt;&gt;"",DATE(2026,6,0)&gt;=Q51,DATE(2026,5,1)&lt;=R51),"█","")</f>
        <v/>
      </c>
      <c r="J51" s="30" t="str">
        <f>IF(AND(Q51&lt;&gt;"",R51&lt;&gt;"",DATE(2026,7,0)&gt;=Q51,DATE(2026,6,1)&lt;=R51),"█","")</f>
        <v/>
      </c>
      <c r="K51" s="30" t="str">
        <f>IF(AND(Q51&lt;&gt;"",R51&lt;&gt;"",DATE(2026,8,0)&gt;=Q51,DATE(2026,7,1)&lt;=R51),"█","")</f>
        <v/>
      </c>
      <c r="L51" s="30" t="str">
        <f>IF(AND(Q51&lt;&gt;"",R51&lt;&gt;"",DATE(2026,9,0)&gt;=Q51,DATE(2026,8,1)&lt;=R51),"█","")</f>
        <v/>
      </c>
      <c r="M51" s="30" t="str">
        <f>IF(AND(Q51&lt;&gt;"",R51&lt;&gt;"",DATE(2026,10,0)&gt;=Q51,DATE(2026,9,1)&lt;=R51),"█","")</f>
        <v/>
      </c>
      <c r="N51" s="30" t="str">
        <f>IF(AND(Q51&lt;&gt;"",R51&lt;&gt;"",DATE(2026,11,0)&gt;=Q51,DATE(2026,10,1)&lt;=R51),"█","")</f>
        <v/>
      </c>
      <c r="O51" s="30" t="str">
        <f>IF(AND(Q51&lt;&gt;"",R51&lt;&gt;"",DATE(2026,12,0)&gt;=Q51,DATE(2026,11,1)&lt;=R51),"█","")</f>
        <v/>
      </c>
      <c r="P51" s="30" t="str">
        <f>IF(AND(Q51&lt;&gt;"",R51&lt;&gt;"",DATE(2026,12,31)&gt;=Q51,DATE(2026,12,1)&lt;=R51),"█","")</f>
        <v/>
      </c>
      <c r="Q51" s="7" t="str">
        <f>IF('Release Calendar'!I51&lt;&gt;"",'Release Calendar'!I51,"")</f>
        <v/>
      </c>
      <c r="R51" s="7" t="str">
        <f>IF('Release Calendar'!J51&lt;&gt;"",'Release Calendar'!J51,"")</f>
        <v/>
      </c>
    </row>
    <row r="52" spans="1:18" ht="20.100000000000001" customHeight="1">
      <c r="A52" s="31">
        <v>48</v>
      </c>
      <c r="B52" s="32" t="str">
        <f>IF('Release Calendar'!B52&lt;&gt;"",'Release Calendar'!B52,"")</f>
        <v/>
      </c>
      <c r="C52" s="33" t="str">
        <f>IF('Release Calendar'!K52&lt;&gt;"",'Release Calendar'!K52,"")</f>
        <v/>
      </c>
      <c r="D52" s="33" t="str">
        <f>IF('Release Calendar'!M52&lt;&gt;"",'Release Calendar'!M52,"")</f>
        <v/>
      </c>
      <c r="E52" s="34" t="str">
        <f>IF(AND(Q52&lt;&gt;"",R52&lt;&gt;"",DATE(2026,2,0)&gt;=Q52,DATE(2026,1,1)&lt;=R52),"█","")</f>
        <v/>
      </c>
      <c r="F52" s="34" t="str">
        <f>IF(AND(Q52&lt;&gt;"",R52&lt;&gt;"",DATE(2026,3,0)&gt;=Q52,DATE(2026,2,1)&lt;=R52),"█","")</f>
        <v/>
      </c>
      <c r="G52" s="34" t="str">
        <f>IF(AND(Q52&lt;&gt;"",R52&lt;&gt;"",DATE(2026,4,0)&gt;=Q52,DATE(2026,3,1)&lt;=R52),"█","")</f>
        <v/>
      </c>
      <c r="H52" s="34" t="str">
        <f>IF(AND(Q52&lt;&gt;"",R52&lt;&gt;"",DATE(2026,5,0)&gt;=Q52,DATE(2026,4,1)&lt;=R52),"█","")</f>
        <v/>
      </c>
      <c r="I52" s="34" t="str">
        <f>IF(AND(Q52&lt;&gt;"",R52&lt;&gt;"",DATE(2026,6,0)&gt;=Q52,DATE(2026,5,1)&lt;=R52),"█","")</f>
        <v/>
      </c>
      <c r="J52" s="34" t="str">
        <f>IF(AND(Q52&lt;&gt;"",R52&lt;&gt;"",DATE(2026,7,0)&gt;=Q52,DATE(2026,6,1)&lt;=R52),"█","")</f>
        <v/>
      </c>
      <c r="K52" s="34" t="str">
        <f>IF(AND(Q52&lt;&gt;"",R52&lt;&gt;"",DATE(2026,8,0)&gt;=Q52,DATE(2026,7,1)&lt;=R52),"█","")</f>
        <v/>
      </c>
      <c r="L52" s="34" t="str">
        <f>IF(AND(Q52&lt;&gt;"",R52&lt;&gt;"",DATE(2026,9,0)&gt;=Q52,DATE(2026,8,1)&lt;=R52),"█","")</f>
        <v/>
      </c>
      <c r="M52" s="34" t="str">
        <f>IF(AND(Q52&lt;&gt;"",R52&lt;&gt;"",DATE(2026,10,0)&gt;=Q52,DATE(2026,9,1)&lt;=R52),"█","")</f>
        <v/>
      </c>
      <c r="N52" s="34" t="str">
        <f>IF(AND(Q52&lt;&gt;"",R52&lt;&gt;"",DATE(2026,11,0)&gt;=Q52,DATE(2026,10,1)&lt;=R52),"█","")</f>
        <v/>
      </c>
      <c r="O52" s="34" t="str">
        <f>IF(AND(Q52&lt;&gt;"",R52&lt;&gt;"",DATE(2026,12,0)&gt;=Q52,DATE(2026,11,1)&lt;=R52),"█","")</f>
        <v/>
      </c>
      <c r="P52" s="34" t="str">
        <f>IF(AND(Q52&lt;&gt;"",R52&lt;&gt;"",DATE(2026,12,31)&gt;=Q52,DATE(2026,12,1)&lt;=R52),"█","")</f>
        <v/>
      </c>
      <c r="Q52" s="7" t="str">
        <f>IF('Release Calendar'!I52&lt;&gt;"",'Release Calendar'!I52,"")</f>
        <v/>
      </c>
      <c r="R52" s="7" t="str">
        <f>IF('Release Calendar'!J52&lt;&gt;"",'Release Calendar'!J52,"")</f>
        <v/>
      </c>
    </row>
    <row r="53" spans="1:18" ht="20.100000000000001" customHeight="1">
      <c r="A53" s="14">
        <v>49</v>
      </c>
      <c r="B53" s="28" t="str">
        <f>IF('Release Calendar'!B53&lt;&gt;"",'Release Calendar'!B53,"")</f>
        <v/>
      </c>
      <c r="C53" s="29" t="str">
        <f>IF('Release Calendar'!K53&lt;&gt;"",'Release Calendar'!K53,"")</f>
        <v/>
      </c>
      <c r="D53" s="29" t="str">
        <f>IF('Release Calendar'!M53&lt;&gt;"",'Release Calendar'!M53,"")</f>
        <v/>
      </c>
      <c r="E53" s="30" t="str">
        <f>IF(AND(Q53&lt;&gt;"",R53&lt;&gt;"",DATE(2026,2,0)&gt;=Q53,DATE(2026,1,1)&lt;=R53),"█","")</f>
        <v/>
      </c>
      <c r="F53" s="30" t="str">
        <f>IF(AND(Q53&lt;&gt;"",R53&lt;&gt;"",DATE(2026,3,0)&gt;=Q53,DATE(2026,2,1)&lt;=R53),"█","")</f>
        <v/>
      </c>
      <c r="G53" s="30" t="str">
        <f>IF(AND(Q53&lt;&gt;"",R53&lt;&gt;"",DATE(2026,4,0)&gt;=Q53,DATE(2026,3,1)&lt;=R53),"█","")</f>
        <v/>
      </c>
      <c r="H53" s="30" t="str">
        <f>IF(AND(Q53&lt;&gt;"",R53&lt;&gt;"",DATE(2026,5,0)&gt;=Q53,DATE(2026,4,1)&lt;=R53),"█","")</f>
        <v/>
      </c>
      <c r="I53" s="30" t="str">
        <f>IF(AND(Q53&lt;&gt;"",R53&lt;&gt;"",DATE(2026,6,0)&gt;=Q53,DATE(2026,5,1)&lt;=R53),"█","")</f>
        <v/>
      </c>
      <c r="J53" s="30" t="str">
        <f>IF(AND(Q53&lt;&gt;"",R53&lt;&gt;"",DATE(2026,7,0)&gt;=Q53,DATE(2026,6,1)&lt;=R53),"█","")</f>
        <v/>
      </c>
      <c r="K53" s="30" t="str">
        <f>IF(AND(Q53&lt;&gt;"",R53&lt;&gt;"",DATE(2026,8,0)&gt;=Q53,DATE(2026,7,1)&lt;=R53),"█","")</f>
        <v/>
      </c>
      <c r="L53" s="30" t="str">
        <f>IF(AND(Q53&lt;&gt;"",R53&lt;&gt;"",DATE(2026,9,0)&gt;=Q53,DATE(2026,8,1)&lt;=R53),"█","")</f>
        <v/>
      </c>
      <c r="M53" s="30" t="str">
        <f>IF(AND(Q53&lt;&gt;"",R53&lt;&gt;"",DATE(2026,10,0)&gt;=Q53,DATE(2026,9,1)&lt;=R53),"█","")</f>
        <v/>
      </c>
      <c r="N53" s="30" t="str">
        <f>IF(AND(Q53&lt;&gt;"",R53&lt;&gt;"",DATE(2026,11,0)&gt;=Q53,DATE(2026,10,1)&lt;=R53),"█","")</f>
        <v/>
      </c>
      <c r="O53" s="30" t="str">
        <f>IF(AND(Q53&lt;&gt;"",R53&lt;&gt;"",DATE(2026,12,0)&gt;=Q53,DATE(2026,11,1)&lt;=R53),"█","")</f>
        <v/>
      </c>
      <c r="P53" s="30" t="str">
        <f>IF(AND(Q53&lt;&gt;"",R53&lt;&gt;"",DATE(2026,12,31)&gt;=Q53,DATE(2026,12,1)&lt;=R53),"█","")</f>
        <v/>
      </c>
      <c r="Q53" s="7" t="str">
        <f>IF('Release Calendar'!I53&lt;&gt;"",'Release Calendar'!I53,"")</f>
        <v/>
      </c>
      <c r="R53" s="7" t="str">
        <f>IF('Release Calendar'!J53&lt;&gt;"",'Release Calendar'!J53,"")</f>
        <v/>
      </c>
    </row>
    <row r="54" spans="1:18" ht="20.100000000000001" customHeight="1">
      <c r="A54" s="31">
        <v>50</v>
      </c>
      <c r="B54" s="32" t="str">
        <f>IF('Release Calendar'!B54&lt;&gt;"",'Release Calendar'!B54,"")</f>
        <v/>
      </c>
      <c r="C54" s="33" t="str">
        <f>IF('Release Calendar'!K54&lt;&gt;"",'Release Calendar'!K54,"")</f>
        <v/>
      </c>
      <c r="D54" s="33" t="str">
        <f>IF('Release Calendar'!M54&lt;&gt;"",'Release Calendar'!M54,"")</f>
        <v/>
      </c>
      <c r="E54" s="34" t="str">
        <f>IF(AND(Q54&lt;&gt;"",R54&lt;&gt;"",DATE(2026,2,0)&gt;=Q54,DATE(2026,1,1)&lt;=R54),"█","")</f>
        <v/>
      </c>
      <c r="F54" s="34" t="str">
        <f>IF(AND(Q54&lt;&gt;"",R54&lt;&gt;"",DATE(2026,3,0)&gt;=Q54,DATE(2026,2,1)&lt;=R54),"█","")</f>
        <v/>
      </c>
      <c r="G54" s="34" t="str">
        <f>IF(AND(Q54&lt;&gt;"",R54&lt;&gt;"",DATE(2026,4,0)&gt;=Q54,DATE(2026,3,1)&lt;=R54),"█","")</f>
        <v/>
      </c>
      <c r="H54" s="34" t="str">
        <f>IF(AND(Q54&lt;&gt;"",R54&lt;&gt;"",DATE(2026,5,0)&gt;=Q54,DATE(2026,4,1)&lt;=R54),"█","")</f>
        <v/>
      </c>
      <c r="I54" s="34" t="str">
        <f>IF(AND(Q54&lt;&gt;"",R54&lt;&gt;"",DATE(2026,6,0)&gt;=Q54,DATE(2026,5,1)&lt;=R54),"█","")</f>
        <v/>
      </c>
      <c r="J54" s="34" t="str">
        <f>IF(AND(Q54&lt;&gt;"",R54&lt;&gt;"",DATE(2026,7,0)&gt;=Q54,DATE(2026,6,1)&lt;=R54),"█","")</f>
        <v/>
      </c>
      <c r="K54" s="34" t="str">
        <f>IF(AND(Q54&lt;&gt;"",R54&lt;&gt;"",DATE(2026,8,0)&gt;=Q54,DATE(2026,7,1)&lt;=R54),"█","")</f>
        <v/>
      </c>
      <c r="L54" s="34" t="str">
        <f>IF(AND(Q54&lt;&gt;"",R54&lt;&gt;"",DATE(2026,9,0)&gt;=Q54,DATE(2026,8,1)&lt;=R54),"█","")</f>
        <v/>
      </c>
      <c r="M54" s="34" t="str">
        <f>IF(AND(Q54&lt;&gt;"",R54&lt;&gt;"",DATE(2026,10,0)&gt;=Q54,DATE(2026,9,1)&lt;=R54),"█","")</f>
        <v/>
      </c>
      <c r="N54" s="34" t="str">
        <f>IF(AND(Q54&lt;&gt;"",R54&lt;&gt;"",DATE(2026,11,0)&gt;=Q54,DATE(2026,10,1)&lt;=R54),"█","")</f>
        <v/>
      </c>
      <c r="O54" s="34" t="str">
        <f>IF(AND(Q54&lt;&gt;"",R54&lt;&gt;"",DATE(2026,12,0)&gt;=Q54,DATE(2026,11,1)&lt;=R54),"█","")</f>
        <v/>
      </c>
      <c r="P54" s="34" t="str">
        <f>IF(AND(Q54&lt;&gt;"",R54&lt;&gt;"",DATE(2026,12,31)&gt;=Q54,DATE(2026,12,1)&lt;=R54),"█","")</f>
        <v/>
      </c>
      <c r="Q54" s="7" t="str">
        <f>IF('Release Calendar'!I54&lt;&gt;"",'Release Calendar'!I54,"")</f>
        <v/>
      </c>
      <c r="R54" s="7" t="str">
        <f>IF('Release Calendar'!J54&lt;&gt;"",'Release Calendar'!J54,"")</f>
        <v/>
      </c>
    </row>
    <row r="55" spans="1:18" ht="20.100000000000001" customHeight="1">
      <c r="A55" s="14">
        <v>51</v>
      </c>
      <c r="B55" s="28" t="str">
        <f>IF('Release Calendar'!B55&lt;&gt;"",'Release Calendar'!B55,"")</f>
        <v/>
      </c>
      <c r="C55" s="29" t="str">
        <f>IF('Release Calendar'!K55&lt;&gt;"",'Release Calendar'!K55,"")</f>
        <v/>
      </c>
      <c r="D55" s="29" t="str">
        <f>IF('Release Calendar'!M55&lt;&gt;"",'Release Calendar'!M55,"")</f>
        <v/>
      </c>
      <c r="E55" s="30" t="str">
        <f>IF(AND(Q55&lt;&gt;"",R55&lt;&gt;"",DATE(2026,2,0)&gt;=Q55,DATE(2026,1,1)&lt;=R55),"█","")</f>
        <v/>
      </c>
      <c r="F55" s="30" t="str">
        <f>IF(AND(Q55&lt;&gt;"",R55&lt;&gt;"",DATE(2026,3,0)&gt;=Q55,DATE(2026,2,1)&lt;=R55),"█","")</f>
        <v/>
      </c>
      <c r="G55" s="30" t="str">
        <f>IF(AND(Q55&lt;&gt;"",R55&lt;&gt;"",DATE(2026,4,0)&gt;=Q55,DATE(2026,3,1)&lt;=R55),"█","")</f>
        <v/>
      </c>
      <c r="H55" s="30" t="str">
        <f>IF(AND(Q55&lt;&gt;"",R55&lt;&gt;"",DATE(2026,5,0)&gt;=Q55,DATE(2026,4,1)&lt;=R55),"█","")</f>
        <v/>
      </c>
      <c r="I55" s="30" t="str">
        <f>IF(AND(Q55&lt;&gt;"",R55&lt;&gt;"",DATE(2026,6,0)&gt;=Q55,DATE(2026,5,1)&lt;=R55),"█","")</f>
        <v/>
      </c>
      <c r="J55" s="30" t="str">
        <f>IF(AND(Q55&lt;&gt;"",R55&lt;&gt;"",DATE(2026,7,0)&gt;=Q55,DATE(2026,6,1)&lt;=R55),"█","")</f>
        <v/>
      </c>
      <c r="K55" s="30" t="str">
        <f>IF(AND(Q55&lt;&gt;"",R55&lt;&gt;"",DATE(2026,8,0)&gt;=Q55,DATE(2026,7,1)&lt;=R55),"█","")</f>
        <v/>
      </c>
      <c r="L55" s="30" t="str">
        <f>IF(AND(Q55&lt;&gt;"",R55&lt;&gt;"",DATE(2026,9,0)&gt;=Q55,DATE(2026,8,1)&lt;=R55),"█","")</f>
        <v/>
      </c>
      <c r="M55" s="30" t="str">
        <f>IF(AND(Q55&lt;&gt;"",R55&lt;&gt;"",DATE(2026,10,0)&gt;=Q55,DATE(2026,9,1)&lt;=R55),"█","")</f>
        <v/>
      </c>
      <c r="N55" s="30" t="str">
        <f>IF(AND(Q55&lt;&gt;"",R55&lt;&gt;"",DATE(2026,11,0)&gt;=Q55,DATE(2026,10,1)&lt;=R55),"█","")</f>
        <v/>
      </c>
      <c r="O55" s="30" t="str">
        <f>IF(AND(Q55&lt;&gt;"",R55&lt;&gt;"",DATE(2026,12,0)&gt;=Q55,DATE(2026,11,1)&lt;=R55),"█","")</f>
        <v/>
      </c>
      <c r="P55" s="30" t="str">
        <f>IF(AND(Q55&lt;&gt;"",R55&lt;&gt;"",DATE(2026,12,31)&gt;=Q55,DATE(2026,12,1)&lt;=R55),"█","")</f>
        <v/>
      </c>
      <c r="Q55" s="7" t="str">
        <f>IF('Release Calendar'!I55&lt;&gt;"",'Release Calendar'!I55,"")</f>
        <v/>
      </c>
      <c r="R55" s="7" t="str">
        <f>IF('Release Calendar'!J55&lt;&gt;"",'Release Calendar'!J55,"")</f>
        <v/>
      </c>
    </row>
    <row r="56" spans="1:18" ht="20.100000000000001" customHeight="1">
      <c r="A56" s="31">
        <v>52</v>
      </c>
      <c r="B56" s="32" t="str">
        <f>IF('Release Calendar'!B56&lt;&gt;"",'Release Calendar'!B56,"")</f>
        <v/>
      </c>
      <c r="C56" s="33" t="str">
        <f>IF('Release Calendar'!K56&lt;&gt;"",'Release Calendar'!K56,"")</f>
        <v/>
      </c>
      <c r="D56" s="33" t="str">
        <f>IF('Release Calendar'!M56&lt;&gt;"",'Release Calendar'!M56,"")</f>
        <v/>
      </c>
      <c r="E56" s="34" t="str">
        <f>IF(AND(Q56&lt;&gt;"",R56&lt;&gt;"",DATE(2026,2,0)&gt;=Q56,DATE(2026,1,1)&lt;=R56),"█","")</f>
        <v/>
      </c>
      <c r="F56" s="34" t="str">
        <f>IF(AND(Q56&lt;&gt;"",R56&lt;&gt;"",DATE(2026,3,0)&gt;=Q56,DATE(2026,2,1)&lt;=R56),"█","")</f>
        <v/>
      </c>
      <c r="G56" s="34" t="str">
        <f>IF(AND(Q56&lt;&gt;"",R56&lt;&gt;"",DATE(2026,4,0)&gt;=Q56,DATE(2026,3,1)&lt;=R56),"█","")</f>
        <v/>
      </c>
      <c r="H56" s="34" t="str">
        <f>IF(AND(Q56&lt;&gt;"",R56&lt;&gt;"",DATE(2026,5,0)&gt;=Q56,DATE(2026,4,1)&lt;=R56),"█","")</f>
        <v/>
      </c>
      <c r="I56" s="34" t="str">
        <f>IF(AND(Q56&lt;&gt;"",R56&lt;&gt;"",DATE(2026,6,0)&gt;=Q56,DATE(2026,5,1)&lt;=R56),"█","")</f>
        <v/>
      </c>
      <c r="J56" s="34" t="str">
        <f>IF(AND(Q56&lt;&gt;"",R56&lt;&gt;"",DATE(2026,7,0)&gt;=Q56,DATE(2026,6,1)&lt;=R56),"█","")</f>
        <v/>
      </c>
      <c r="K56" s="34" t="str">
        <f>IF(AND(Q56&lt;&gt;"",R56&lt;&gt;"",DATE(2026,8,0)&gt;=Q56,DATE(2026,7,1)&lt;=R56),"█","")</f>
        <v/>
      </c>
      <c r="L56" s="34" t="str">
        <f>IF(AND(Q56&lt;&gt;"",R56&lt;&gt;"",DATE(2026,9,0)&gt;=Q56,DATE(2026,8,1)&lt;=R56),"█","")</f>
        <v/>
      </c>
      <c r="M56" s="34" t="str">
        <f>IF(AND(Q56&lt;&gt;"",R56&lt;&gt;"",DATE(2026,10,0)&gt;=Q56,DATE(2026,9,1)&lt;=R56),"█","")</f>
        <v/>
      </c>
      <c r="N56" s="34" t="str">
        <f>IF(AND(Q56&lt;&gt;"",R56&lt;&gt;"",DATE(2026,11,0)&gt;=Q56,DATE(2026,10,1)&lt;=R56),"█","")</f>
        <v/>
      </c>
      <c r="O56" s="34" t="str">
        <f>IF(AND(Q56&lt;&gt;"",R56&lt;&gt;"",DATE(2026,12,0)&gt;=Q56,DATE(2026,11,1)&lt;=R56),"█","")</f>
        <v/>
      </c>
      <c r="P56" s="34" t="str">
        <f>IF(AND(Q56&lt;&gt;"",R56&lt;&gt;"",DATE(2026,12,31)&gt;=Q56,DATE(2026,12,1)&lt;=R56),"█","")</f>
        <v/>
      </c>
      <c r="Q56" s="7" t="str">
        <f>IF('Release Calendar'!I56&lt;&gt;"",'Release Calendar'!I56,"")</f>
        <v/>
      </c>
      <c r="R56" s="7" t="str">
        <f>IF('Release Calendar'!J56&lt;&gt;"",'Release Calendar'!J56,"")</f>
        <v/>
      </c>
    </row>
    <row r="57" spans="1:18" ht="20.100000000000001" customHeight="1">
      <c r="A57" s="14">
        <v>53</v>
      </c>
      <c r="B57" s="28" t="str">
        <f>IF('Release Calendar'!B57&lt;&gt;"",'Release Calendar'!B57,"")</f>
        <v/>
      </c>
      <c r="C57" s="29" t="str">
        <f>IF('Release Calendar'!K57&lt;&gt;"",'Release Calendar'!K57,"")</f>
        <v/>
      </c>
      <c r="D57" s="29" t="str">
        <f>IF('Release Calendar'!M57&lt;&gt;"",'Release Calendar'!M57,"")</f>
        <v/>
      </c>
      <c r="E57" s="30" t="str">
        <f>IF(AND(Q57&lt;&gt;"",R57&lt;&gt;"",DATE(2026,2,0)&gt;=Q57,DATE(2026,1,1)&lt;=R57),"█","")</f>
        <v/>
      </c>
      <c r="F57" s="30" t="str">
        <f>IF(AND(Q57&lt;&gt;"",R57&lt;&gt;"",DATE(2026,3,0)&gt;=Q57,DATE(2026,2,1)&lt;=R57),"█","")</f>
        <v/>
      </c>
      <c r="G57" s="30" t="str">
        <f>IF(AND(Q57&lt;&gt;"",R57&lt;&gt;"",DATE(2026,4,0)&gt;=Q57,DATE(2026,3,1)&lt;=R57),"█","")</f>
        <v/>
      </c>
      <c r="H57" s="30" t="str">
        <f>IF(AND(Q57&lt;&gt;"",R57&lt;&gt;"",DATE(2026,5,0)&gt;=Q57,DATE(2026,4,1)&lt;=R57),"█","")</f>
        <v/>
      </c>
      <c r="I57" s="30" t="str">
        <f>IF(AND(Q57&lt;&gt;"",R57&lt;&gt;"",DATE(2026,6,0)&gt;=Q57,DATE(2026,5,1)&lt;=R57),"█","")</f>
        <v/>
      </c>
      <c r="J57" s="30" t="str">
        <f>IF(AND(Q57&lt;&gt;"",R57&lt;&gt;"",DATE(2026,7,0)&gt;=Q57,DATE(2026,6,1)&lt;=R57),"█","")</f>
        <v/>
      </c>
      <c r="K57" s="30" t="str">
        <f>IF(AND(Q57&lt;&gt;"",R57&lt;&gt;"",DATE(2026,8,0)&gt;=Q57,DATE(2026,7,1)&lt;=R57),"█","")</f>
        <v/>
      </c>
      <c r="L57" s="30" t="str">
        <f>IF(AND(Q57&lt;&gt;"",R57&lt;&gt;"",DATE(2026,9,0)&gt;=Q57,DATE(2026,8,1)&lt;=R57),"█","")</f>
        <v/>
      </c>
      <c r="M57" s="30" t="str">
        <f>IF(AND(Q57&lt;&gt;"",R57&lt;&gt;"",DATE(2026,10,0)&gt;=Q57,DATE(2026,9,1)&lt;=R57),"█","")</f>
        <v/>
      </c>
      <c r="N57" s="30" t="str">
        <f>IF(AND(Q57&lt;&gt;"",R57&lt;&gt;"",DATE(2026,11,0)&gt;=Q57,DATE(2026,10,1)&lt;=R57),"█","")</f>
        <v/>
      </c>
      <c r="O57" s="30" t="str">
        <f>IF(AND(Q57&lt;&gt;"",R57&lt;&gt;"",DATE(2026,12,0)&gt;=Q57,DATE(2026,11,1)&lt;=R57),"█","")</f>
        <v/>
      </c>
      <c r="P57" s="30" t="str">
        <f>IF(AND(Q57&lt;&gt;"",R57&lt;&gt;"",DATE(2026,12,31)&gt;=Q57,DATE(2026,12,1)&lt;=R57),"█","")</f>
        <v/>
      </c>
      <c r="Q57" s="7" t="str">
        <f>IF('Release Calendar'!I57&lt;&gt;"",'Release Calendar'!I57,"")</f>
        <v/>
      </c>
      <c r="R57" s="7" t="str">
        <f>IF('Release Calendar'!J57&lt;&gt;"",'Release Calendar'!J57,"")</f>
        <v/>
      </c>
    </row>
    <row r="58" spans="1:18" ht="20.100000000000001" customHeight="1">
      <c r="A58" s="31">
        <v>54</v>
      </c>
      <c r="B58" s="32" t="str">
        <f>IF('Release Calendar'!B58&lt;&gt;"",'Release Calendar'!B58,"")</f>
        <v/>
      </c>
      <c r="C58" s="33" t="str">
        <f>IF('Release Calendar'!K58&lt;&gt;"",'Release Calendar'!K58,"")</f>
        <v/>
      </c>
      <c r="D58" s="33" t="str">
        <f>IF('Release Calendar'!M58&lt;&gt;"",'Release Calendar'!M58,"")</f>
        <v/>
      </c>
      <c r="E58" s="34" t="str">
        <f>IF(AND(Q58&lt;&gt;"",R58&lt;&gt;"",DATE(2026,2,0)&gt;=Q58,DATE(2026,1,1)&lt;=R58),"█","")</f>
        <v/>
      </c>
      <c r="F58" s="34" t="str">
        <f>IF(AND(Q58&lt;&gt;"",R58&lt;&gt;"",DATE(2026,3,0)&gt;=Q58,DATE(2026,2,1)&lt;=R58),"█","")</f>
        <v/>
      </c>
      <c r="G58" s="34" t="str">
        <f>IF(AND(Q58&lt;&gt;"",R58&lt;&gt;"",DATE(2026,4,0)&gt;=Q58,DATE(2026,3,1)&lt;=R58),"█","")</f>
        <v/>
      </c>
      <c r="H58" s="34" t="str">
        <f>IF(AND(Q58&lt;&gt;"",R58&lt;&gt;"",DATE(2026,5,0)&gt;=Q58,DATE(2026,4,1)&lt;=R58),"█","")</f>
        <v/>
      </c>
      <c r="I58" s="34" t="str">
        <f>IF(AND(Q58&lt;&gt;"",R58&lt;&gt;"",DATE(2026,6,0)&gt;=Q58,DATE(2026,5,1)&lt;=R58),"█","")</f>
        <v/>
      </c>
      <c r="J58" s="34" t="str">
        <f>IF(AND(Q58&lt;&gt;"",R58&lt;&gt;"",DATE(2026,7,0)&gt;=Q58,DATE(2026,6,1)&lt;=R58),"█","")</f>
        <v/>
      </c>
      <c r="K58" s="34" t="str">
        <f>IF(AND(Q58&lt;&gt;"",R58&lt;&gt;"",DATE(2026,8,0)&gt;=Q58,DATE(2026,7,1)&lt;=R58),"█","")</f>
        <v/>
      </c>
      <c r="L58" s="34" t="str">
        <f>IF(AND(Q58&lt;&gt;"",R58&lt;&gt;"",DATE(2026,9,0)&gt;=Q58,DATE(2026,8,1)&lt;=R58),"█","")</f>
        <v/>
      </c>
      <c r="M58" s="34" t="str">
        <f>IF(AND(Q58&lt;&gt;"",R58&lt;&gt;"",DATE(2026,10,0)&gt;=Q58,DATE(2026,9,1)&lt;=R58),"█","")</f>
        <v/>
      </c>
      <c r="N58" s="34" t="str">
        <f>IF(AND(Q58&lt;&gt;"",R58&lt;&gt;"",DATE(2026,11,0)&gt;=Q58,DATE(2026,10,1)&lt;=R58),"█","")</f>
        <v/>
      </c>
      <c r="O58" s="34" t="str">
        <f>IF(AND(Q58&lt;&gt;"",R58&lt;&gt;"",DATE(2026,12,0)&gt;=Q58,DATE(2026,11,1)&lt;=R58),"█","")</f>
        <v/>
      </c>
      <c r="P58" s="34" t="str">
        <f>IF(AND(Q58&lt;&gt;"",R58&lt;&gt;"",DATE(2026,12,31)&gt;=Q58,DATE(2026,12,1)&lt;=R58),"█","")</f>
        <v/>
      </c>
      <c r="Q58" s="7" t="str">
        <f>IF('Release Calendar'!I58&lt;&gt;"",'Release Calendar'!I58,"")</f>
        <v/>
      </c>
      <c r="R58" s="7" t="str">
        <f>IF('Release Calendar'!J58&lt;&gt;"",'Release Calendar'!J58,"")</f>
        <v/>
      </c>
    </row>
    <row r="59" spans="1:18" ht="20.100000000000001" customHeight="1">
      <c r="A59" s="14">
        <v>55</v>
      </c>
      <c r="B59" s="28" t="str">
        <f>IF('Release Calendar'!B59&lt;&gt;"",'Release Calendar'!B59,"")</f>
        <v/>
      </c>
      <c r="C59" s="29" t="str">
        <f>IF('Release Calendar'!K59&lt;&gt;"",'Release Calendar'!K59,"")</f>
        <v/>
      </c>
      <c r="D59" s="29" t="str">
        <f>IF('Release Calendar'!M59&lt;&gt;"",'Release Calendar'!M59,"")</f>
        <v/>
      </c>
      <c r="E59" s="30" t="str">
        <f>IF(AND(Q59&lt;&gt;"",R59&lt;&gt;"",DATE(2026,2,0)&gt;=Q59,DATE(2026,1,1)&lt;=R59),"█","")</f>
        <v/>
      </c>
      <c r="F59" s="30" t="str">
        <f>IF(AND(Q59&lt;&gt;"",R59&lt;&gt;"",DATE(2026,3,0)&gt;=Q59,DATE(2026,2,1)&lt;=R59),"█","")</f>
        <v/>
      </c>
      <c r="G59" s="30" t="str">
        <f>IF(AND(Q59&lt;&gt;"",R59&lt;&gt;"",DATE(2026,4,0)&gt;=Q59,DATE(2026,3,1)&lt;=R59),"█","")</f>
        <v/>
      </c>
      <c r="H59" s="30" t="str">
        <f>IF(AND(Q59&lt;&gt;"",R59&lt;&gt;"",DATE(2026,5,0)&gt;=Q59,DATE(2026,4,1)&lt;=R59),"█","")</f>
        <v/>
      </c>
      <c r="I59" s="30" t="str">
        <f>IF(AND(Q59&lt;&gt;"",R59&lt;&gt;"",DATE(2026,6,0)&gt;=Q59,DATE(2026,5,1)&lt;=R59),"█","")</f>
        <v/>
      </c>
      <c r="J59" s="30" t="str">
        <f>IF(AND(Q59&lt;&gt;"",R59&lt;&gt;"",DATE(2026,7,0)&gt;=Q59,DATE(2026,6,1)&lt;=R59),"█","")</f>
        <v/>
      </c>
      <c r="K59" s="30" t="str">
        <f>IF(AND(Q59&lt;&gt;"",R59&lt;&gt;"",DATE(2026,8,0)&gt;=Q59,DATE(2026,7,1)&lt;=R59),"█","")</f>
        <v/>
      </c>
      <c r="L59" s="30" t="str">
        <f>IF(AND(Q59&lt;&gt;"",R59&lt;&gt;"",DATE(2026,9,0)&gt;=Q59,DATE(2026,8,1)&lt;=R59),"█","")</f>
        <v/>
      </c>
      <c r="M59" s="30" t="str">
        <f>IF(AND(Q59&lt;&gt;"",R59&lt;&gt;"",DATE(2026,10,0)&gt;=Q59,DATE(2026,9,1)&lt;=R59),"█","")</f>
        <v/>
      </c>
      <c r="N59" s="30" t="str">
        <f>IF(AND(Q59&lt;&gt;"",R59&lt;&gt;"",DATE(2026,11,0)&gt;=Q59,DATE(2026,10,1)&lt;=R59),"█","")</f>
        <v/>
      </c>
      <c r="O59" s="30" t="str">
        <f>IF(AND(Q59&lt;&gt;"",R59&lt;&gt;"",DATE(2026,12,0)&gt;=Q59,DATE(2026,11,1)&lt;=R59),"█","")</f>
        <v/>
      </c>
      <c r="P59" s="30" t="str">
        <f>IF(AND(Q59&lt;&gt;"",R59&lt;&gt;"",DATE(2026,12,31)&gt;=Q59,DATE(2026,12,1)&lt;=R59),"█","")</f>
        <v/>
      </c>
      <c r="Q59" s="7" t="str">
        <f>IF('Release Calendar'!I59&lt;&gt;"",'Release Calendar'!I59,"")</f>
        <v/>
      </c>
      <c r="R59" s="7" t="str">
        <f>IF('Release Calendar'!J59&lt;&gt;"",'Release Calendar'!J59,"")</f>
        <v/>
      </c>
    </row>
    <row r="60" spans="1:18" ht="20.100000000000001" customHeight="1">
      <c r="A60" s="31">
        <v>56</v>
      </c>
      <c r="B60" s="32" t="str">
        <f>IF('Release Calendar'!B60&lt;&gt;"",'Release Calendar'!B60,"")</f>
        <v/>
      </c>
      <c r="C60" s="33" t="str">
        <f>IF('Release Calendar'!K60&lt;&gt;"",'Release Calendar'!K60,"")</f>
        <v/>
      </c>
      <c r="D60" s="33" t="str">
        <f>IF('Release Calendar'!M60&lt;&gt;"",'Release Calendar'!M60,"")</f>
        <v/>
      </c>
      <c r="E60" s="34" t="str">
        <f>IF(AND(Q60&lt;&gt;"",R60&lt;&gt;"",DATE(2026,2,0)&gt;=Q60,DATE(2026,1,1)&lt;=R60),"█","")</f>
        <v/>
      </c>
      <c r="F60" s="34" t="str">
        <f>IF(AND(Q60&lt;&gt;"",R60&lt;&gt;"",DATE(2026,3,0)&gt;=Q60,DATE(2026,2,1)&lt;=R60),"█","")</f>
        <v/>
      </c>
      <c r="G60" s="34" t="str">
        <f>IF(AND(Q60&lt;&gt;"",R60&lt;&gt;"",DATE(2026,4,0)&gt;=Q60,DATE(2026,3,1)&lt;=R60),"█","")</f>
        <v/>
      </c>
      <c r="H60" s="34" t="str">
        <f>IF(AND(Q60&lt;&gt;"",R60&lt;&gt;"",DATE(2026,5,0)&gt;=Q60,DATE(2026,4,1)&lt;=R60),"█","")</f>
        <v/>
      </c>
      <c r="I60" s="34" t="str">
        <f>IF(AND(Q60&lt;&gt;"",R60&lt;&gt;"",DATE(2026,6,0)&gt;=Q60,DATE(2026,5,1)&lt;=R60),"█","")</f>
        <v/>
      </c>
      <c r="J60" s="34" t="str">
        <f>IF(AND(Q60&lt;&gt;"",R60&lt;&gt;"",DATE(2026,7,0)&gt;=Q60,DATE(2026,6,1)&lt;=R60),"█","")</f>
        <v/>
      </c>
      <c r="K60" s="34" t="str">
        <f>IF(AND(Q60&lt;&gt;"",R60&lt;&gt;"",DATE(2026,8,0)&gt;=Q60,DATE(2026,7,1)&lt;=R60),"█","")</f>
        <v/>
      </c>
      <c r="L60" s="34" t="str">
        <f>IF(AND(Q60&lt;&gt;"",R60&lt;&gt;"",DATE(2026,9,0)&gt;=Q60,DATE(2026,8,1)&lt;=R60),"█","")</f>
        <v/>
      </c>
      <c r="M60" s="34" t="str">
        <f>IF(AND(Q60&lt;&gt;"",R60&lt;&gt;"",DATE(2026,10,0)&gt;=Q60,DATE(2026,9,1)&lt;=R60),"█","")</f>
        <v/>
      </c>
      <c r="N60" s="34" t="str">
        <f>IF(AND(Q60&lt;&gt;"",R60&lt;&gt;"",DATE(2026,11,0)&gt;=Q60,DATE(2026,10,1)&lt;=R60),"█","")</f>
        <v/>
      </c>
      <c r="O60" s="34" t="str">
        <f>IF(AND(Q60&lt;&gt;"",R60&lt;&gt;"",DATE(2026,12,0)&gt;=Q60,DATE(2026,11,1)&lt;=R60),"█","")</f>
        <v/>
      </c>
      <c r="P60" s="34" t="str">
        <f>IF(AND(Q60&lt;&gt;"",R60&lt;&gt;"",DATE(2026,12,31)&gt;=Q60,DATE(2026,12,1)&lt;=R60),"█","")</f>
        <v/>
      </c>
      <c r="Q60" s="7" t="str">
        <f>IF('Release Calendar'!I60&lt;&gt;"",'Release Calendar'!I60,"")</f>
        <v/>
      </c>
      <c r="R60" s="7" t="str">
        <f>IF('Release Calendar'!J60&lt;&gt;"",'Release Calendar'!J60,"")</f>
        <v/>
      </c>
    </row>
    <row r="61" spans="1:18" ht="20.100000000000001" customHeight="1">
      <c r="A61" s="14">
        <v>57</v>
      </c>
      <c r="B61" s="28" t="str">
        <f>IF('Release Calendar'!B61&lt;&gt;"",'Release Calendar'!B61,"")</f>
        <v/>
      </c>
      <c r="C61" s="29" t="str">
        <f>IF('Release Calendar'!K61&lt;&gt;"",'Release Calendar'!K61,"")</f>
        <v/>
      </c>
      <c r="D61" s="29" t="str">
        <f>IF('Release Calendar'!M61&lt;&gt;"",'Release Calendar'!M61,"")</f>
        <v/>
      </c>
      <c r="E61" s="30" t="str">
        <f>IF(AND(Q61&lt;&gt;"",R61&lt;&gt;"",DATE(2026,2,0)&gt;=Q61,DATE(2026,1,1)&lt;=R61),"█","")</f>
        <v/>
      </c>
      <c r="F61" s="30" t="str">
        <f>IF(AND(Q61&lt;&gt;"",R61&lt;&gt;"",DATE(2026,3,0)&gt;=Q61,DATE(2026,2,1)&lt;=R61),"█","")</f>
        <v/>
      </c>
      <c r="G61" s="30" t="str">
        <f>IF(AND(Q61&lt;&gt;"",R61&lt;&gt;"",DATE(2026,4,0)&gt;=Q61,DATE(2026,3,1)&lt;=R61),"█","")</f>
        <v/>
      </c>
      <c r="H61" s="30" t="str">
        <f>IF(AND(Q61&lt;&gt;"",R61&lt;&gt;"",DATE(2026,5,0)&gt;=Q61,DATE(2026,4,1)&lt;=R61),"█","")</f>
        <v/>
      </c>
      <c r="I61" s="30" t="str">
        <f>IF(AND(Q61&lt;&gt;"",R61&lt;&gt;"",DATE(2026,6,0)&gt;=Q61,DATE(2026,5,1)&lt;=R61),"█","")</f>
        <v/>
      </c>
      <c r="J61" s="30" t="str">
        <f>IF(AND(Q61&lt;&gt;"",R61&lt;&gt;"",DATE(2026,7,0)&gt;=Q61,DATE(2026,6,1)&lt;=R61),"█","")</f>
        <v/>
      </c>
      <c r="K61" s="30" t="str">
        <f>IF(AND(Q61&lt;&gt;"",R61&lt;&gt;"",DATE(2026,8,0)&gt;=Q61,DATE(2026,7,1)&lt;=R61),"█","")</f>
        <v/>
      </c>
      <c r="L61" s="30" t="str">
        <f>IF(AND(Q61&lt;&gt;"",R61&lt;&gt;"",DATE(2026,9,0)&gt;=Q61,DATE(2026,8,1)&lt;=R61),"█","")</f>
        <v/>
      </c>
      <c r="M61" s="30" t="str">
        <f>IF(AND(Q61&lt;&gt;"",R61&lt;&gt;"",DATE(2026,10,0)&gt;=Q61,DATE(2026,9,1)&lt;=R61),"█","")</f>
        <v/>
      </c>
      <c r="N61" s="30" t="str">
        <f>IF(AND(Q61&lt;&gt;"",R61&lt;&gt;"",DATE(2026,11,0)&gt;=Q61,DATE(2026,10,1)&lt;=R61),"█","")</f>
        <v/>
      </c>
      <c r="O61" s="30" t="str">
        <f>IF(AND(Q61&lt;&gt;"",R61&lt;&gt;"",DATE(2026,12,0)&gt;=Q61,DATE(2026,11,1)&lt;=R61),"█","")</f>
        <v/>
      </c>
      <c r="P61" s="30" t="str">
        <f>IF(AND(Q61&lt;&gt;"",R61&lt;&gt;"",DATE(2026,12,31)&gt;=Q61,DATE(2026,12,1)&lt;=R61),"█","")</f>
        <v/>
      </c>
      <c r="Q61" s="7" t="str">
        <f>IF('Release Calendar'!I61&lt;&gt;"",'Release Calendar'!I61,"")</f>
        <v/>
      </c>
      <c r="R61" s="7" t="str">
        <f>IF('Release Calendar'!J61&lt;&gt;"",'Release Calendar'!J61,"")</f>
        <v/>
      </c>
    </row>
    <row r="62" spans="1:18" ht="20.100000000000001" customHeight="1">
      <c r="A62" s="31">
        <v>58</v>
      </c>
      <c r="B62" s="32" t="str">
        <f>IF('Release Calendar'!B62&lt;&gt;"",'Release Calendar'!B62,"")</f>
        <v/>
      </c>
      <c r="C62" s="33" t="str">
        <f>IF('Release Calendar'!K62&lt;&gt;"",'Release Calendar'!K62,"")</f>
        <v/>
      </c>
      <c r="D62" s="33" t="str">
        <f>IF('Release Calendar'!M62&lt;&gt;"",'Release Calendar'!M62,"")</f>
        <v/>
      </c>
      <c r="E62" s="34" t="str">
        <f>IF(AND(Q62&lt;&gt;"",R62&lt;&gt;"",DATE(2026,2,0)&gt;=Q62,DATE(2026,1,1)&lt;=R62),"█","")</f>
        <v/>
      </c>
      <c r="F62" s="34" t="str">
        <f>IF(AND(Q62&lt;&gt;"",R62&lt;&gt;"",DATE(2026,3,0)&gt;=Q62,DATE(2026,2,1)&lt;=R62),"█","")</f>
        <v/>
      </c>
      <c r="G62" s="34" t="str">
        <f>IF(AND(Q62&lt;&gt;"",R62&lt;&gt;"",DATE(2026,4,0)&gt;=Q62,DATE(2026,3,1)&lt;=R62),"█","")</f>
        <v/>
      </c>
      <c r="H62" s="34" t="str">
        <f>IF(AND(Q62&lt;&gt;"",R62&lt;&gt;"",DATE(2026,5,0)&gt;=Q62,DATE(2026,4,1)&lt;=R62),"█","")</f>
        <v/>
      </c>
      <c r="I62" s="34" t="str">
        <f>IF(AND(Q62&lt;&gt;"",R62&lt;&gt;"",DATE(2026,6,0)&gt;=Q62,DATE(2026,5,1)&lt;=R62),"█","")</f>
        <v/>
      </c>
      <c r="J62" s="34" t="str">
        <f>IF(AND(Q62&lt;&gt;"",R62&lt;&gt;"",DATE(2026,7,0)&gt;=Q62,DATE(2026,6,1)&lt;=R62),"█","")</f>
        <v/>
      </c>
      <c r="K62" s="34" t="str">
        <f>IF(AND(Q62&lt;&gt;"",R62&lt;&gt;"",DATE(2026,8,0)&gt;=Q62,DATE(2026,7,1)&lt;=R62),"█","")</f>
        <v/>
      </c>
      <c r="L62" s="34" t="str">
        <f>IF(AND(Q62&lt;&gt;"",R62&lt;&gt;"",DATE(2026,9,0)&gt;=Q62,DATE(2026,8,1)&lt;=R62),"█","")</f>
        <v/>
      </c>
      <c r="M62" s="34" t="str">
        <f>IF(AND(Q62&lt;&gt;"",R62&lt;&gt;"",DATE(2026,10,0)&gt;=Q62,DATE(2026,9,1)&lt;=R62),"█","")</f>
        <v/>
      </c>
      <c r="N62" s="34" t="str">
        <f>IF(AND(Q62&lt;&gt;"",R62&lt;&gt;"",DATE(2026,11,0)&gt;=Q62,DATE(2026,10,1)&lt;=R62),"█","")</f>
        <v/>
      </c>
      <c r="O62" s="34" t="str">
        <f>IF(AND(Q62&lt;&gt;"",R62&lt;&gt;"",DATE(2026,12,0)&gt;=Q62,DATE(2026,11,1)&lt;=R62),"█","")</f>
        <v/>
      </c>
      <c r="P62" s="34" t="str">
        <f>IF(AND(Q62&lt;&gt;"",R62&lt;&gt;"",DATE(2026,12,31)&gt;=Q62,DATE(2026,12,1)&lt;=R62),"█","")</f>
        <v/>
      </c>
      <c r="Q62" s="7" t="str">
        <f>IF('Release Calendar'!I62&lt;&gt;"",'Release Calendar'!I62,"")</f>
        <v/>
      </c>
      <c r="R62" s="7" t="str">
        <f>IF('Release Calendar'!J62&lt;&gt;"",'Release Calendar'!J62,"")</f>
        <v/>
      </c>
    </row>
    <row r="63" spans="1:18" ht="20.100000000000001" customHeight="1">
      <c r="A63" s="14">
        <v>59</v>
      </c>
      <c r="B63" s="28" t="str">
        <f>IF('Release Calendar'!B63&lt;&gt;"",'Release Calendar'!B63,"")</f>
        <v/>
      </c>
      <c r="C63" s="29" t="str">
        <f>IF('Release Calendar'!K63&lt;&gt;"",'Release Calendar'!K63,"")</f>
        <v/>
      </c>
      <c r="D63" s="29" t="str">
        <f>IF('Release Calendar'!M63&lt;&gt;"",'Release Calendar'!M63,"")</f>
        <v/>
      </c>
      <c r="E63" s="30" t="str">
        <f>IF(AND(Q63&lt;&gt;"",R63&lt;&gt;"",DATE(2026,2,0)&gt;=Q63,DATE(2026,1,1)&lt;=R63),"█","")</f>
        <v/>
      </c>
      <c r="F63" s="30" t="str">
        <f>IF(AND(Q63&lt;&gt;"",R63&lt;&gt;"",DATE(2026,3,0)&gt;=Q63,DATE(2026,2,1)&lt;=R63),"█","")</f>
        <v/>
      </c>
      <c r="G63" s="30" t="str">
        <f>IF(AND(Q63&lt;&gt;"",R63&lt;&gt;"",DATE(2026,4,0)&gt;=Q63,DATE(2026,3,1)&lt;=R63),"█","")</f>
        <v/>
      </c>
      <c r="H63" s="30" t="str">
        <f>IF(AND(Q63&lt;&gt;"",R63&lt;&gt;"",DATE(2026,5,0)&gt;=Q63,DATE(2026,4,1)&lt;=R63),"█","")</f>
        <v/>
      </c>
      <c r="I63" s="30" t="str">
        <f>IF(AND(Q63&lt;&gt;"",R63&lt;&gt;"",DATE(2026,6,0)&gt;=Q63,DATE(2026,5,1)&lt;=R63),"█","")</f>
        <v/>
      </c>
      <c r="J63" s="30" t="str">
        <f>IF(AND(Q63&lt;&gt;"",R63&lt;&gt;"",DATE(2026,7,0)&gt;=Q63,DATE(2026,6,1)&lt;=R63),"█","")</f>
        <v/>
      </c>
      <c r="K63" s="30" t="str">
        <f>IF(AND(Q63&lt;&gt;"",R63&lt;&gt;"",DATE(2026,8,0)&gt;=Q63,DATE(2026,7,1)&lt;=R63),"█","")</f>
        <v/>
      </c>
      <c r="L63" s="30" t="str">
        <f>IF(AND(Q63&lt;&gt;"",R63&lt;&gt;"",DATE(2026,9,0)&gt;=Q63,DATE(2026,8,1)&lt;=R63),"█","")</f>
        <v/>
      </c>
      <c r="M63" s="30" t="str">
        <f>IF(AND(Q63&lt;&gt;"",R63&lt;&gt;"",DATE(2026,10,0)&gt;=Q63,DATE(2026,9,1)&lt;=R63),"█","")</f>
        <v/>
      </c>
      <c r="N63" s="30" t="str">
        <f>IF(AND(Q63&lt;&gt;"",R63&lt;&gt;"",DATE(2026,11,0)&gt;=Q63,DATE(2026,10,1)&lt;=R63),"█","")</f>
        <v/>
      </c>
      <c r="O63" s="30" t="str">
        <f>IF(AND(Q63&lt;&gt;"",R63&lt;&gt;"",DATE(2026,12,0)&gt;=Q63,DATE(2026,11,1)&lt;=R63),"█","")</f>
        <v/>
      </c>
      <c r="P63" s="30" t="str">
        <f>IF(AND(Q63&lt;&gt;"",R63&lt;&gt;"",DATE(2026,12,31)&gt;=Q63,DATE(2026,12,1)&lt;=R63),"█","")</f>
        <v/>
      </c>
      <c r="Q63" s="7" t="str">
        <f>IF('Release Calendar'!I63&lt;&gt;"",'Release Calendar'!I63,"")</f>
        <v/>
      </c>
      <c r="R63" s="7" t="str">
        <f>IF('Release Calendar'!J63&lt;&gt;"",'Release Calendar'!J63,"")</f>
        <v/>
      </c>
    </row>
    <row r="64" spans="1:18" ht="20.100000000000001" customHeight="1">
      <c r="A64" s="31">
        <v>60</v>
      </c>
      <c r="B64" s="32" t="str">
        <f>IF('Release Calendar'!B64&lt;&gt;"",'Release Calendar'!B64,"")</f>
        <v/>
      </c>
      <c r="C64" s="33" t="str">
        <f>IF('Release Calendar'!K64&lt;&gt;"",'Release Calendar'!K64,"")</f>
        <v/>
      </c>
      <c r="D64" s="33" t="str">
        <f>IF('Release Calendar'!M64&lt;&gt;"",'Release Calendar'!M64,"")</f>
        <v/>
      </c>
      <c r="E64" s="34" t="str">
        <f>IF(AND(Q64&lt;&gt;"",R64&lt;&gt;"",DATE(2026,2,0)&gt;=Q64,DATE(2026,1,1)&lt;=R64),"█","")</f>
        <v/>
      </c>
      <c r="F64" s="34" t="str">
        <f>IF(AND(Q64&lt;&gt;"",R64&lt;&gt;"",DATE(2026,3,0)&gt;=Q64,DATE(2026,2,1)&lt;=R64),"█","")</f>
        <v/>
      </c>
      <c r="G64" s="34" t="str">
        <f>IF(AND(Q64&lt;&gt;"",R64&lt;&gt;"",DATE(2026,4,0)&gt;=Q64,DATE(2026,3,1)&lt;=R64),"█","")</f>
        <v/>
      </c>
      <c r="H64" s="34" t="str">
        <f>IF(AND(Q64&lt;&gt;"",R64&lt;&gt;"",DATE(2026,5,0)&gt;=Q64,DATE(2026,4,1)&lt;=R64),"█","")</f>
        <v/>
      </c>
      <c r="I64" s="34" t="str">
        <f>IF(AND(Q64&lt;&gt;"",R64&lt;&gt;"",DATE(2026,6,0)&gt;=Q64,DATE(2026,5,1)&lt;=R64),"█","")</f>
        <v/>
      </c>
      <c r="J64" s="34" t="str">
        <f>IF(AND(Q64&lt;&gt;"",R64&lt;&gt;"",DATE(2026,7,0)&gt;=Q64,DATE(2026,6,1)&lt;=R64),"█","")</f>
        <v/>
      </c>
      <c r="K64" s="34" t="str">
        <f>IF(AND(Q64&lt;&gt;"",R64&lt;&gt;"",DATE(2026,8,0)&gt;=Q64,DATE(2026,7,1)&lt;=R64),"█","")</f>
        <v/>
      </c>
      <c r="L64" s="34" t="str">
        <f>IF(AND(Q64&lt;&gt;"",R64&lt;&gt;"",DATE(2026,9,0)&gt;=Q64,DATE(2026,8,1)&lt;=R64),"█","")</f>
        <v/>
      </c>
      <c r="M64" s="34" t="str">
        <f>IF(AND(Q64&lt;&gt;"",R64&lt;&gt;"",DATE(2026,10,0)&gt;=Q64,DATE(2026,9,1)&lt;=R64),"█","")</f>
        <v/>
      </c>
      <c r="N64" s="34" t="str">
        <f>IF(AND(Q64&lt;&gt;"",R64&lt;&gt;"",DATE(2026,11,0)&gt;=Q64,DATE(2026,10,1)&lt;=R64),"█","")</f>
        <v/>
      </c>
      <c r="O64" s="34" t="str">
        <f>IF(AND(Q64&lt;&gt;"",R64&lt;&gt;"",DATE(2026,12,0)&gt;=Q64,DATE(2026,11,1)&lt;=R64),"█","")</f>
        <v/>
      </c>
      <c r="P64" s="34" t="str">
        <f>IF(AND(Q64&lt;&gt;"",R64&lt;&gt;"",DATE(2026,12,31)&gt;=Q64,DATE(2026,12,1)&lt;=R64),"█","")</f>
        <v/>
      </c>
      <c r="Q64" s="7" t="str">
        <f>IF('Release Calendar'!I64&lt;&gt;"",'Release Calendar'!I64,"")</f>
        <v/>
      </c>
      <c r="R64" s="7" t="str">
        <f>IF('Release Calendar'!J64&lt;&gt;"",'Release Calendar'!J64,"")</f>
        <v/>
      </c>
    </row>
    <row r="65" spans="1:18" ht="20.100000000000001" customHeight="1">
      <c r="A65" s="14">
        <v>61</v>
      </c>
      <c r="B65" s="28" t="str">
        <f>IF('Release Calendar'!B65&lt;&gt;"",'Release Calendar'!B65,"")</f>
        <v/>
      </c>
      <c r="C65" s="29" t="str">
        <f>IF('Release Calendar'!K65&lt;&gt;"",'Release Calendar'!K65,"")</f>
        <v/>
      </c>
      <c r="D65" s="29" t="str">
        <f>IF('Release Calendar'!M65&lt;&gt;"",'Release Calendar'!M65,"")</f>
        <v/>
      </c>
      <c r="E65" s="30" t="str">
        <f>IF(AND(Q65&lt;&gt;"",R65&lt;&gt;"",DATE(2026,2,0)&gt;=Q65,DATE(2026,1,1)&lt;=R65),"█","")</f>
        <v/>
      </c>
      <c r="F65" s="30" t="str">
        <f>IF(AND(Q65&lt;&gt;"",R65&lt;&gt;"",DATE(2026,3,0)&gt;=Q65,DATE(2026,2,1)&lt;=R65),"█","")</f>
        <v/>
      </c>
      <c r="G65" s="30" t="str">
        <f>IF(AND(Q65&lt;&gt;"",R65&lt;&gt;"",DATE(2026,4,0)&gt;=Q65,DATE(2026,3,1)&lt;=R65),"█","")</f>
        <v/>
      </c>
      <c r="H65" s="30" t="str">
        <f>IF(AND(Q65&lt;&gt;"",R65&lt;&gt;"",DATE(2026,5,0)&gt;=Q65,DATE(2026,4,1)&lt;=R65),"█","")</f>
        <v/>
      </c>
      <c r="I65" s="30" t="str">
        <f>IF(AND(Q65&lt;&gt;"",R65&lt;&gt;"",DATE(2026,6,0)&gt;=Q65,DATE(2026,5,1)&lt;=R65),"█","")</f>
        <v/>
      </c>
      <c r="J65" s="30" t="str">
        <f>IF(AND(Q65&lt;&gt;"",R65&lt;&gt;"",DATE(2026,7,0)&gt;=Q65,DATE(2026,6,1)&lt;=R65),"█","")</f>
        <v/>
      </c>
      <c r="K65" s="30" t="str">
        <f>IF(AND(Q65&lt;&gt;"",R65&lt;&gt;"",DATE(2026,8,0)&gt;=Q65,DATE(2026,7,1)&lt;=R65),"█","")</f>
        <v/>
      </c>
      <c r="L65" s="30" t="str">
        <f>IF(AND(Q65&lt;&gt;"",R65&lt;&gt;"",DATE(2026,9,0)&gt;=Q65,DATE(2026,8,1)&lt;=R65),"█","")</f>
        <v/>
      </c>
      <c r="M65" s="30" t="str">
        <f>IF(AND(Q65&lt;&gt;"",R65&lt;&gt;"",DATE(2026,10,0)&gt;=Q65,DATE(2026,9,1)&lt;=R65),"█","")</f>
        <v/>
      </c>
      <c r="N65" s="30" t="str">
        <f>IF(AND(Q65&lt;&gt;"",R65&lt;&gt;"",DATE(2026,11,0)&gt;=Q65,DATE(2026,10,1)&lt;=R65),"█","")</f>
        <v/>
      </c>
      <c r="O65" s="30" t="str">
        <f>IF(AND(Q65&lt;&gt;"",R65&lt;&gt;"",DATE(2026,12,0)&gt;=Q65,DATE(2026,11,1)&lt;=R65),"█","")</f>
        <v/>
      </c>
      <c r="P65" s="30" t="str">
        <f>IF(AND(Q65&lt;&gt;"",R65&lt;&gt;"",DATE(2026,12,31)&gt;=Q65,DATE(2026,12,1)&lt;=R65),"█","")</f>
        <v/>
      </c>
      <c r="Q65" s="7" t="str">
        <f>IF('Release Calendar'!I65&lt;&gt;"",'Release Calendar'!I65,"")</f>
        <v/>
      </c>
      <c r="R65" s="7" t="str">
        <f>IF('Release Calendar'!J65&lt;&gt;"",'Release Calendar'!J65,"")</f>
        <v/>
      </c>
    </row>
    <row r="66" spans="1:18" ht="20.100000000000001" customHeight="1">
      <c r="A66" s="31">
        <v>62</v>
      </c>
      <c r="B66" s="32" t="str">
        <f>IF('Release Calendar'!B66&lt;&gt;"",'Release Calendar'!B66,"")</f>
        <v/>
      </c>
      <c r="C66" s="33" t="str">
        <f>IF('Release Calendar'!K66&lt;&gt;"",'Release Calendar'!K66,"")</f>
        <v/>
      </c>
      <c r="D66" s="33" t="str">
        <f>IF('Release Calendar'!M66&lt;&gt;"",'Release Calendar'!M66,"")</f>
        <v/>
      </c>
      <c r="E66" s="34" t="str">
        <f>IF(AND(Q66&lt;&gt;"",R66&lt;&gt;"",DATE(2026,2,0)&gt;=Q66,DATE(2026,1,1)&lt;=R66),"█","")</f>
        <v/>
      </c>
      <c r="F66" s="34" t="str">
        <f>IF(AND(Q66&lt;&gt;"",R66&lt;&gt;"",DATE(2026,3,0)&gt;=Q66,DATE(2026,2,1)&lt;=R66),"█","")</f>
        <v/>
      </c>
      <c r="G66" s="34" t="str">
        <f>IF(AND(Q66&lt;&gt;"",R66&lt;&gt;"",DATE(2026,4,0)&gt;=Q66,DATE(2026,3,1)&lt;=R66),"█","")</f>
        <v/>
      </c>
      <c r="H66" s="34" t="str">
        <f>IF(AND(Q66&lt;&gt;"",R66&lt;&gt;"",DATE(2026,5,0)&gt;=Q66,DATE(2026,4,1)&lt;=R66),"█","")</f>
        <v/>
      </c>
      <c r="I66" s="34" t="str">
        <f>IF(AND(Q66&lt;&gt;"",R66&lt;&gt;"",DATE(2026,6,0)&gt;=Q66,DATE(2026,5,1)&lt;=R66),"█","")</f>
        <v/>
      </c>
      <c r="J66" s="34" t="str">
        <f>IF(AND(Q66&lt;&gt;"",R66&lt;&gt;"",DATE(2026,7,0)&gt;=Q66,DATE(2026,6,1)&lt;=R66),"█","")</f>
        <v/>
      </c>
      <c r="K66" s="34" t="str">
        <f>IF(AND(Q66&lt;&gt;"",R66&lt;&gt;"",DATE(2026,8,0)&gt;=Q66,DATE(2026,7,1)&lt;=R66),"█","")</f>
        <v/>
      </c>
      <c r="L66" s="34" t="str">
        <f>IF(AND(Q66&lt;&gt;"",R66&lt;&gt;"",DATE(2026,9,0)&gt;=Q66,DATE(2026,8,1)&lt;=R66),"█","")</f>
        <v/>
      </c>
      <c r="M66" s="34" t="str">
        <f>IF(AND(Q66&lt;&gt;"",R66&lt;&gt;"",DATE(2026,10,0)&gt;=Q66,DATE(2026,9,1)&lt;=R66),"█","")</f>
        <v/>
      </c>
      <c r="N66" s="34" t="str">
        <f>IF(AND(Q66&lt;&gt;"",R66&lt;&gt;"",DATE(2026,11,0)&gt;=Q66,DATE(2026,10,1)&lt;=R66),"█","")</f>
        <v/>
      </c>
      <c r="O66" s="34" t="str">
        <f>IF(AND(Q66&lt;&gt;"",R66&lt;&gt;"",DATE(2026,12,0)&gt;=Q66,DATE(2026,11,1)&lt;=R66),"█","")</f>
        <v/>
      </c>
      <c r="P66" s="34" t="str">
        <f>IF(AND(Q66&lt;&gt;"",R66&lt;&gt;"",DATE(2026,12,31)&gt;=Q66,DATE(2026,12,1)&lt;=R66),"█","")</f>
        <v/>
      </c>
      <c r="Q66" s="7" t="str">
        <f>IF('Release Calendar'!I66&lt;&gt;"",'Release Calendar'!I66,"")</f>
        <v/>
      </c>
      <c r="R66" s="7" t="str">
        <f>IF('Release Calendar'!J66&lt;&gt;"",'Release Calendar'!J66,"")</f>
        <v/>
      </c>
    </row>
    <row r="67" spans="1:18" ht="20.100000000000001" customHeight="1">
      <c r="A67" s="14">
        <v>63</v>
      </c>
      <c r="B67" s="28" t="str">
        <f>IF('Release Calendar'!B67&lt;&gt;"",'Release Calendar'!B67,"")</f>
        <v/>
      </c>
      <c r="C67" s="29" t="str">
        <f>IF('Release Calendar'!K67&lt;&gt;"",'Release Calendar'!K67,"")</f>
        <v/>
      </c>
      <c r="D67" s="29" t="str">
        <f>IF('Release Calendar'!M67&lt;&gt;"",'Release Calendar'!M67,"")</f>
        <v/>
      </c>
      <c r="E67" s="30" t="str">
        <f>IF(AND(Q67&lt;&gt;"",R67&lt;&gt;"",DATE(2026,2,0)&gt;=Q67,DATE(2026,1,1)&lt;=R67),"█","")</f>
        <v/>
      </c>
      <c r="F67" s="30" t="str">
        <f>IF(AND(Q67&lt;&gt;"",R67&lt;&gt;"",DATE(2026,3,0)&gt;=Q67,DATE(2026,2,1)&lt;=R67),"█","")</f>
        <v/>
      </c>
      <c r="G67" s="30" t="str">
        <f>IF(AND(Q67&lt;&gt;"",R67&lt;&gt;"",DATE(2026,4,0)&gt;=Q67,DATE(2026,3,1)&lt;=R67),"█","")</f>
        <v/>
      </c>
      <c r="H67" s="30" t="str">
        <f>IF(AND(Q67&lt;&gt;"",R67&lt;&gt;"",DATE(2026,5,0)&gt;=Q67,DATE(2026,4,1)&lt;=R67),"█","")</f>
        <v/>
      </c>
      <c r="I67" s="30" t="str">
        <f>IF(AND(Q67&lt;&gt;"",R67&lt;&gt;"",DATE(2026,6,0)&gt;=Q67,DATE(2026,5,1)&lt;=R67),"█","")</f>
        <v/>
      </c>
      <c r="J67" s="30" t="str">
        <f>IF(AND(Q67&lt;&gt;"",R67&lt;&gt;"",DATE(2026,7,0)&gt;=Q67,DATE(2026,6,1)&lt;=R67),"█","")</f>
        <v/>
      </c>
      <c r="K67" s="30" t="str">
        <f>IF(AND(Q67&lt;&gt;"",R67&lt;&gt;"",DATE(2026,8,0)&gt;=Q67,DATE(2026,7,1)&lt;=R67),"█","")</f>
        <v/>
      </c>
      <c r="L67" s="30" t="str">
        <f>IF(AND(Q67&lt;&gt;"",R67&lt;&gt;"",DATE(2026,9,0)&gt;=Q67,DATE(2026,8,1)&lt;=R67),"█","")</f>
        <v/>
      </c>
      <c r="M67" s="30" t="str">
        <f>IF(AND(Q67&lt;&gt;"",R67&lt;&gt;"",DATE(2026,10,0)&gt;=Q67,DATE(2026,9,1)&lt;=R67),"█","")</f>
        <v/>
      </c>
      <c r="N67" s="30" t="str">
        <f>IF(AND(Q67&lt;&gt;"",R67&lt;&gt;"",DATE(2026,11,0)&gt;=Q67,DATE(2026,10,1)&lt;=R67),"█","")</f>
        <v/>
      </c>
      <c r="O67" s="30" t="str">
        <f>IF(AND(Q67&lt;&gt;"",R67&lt;&gt;"",DATE(2026,12,0)&gt;=Q67,DATE(2026,11,1)&lt;=R67),"█","")</f>
        <v/>
      </c>
      <c r="P67" s="30" t="str">
        <f>IF(AND(Q67&lt;&gt;"",R67&lt;&gt;"",DATE(2026,12,31)&gt;=Q67,DATE(2026,12,1)&lt;=R67),"█","")</f>
        <v/>
      </c>
      <c r="Q67" s="7" t="str">
        <f>IF('Release Calendar'!I67&lt;&gt;"",'Release Calendar'!I67,"")</f>
        <v/>
      </c>
      <c r="R67" s="7" t="str">
        <f>IF('Release Calendar'!J67&lt;&gt;"",'Release Calendar'!J67,"")</f>
        <v/>
      </c>
    </row>
    <row r="68" spans="1:18" ht="20.100000000000001" customHeight="1">
      <c r="A68" s="31">
        <v>64</v>
      </c>
      <c r="B68" s="32" t="str">
        <f>IF('Release Calendar'!B68&lt;&gt;"",'Release Calendar'!B68,"")</f>
        <v/>
      </c>
      <c r="C68" s="33" t="str">
        <f>IF('Release Calendar'!K68&lt;&gt;"",'Release Calendar'!K68,"")</f>
        <v/>
      </c>
      <c r="D68" s="33" t="str">
        <f>IF('Release Calendar'!M68&lt;&gt;"",'Release Calendar'!M68,"")</f>
        <v/>
      </c>
      <c r="E68" s="34" t="str">
        <f>IF(AND(Q68&lt;&gt;"",R68&lt;&gt;"",DATE(2026,2,0)&gt;=Q68,DATE(2026,1,1)&lt;=R68),"█","")</f>
        <v/>
      </c>
      <c r="F68" s="34" t="str">
        <f>IF(AND(Q68&lt;&gt;"",R68&lt;&gt;"",DATE(2026,3,0)&gt;=Q68,DATE(2026,2,1)&lt;=R68),"█","")</f>
        <v/>
      </c>
      <c r="G68" s="34" t="str">
        <f>IF(AND(Q68&lt;&gt;"",R68&lt;&gt;"",DATE(2026,4,0)&gt;=Q68,DATE(2026,3,1)&lt;=R68),"█","")</f>
        <v/>
      </c>
      <c r="H68" s="34" t="str">
        <f>IF(AND(Q68&lt;&gt;"",R68&lt;&gt;"",DATE(2026,5,0)&gt;=Q68,DATE(2026,4,1)&lt;=R68),"█","")</f>
        <v/>
      </c>
      <c r="I68" s="34" t="str">
        <f>IF(AND(Q68&lt;&gt;"",R68&lt;&gt;"",DATE(2026,6,0)&gt;=Q68,DATE(2026,5,1)&lt;=R68),"█","")</f>
        <v/>
      </c>
      <c r="J68" s="34" t="str">
        <f>IF(AND(Q68&lt;&gt;"",R68&lt;&gt;"",DATE(2026,7,0)&gt;=Q68,DATE(2026,6,1)&lt;=R68),"█","")</f>
        <v/>
      </c>
      <c r="K68" s="34" t="str">
        <f>IF(AND(Q68&lt;&gt;"",R68&lt;&gt;"",DATE(2026,8,0)&gt;=Q68,DATE(2026,7,1)&lt;=R68),"█","")</f>
        <v/>
      </c>
      <c r="L68" s="34" t="str">
        <f>IF(AND(Q68&lt;&gt;"",R68&lt;&gt;"",DATE(2026,9,0)&gt;=Q68,DATE(2026,8,1)&lt;=R68),"█","")</f>
        <v/>
      </c>
      <c r="M68" s="34" t="str">
        <f>IF(AND(Q68&lt;&gt;"",R68&lt;&gt;"",DATE(2026,10,0)&gt;=Q68,DATE(2026,9,1)&lt;=R68),"█","")</f>
        <v/>
      </c>
      <c r="N68" s="34" t="str">
        <f>IF(AND(Q68&lt;&gt;"",R68&lt;&gt;"",DATE(2026,11,0)&gt;=Q68,DATE(2026,10,1)&lt;=R68),"█","")</f>
        <v/>
      </c>
      <c r="O68" s="34" t="str">
        <f>IF(AND(Q68&lt;&gt;"",R68&lt;&gt;"",DATE(2026,12,0)&gt;=Q68,DATE(2026,11,1)&lt;=R68),"█","")</f>
        <v/>
      </c>
      <c r="P68" s="34" t="str">
        <f>IF(AND(Q68&lt;&gt;"",R68&lt;&gt;"",DATE(2026,12,31)&gt;=Q68,DATE(2026,12,1)&lt;=R68),"█","")</f>
        <v/>
      </c>
      <c r="Q68" s="7" t="str">
        <f>IF('Release Calendar'!I68&lt;&gt;"",'Release Calendar'!I68,"")</f>
        <v/>
      </c>
      <c r="R68" s="7" t="str">
        <f>IF('Release Calendar'!J68&lt;&gt;"",'Release Calendar'!J68,"")</f>
        <v/>
      </c>
    </row>
    <row r="69" spans="1:18" ht="20.100000000000001" customHeight="1">
      <c r="A69" s="14">
        <v>65</v>
      </c>
      <c r="B69" s="28" t="str">
        <f>IF('Release Calendar'!B69&lt;&gt;"",'Release Calendar'!B69,"")</f>
        <v/>
      </c>
      <c r="C69" s="29" t="str">
        <f>IF('Release Calendar'!K69&lt;&gt;"",'Release Calendar'!K69,"")</f>
        <v/>
      </c>
      <c r="D69" s="29" t="str">
        <f>IF('Release Calendar'!M69&lt;&gt;"",'Release Calendar'!M69,"")</f>
        <v/>
      </c>
      <c r="E69" s="30" t="str">
        <f>IF(AND(Q69&lt;&gt;"",R69&lt;&gt;"",DATE(2026,2,0)&gt;=Q69,DATE(2026,1,1)&lt;=R69),"█","")</f>
        <v/>
      </c>
      <c r="F69" s="30" t="str">
        <f>IF(AND(Q69&lt;&gt;"",R69&lt;&gt;"",DATE(2026,3,0)&gt;=Q69,DATE(2026,2,1)&lt;=R69),"█","")</f>
        <v/>
      </c>
      <c r="G69" s="30" t="str">
        <f>IF(AND(Q69&lt;&gt;"",R69&lt;&gt;"",DATE(2026,4,0)&gt;=Q69,DATE(2026,3,1)&lt;=R69),"█","")</f>
        <v/>
      </c>
      <c r="H69" s="30" t="str">
        <f>IF(AND(Q69&lt;&gt;"",R69&lt;&gt;"",DATE(2026,5,0)&gt;=Q69,DATE(2026,4,1)&lt;=R69),"█","")</f>
        <v/>
      </c>
      <c r="I69" s="30" t="str">
        <f>IF(AND(Q69&lt;&gt;"",R69&lt;&gt;"",DATE(2026,6,0)&gt;=Q69,DATE(2026,5,1)&lt;=R69),"█","")</f>
        <v/>
      </c>
      <c r="J69" s="30" t="str">
        <f>IF(AND(Q69&lt;&gt;"",R69&lt;&gt;"",DATE(2026,7,0)&gt;=Q69,DATE(2026,6,1)&lt;=R69),"█","")</f>
        <v/>
      </c>
      <c r="K69" s="30" t="str">
        <f>IF(AND(Q69&lt;&gt;"",R69&lt;&gt;"",DATE(2026,8,0)&gt;=Q69,DATE(2026,7,1)&lt;=R69),"█","")</f>
        <v/>
      </c>
      <c r="L69" s="30" t="str">
        <f>IF(AND(Q69&lt;&gt;"",R69&lt;&gt;"",DATE(2026,9,0)&gt;=Q69,DATE(2026,8,1)&lt;=R69),"█","")</f>
        <v/>
      </c>
      <c r="M69" s="30" t="str">
        <f>IF(AND(Q69&lt;&gt;"",R69&lt;&gt;"",DATE(2026,10,0)&gt;=Q69,DATE(2026,9,1)&lt;=R69),"█","")</f>
        <v/>
      </c>
      <c r="N69" s="30" t="str">
        <f>IF(AND(Q69&lt;&gt;"",R69&lt;&gt;"",DATE(2026,11,0)&gt;=Q69,DATE(2026,10,1)&lt;=R69),"█","")</f>
        <v/>
      </c>
      <c r="O69" s="30" t="str">
        <f>IF(AND(Q69&lt;&gt;"",R69&lt;&gt;"",DATE(2026,12,0)&gt;=Q69,DATE(2026,11,1)&lt;=R69),"█","")</f>
        <v/>
      </c>
      <c r="P69" s="30" t="str">
        <f>IF(AND(Q69&lt;&gt;"",R69&lt;&gt;"",DATE(2026,12,31)&gt;=Q69,DATE(2026,12,1)&lt;=R69),"█","")</f>
        <v/>
      </c>
      <c r="Q69" s="7" t="str">
        <f>IF('Release Calendar'!I69&lt;&gt;"",'Release Calendar'!I69,"")</f>
        <v/>
      </c>
      <c r="R69" s="7" t="str">
        <f>IF('Release Calendar'!J69&lt;&gt;"",'Release Calendar'!J69,"")</f>
        <v/>
      </c>
    </row>
    <row r="70" spans="1:18" ht="20.100000000000001" customHeight="1">
      <c r="A70" s="31">
        <v>66</v>
      </c>
      <c r="B70" s="32" t="str">
        <f>IF('Release Calendar'!B70&lt;&gt;"",'Release Calendar'!B70,"")</f>
        <v/>
      </c>
      <c r="C70" s="33" t="str">
        <f>IF('Release Calendar'!K70&lt;&gt;"",'Release Calendar'!K70,"")</f>
        <v/>
      </c>
      <c r="D70" s="33" t="str">
        <f>IF('Release Calendar'!M70&lt;&gt;"",'Release Calendar'!M70,"")</f>
        <v/>
      </c>
      <c r="E70" s="34" t="str">
        <f>IF(AND(Q70&lt;&gt;"",R70&lt;&gt;"",DATE(2026,2,0)&gt;=Q70,DATE(2026,1,1)&lt;=R70),"█","")</f>
        <v/>
      </c>
      <c r="F70" s="34" t="str">
        <f>IF(AND(Q70&lt;&gt;"",R70&lt;&gt;"",DATE(2026,3,0)&gt;=Q70,DATE(2026,2,1)&lt;=R70),"█","")</f>
        <v/>
      </c>
      <c r="G70" s="34" t="str">
        <f>IF(AND(Q70&lt;&gt;"",R70&lt;&gt;"",DATE(2026,4,0)&gt;=Q70,DATE(2026,3,1)&lt;=R70),"█","")</f>
        <v/>
      </c>
      <c r="H70" s="34" t="str">
        <f>IF(AND(Q70&lt;&gt;"",R70&lt;&gt;"",DATE(2026,5,0)&gt;=Q70,DATE(2026,4,1)&lt;=R70),"█","")</f>
        <v/>
      </c>
      <c r="I70" s="34" t="str">
        <f>IF(AND(Q70&lt;&gt;"",R70&lt;&gt;"",DATE(2026,6,0)&gt;=Q70,DATE(2026,5,1)&lt;=R70),"█","")</f>
        <v/>
      </c>
      <c r="J70" s="34" t="str">
        <f>IF(AND(Q70&lt;&gt;"",R70&lt;&gt;"",DATE(2026,7,0)&gt;=Q70,DATE(2026,6,1)&lt;=R70),"█","")</f>
        <v/>
      </c>
      <c r="K70" s="34" t="str">
        <f>IF(AND(Q70&lt;&gt;"",R70&lt;&gt;"",DATE(2026,8,0)&gt;=Q70,DATE(2026,7,1)&lt;=R70),"█","")</f>
        <v/>
      </c>
      <c r="L70" s="34" t="str">
        <f>IF(AND(Q70&lt;&gt;"",R70&lt;&gt;"",DATE(2026,9,0)&gt;=Q70,DATE(2026,8,1)&lt;=R70),"█","")</f>
        <v/>
      </c>
      <c r="M70" s="34" t="str">
        <f>IF(AND(Q70&lt;&gt;"",R70&lt;&gt;"",DATE(2026,10,0)&gt;=Q70,DATE(2026,9,1)&lt;=R70),"█","")</f>
        <v/>
      </c>
      <c r="N70" s="34" t="str">
        <f>IF(AND(Q70&lt;&gt;"",R70&lt;&gt;"",DATE(2026,11,0)&gt;=Q70,DATE(2026,10,1)&lt;=R70),"█","")</f>
        <v/>
      </c>
      <c r="O70" s="34" t="str">
        <f>IF(AND(Q70&lt;&gt;"",R70&lt;&gt;"",DATE(2026,12,0)&gt;=Q70,DATE(2026,11,1)&lt;=R70),"█","")</f>
        <v/>
      </c>
      <c r="P70" s="34" t="str">
        <f>IF(AND(Q70&lt;&gt;"",R70&lt;&gt;"",DATE(2026,12,31)&gt;=Q70,DATE(2026,12,1)&lt;=R70),"█","")</f>
        <v/>
      </c>
      <c r="Q70" s="7" t="str">
        <f>IF('Release Calendar'!I70&lt;&gt;"",'Release Calendar'!I70,"")</f>
        <v/>
      </c>
      <c r="R70" s="7" t="str">
        <f>IF('Release Calendar'!J70&lt;&gt;"",'Release Calendar'!J70,"")</f>
        <v/>
      </c>
    </row>
    <row r="71" spans="1:18" ht="20.100000000000001" customHeight="1">
      <c r="A71" s="14">
        <v>67</v>
      </c>
      <c r="B71" s="28" t="str">
        <f>IF('Release Calendar'!B71&lt;&gt;"",'Release Calendar'!B71,"")</f>
        <v/>
      </c>
      <c r="C71" s="29" t="str">
        <f>IF('Release Calendar'!K71&lt;&gt;"",'Release Calendar'!K71,"")</f>
        <v/>
      </c>
      <c r="D71" s="29" t="str">
        <f>IF('Release Calendar'!M71&lt;&gt;"",'Release Calendar'!M71,"")</f>
        <v/>
      </c>
      <c r="E71" s="30" t="str">
        <f>IF(AND(Q71&lt;&gt;"",R71&lt;&gt;"",DATE(2026,2,0)&gt;=Q71,DATE(2026,1,1)&lt;=R71),"█","")</f>
        <v/>
      </c>
      <c r="F71" s="30" t="str">
        <f>IF(AND(Q71&lt;&gt;"",R71&lt;&gt;"",DATE(2026,3,0)&gt;=Q71,DATE(2026,2,1)&lt;=R71),"█","")</f>
        <v/>
      </c>
      <c r="G71" s="30" t="str">
        <f>IF(AND(Q71&lt;&gt;"",R71&lt;&gt;"",DATE(2026,4,0)&gt;=Q71,DATE(2026,3,1)&lt;=R71),"█","")</f>
        <v/>
      </c>
      <c r="H71" s="30" t="str">
        <f>IF(AND(Q71&lt;&gt;"",R71&lt;&gt;"",DATE(2026,5,0)&gt;=Q71,DATE(2026,4,1)&lt;=R71),"█","")</f>
        <v/>
      </c>
      <c r="I71" s="30" t="str">
        <f>IF(AND(Q71&lt;&gt;"",R71&lt;&gt;"",DATE(2026,6,0)&gt;=Q71,DATE(2026,5,1)&lt;=R71),"█","")</f>
        <v/>
      </c>
      <c r="J71" s="30" t="str">
        <f>IF(AND(Q71&lt;&gt;"",R71&lt;&gt;"",DATE(2026,7,0)&gt;=Q71,DATE(2026,6,1)&lt;=R71),"█","")</f>
        <v/>
      </c>
      <c r="K71" s="30" t="str">
        <f>IF(AND(Q71&lt;&gt;"",R71&lt;&gt;"",DATE(2026,8,0)&gt;=Q71,DATE(2026,7,1)&lt;=R71),"█","")</f>
        <v/>
      </c>
      <c r="L71" s="30" t="str">
        <f>IF(AND(Q71&lt;&gt;"",R71&lt;&gt;"",DATE(2026,9,0)&gt;=Q71,DATE(2026,8,1)&lt;=R71),"█","")</f>
        <v/>
      </c>
      <c r="M71" s="30" t="str">
        <f>IF(AND(Q71&lt;&gt;"",R71&lt;&gt;"",DATE(2026,10,0)&gt;=Q71,DATE(2026,9,1)&lt;=R71),"█","")</f>
        <v/>
      </c>
      <c r="N71" s="30" t="str">
        <f>IF(AND(Q71&lt;&gt;"",R71&lt;&gt;"",DATE(2026,11,0)&gt;=Q71,DATE(2026,10,1)&lt;=R71),"█","")</f>
        <v/>
      </c>
      <c r="O71" s="30" t="str">
        <f>IF(AND(Q71&lt;&gt;"",R71&lt;&gt;"",DATE(2026,12,0)&gt;=Q71,DATE(2026,11,1)&lt;=R71),"█","")</f>
        <v/>
      </c>
      <c r="P71" s="30" t="str">
        <f>IF(AND(Q71&lt;&gt;"",R71&lt;&gt;"",DATE(2026,12,31)&gt;=Q71,DATE(2026,12,1)&lt;=R71),"█","")</f>
        <v/>
      </c>
      <c r="Q71" s="7" t="str">
        <f>IF('Release Calendar'!I71&lt;&gt;"",'Release Calendar'!I71,"")</f>
        <v/>
      </c>
      <c r="R71" s="7" t="str">
        <f>IF('Release Calendar'!J71&lt;&gt;"",'Release Calendar'!J71,"")</f>
        <v/>
      </c>
    </row>
    <row r="72" spans="1:18" ht="20.100000000000001" customHeight="1">
      <c r="A72" s="31">
        <v>68</v>
      </c>
      <c r="B72" s="32" t="str">
        <f>IF('Release Calendar'!B72&lt;&gt;"",'Release Calendar'!B72,"")</f>
        <v/>
      </c>
      <c r="C72" s="33" t="str">
        <f>IF('Release Calendar'!K72&lt;&gt;"",'Release Calendar'!K72,"")</f>
        <v/>
      </c>
      <c r="D72" s="33" t="str">
        <f>IF('Release Calendar'!M72&lt;&gt;"",'Release Calendar'!M72,"")</f>
        <v/>
      </c>
      <c r="E72" s="34" t="str">
        <f>IF(AND(Q72&lt;&gt;"",R72&lt;&gt;"",DATE(2026,2,0)&gt;=Q72,DATE(2026,1,1)&lt;=R72),"█","")</f>
        <v/>
      </c>
      <c r="F72" s="34" t="str">
        <f>IF(AND(Q72&lt;&gt;"",R72&lt;&gt;"",DATE(2026,3,0)&gt;=Q72,DATE(2026,2,1)&lt;=R72),"█","")</f>
        <v/>
      </c>
      <c r="G72" s="34" t="str">
        <f>IF(AND(Q72&lt;&gt;"",R72&lt;&gt;"",DATE(2026,4,0)&gt;=Q72,DATE(2026,3,1)&lt;=R72),"█","")</f>
        <v/>
      </c>
      <c r="H72" s="34" t="str">
        <f>IF(AND(Q72&lt;&gt;"",R72&lt;&gt;"",DATE(2026,5,0)&gt;=Q72,DATE(2026,4,1)&lt;=R72),"█","")</f>
        <v/>
      </c>
      <c r="I72" s="34" t="str">
        <f>IF(AND(Q72&lt;&gt;"",R72&lt;&gt;"",DATE(2026,6,0)&gt;=Q72,DATE(2026,5,1)&lt;=R72),"█","")</f>
        <v/>
      </c>
      <c r="J72" s="34" t="str">
        <f>IF(AND(Q72&lt;&gt;"",R72&lt;&gt;"",DATE(2026,7,0)&gt;=Q72,DATE(2026,6,1)&lt;=R72),"█","")</f>
        <v/>
      </c>
      <c r="K72" s="34" t="str">
        <f>IF(AND(Q72&lt;&gt;"",R72&lt;&gt;"",DATE(2026,8,0)&gt;=Q72,DATE(2026,7,1)&lt;=R72),"█","")</f>
        <v/>
      </c>
      <c r="L72" s="34" t="str">
        <f>IF(AND(Q72&lt;&gt;"",R72&lt;&gt;"",DATE(2026,9,0)&gt;=Q72,DATE(2026,8,1)&lt;=R72),"█","")</f>
        <v/>
      </c>
      <c r="M72" s="34" t="str">
        <f>IF(AND(Q72&lt;&gt;"",R72&lt;&gt;"",DATE(2026,10,0)&gt;=Q72,DATE(2026,9,1)&lt;=R72),"█","")</f>
        <v/>
      </c>
      <c r="N72" s="34" t="str">
        <f>IF(AND(Q72&lt;&gt;"",R72&lt;&gt;"",DATE(2026,11,0)&gt;=Q72,DATE(2026,10,1)&lt;=R72),"█","")</f>
        <v/>
      </c>
      <c r="O72" s="34" t="str">
        <f>IF(AND(Q72&lt;&gt;"",R72&lt;&gt;"",DATE(2026,12,0)&gt;=Q72,DATE(2026,11,1)&lt;=R72),"█","")</f>
        <v/>
      </c>
      <c r="P72" s="34" t="str">
        <f>IF(AND(Q72&lt;&gt;"",R72&lt;&gt;"",DATE(2026,12,31)&gt;=Q72,DATE(2026,12,1)&lt;=R72),"█","")</f>
        <v/>
      </c>
      <c r="Q72" s="7" t="str">
        <f>IF('Release Calendar'!I72&lt;&gt;"",'Release Calendar'!I72,"")</f>
        <v/>
      </c>
      <c r="R72" s="7" t="str">
        <f>IF('Release Calendar'!J72&lt;&gt;"",'Release Calendar'!J72,"")</f>
        <v/>
      </c>
    </row>
    <row r="73" spans="1:18" ht="20.100000000000001" customHeight="1">
      <c r="A73" s="14">
        <v>69</v>
      </c>
      <c r="B73" s="28" t="str">
        <f>IF('Release Calendar'!B73&lt;&gt;"",'Release Calendar'!B73,"")</f>
        <v/>
      </c>
      <c r="C73" s="29" t="str">
        <f>IF('Release Calendar'!K73&lt;&gt;"",'Release Calendar'!K73,"")</f>
        <v/>
      </c>
      <c r="D73" s="29" t="str">
        <f>IF('Release Calendar'!M73&lt;&gt;"",'Release Calendar'!M73,"")</f>
        <v/>
      </c>
      <c r="E73" s="30" t="str">
        <f>IF(AND(Q73&lt;&gt;"",R73&lt;&gt;"",DATE(2026,2,0)&gt;=Q73,DATE(2026,1,1)&lt;=R73),"█","")</f>
        <v/>
      </c>
      <c r="F73" s="30" t="str">
        <f>IF(AND(Q73&lt;&gt;"",R73&lt;&gt;"",DATE(2026,3,0)&gt;=Q73,DATE(2026,2,1)&lt;=R73),"█","")</f>
        <v/>
      </c>
      <c r="G73" s="30" t="str">
        <f>IF(AND(Q73&lt;&gt;"",R73&lt;&gt;"",DATE(2026,4,0)&gt;=Q73,DATE(2026,3,1)&lt;=R73),"█","")</f>
        <v/>
      </c>
      <c r="H73" s="30" t="str">
        <f>IF(AND(Q73&lt;&gt;"",R73&lt;&gt;"",DATE(2026,5,0)&gt;=Q73,DATE(2026,4,1)&lt;=R73),"█","")</f>
        <v/>
      </c>
      <c r="I73" s="30" t="str">
        <f>IF(AND(Q73&lt;&gt;"",R73&lt;&gt;"",DATE(2026,6,0)&gt;=Q73,DATE(2026,5,1)&lt;=R73),"█","")</f>
        <v/>
      </c>
      <c r="J73" s="30" t="str">
        <f>IF(AND(Q73&lt;&gt;"",R73&lt;&gt;"",DATE(2026,7,0)&gt;=Q73,DATE(2026,6,1)&lt;=R73),"█","")</f>
        <v/>
      </c>
      <c r="K73" s="30" t="str">
        <f>IF(AND(Q73&lt;&gt;"",R73&lt;&gt;"",DATE(2026,8,0)&gt;=Q73,DATE(2026,7,1)&lt;=R73),"█","")</f>
        <v/>
      </c>
      <c r="L73" s="30" t="str">
        <f>IF(AND(Q73&lt;&gt;"",R73&lt;&gt;"",DATE(2026,9,0)&gt;=Q73,DATE(2026,8,1)&lt;=R73),"█","")</f>
        <v/>
      </c>
      <c r="M73" s="30" t="str">
        <f>IF(AND(Q73&lt;&gt;"",R73&lt;&gt;"",DATE(2026,10,0)&gt;=Q73,DATE(2026,9,1)&lt;=R73),"█","")</f>
        <v/>
      </c>
      <c r="N73" s="30" t="str">
        <f>IF(AND(Q73&lt;&gt;"",R73&lt;&gt;"",DATE(2026,11,0)&gt;=Q73,DATE(2026,10,1)&lt;=R73),"█","")</f>
        <v/>
      </c>
      <c r="O73" s="30" t="str">
        <f>IF(AND(Q73&lt;&gt;"",R73&lt;&gt;"",DATE(2026,12,0)&gt;=Q73,DATE(2026,11,1)&lt;=R73),"█","")</f>
        <v/>
      </c>
      <c r="P73" s="30" t="str">
        <f>IF(AND(Q73&lt;&gt;"",R73&lt;&gt;"",DATE(2026,12,31)&gt;=Q73,DATE(2026,12,1)&lt;=R73),"█","")</f>
        <v/>
      </c>
      <c r="Q73" s="7" t="str">
        <f>IF('Release Calendar'!I73&lt;&gt;"",'Release Calendar'!I73,"")</f>
        <v/>
      </c>
      <c r="R73" s="7" t="str">
        <f>IF('Release Calendar'!J73&lt;&gt;"",'Release Calendar'!J73,"")</f>
        <v/>
      </c>
    </row>
    <row r="74" spans="1:18" ht="20.100000000000001" customHeight="1">
      <c r="A74" s="31">
        <v>70</v>
      </c>
      <c r="B74" s="32" t="str">
        <f>IF('Release Calendar'!B74&lt;&gt;"",'Release Calendar'!B74,"")</f>
        <v/>
      </c>
      <c r="C74" s="33" t="str">
        <f>IF('Release Calendar'!K74&lt;&gt;"",'Release Calendar'!K74,"")</f>
        <v/>
      </c>
      <c r="D74" s="33" t="str">
        <f>IF('Release Calendar'!M74&lt;&gt;"",'Release Calendar'!M74,"")</f>
        <v/>
      </c>
      <c r="E74" s="34" t="str">
        <f>IF(AND(Q74&lt;&gt;"",R74&lt;&gt;"",DATE(2026,2,0)&gt;=Q74,DATE(2026,1,1)&lt;=R74),"█","")</f>
        <v/>
      </c>
      <c r="F74" s="34" t="str">
        <f>IF(AND(Q74&lt;&gt;"",R74&lt;&gt;"",DATE(2026,3,0)&gt;=Q74,DATE(2026,2,1)&lt;=R74),"█","")</f>
        <v/>
      </c>
      <c r="G74" s="34" t="str">
        <f>IF(AND(Q74&lt;&gt;"",R74&lt;&gt;"",DATE(2026,4,0)&gt;=Q74,DATE(2026,3,1)&lt;=R74),"█","")</f>
        <v/>
      </c>
      <c r="H74" s="34" t="str">
        <f>IF(AND(Q74&lt;&gt;"",R74&lt;&gt;"",DATE(2026,5,0)&gt;=Q74,DATE(2026,4,1)&lt;=R74),"█","")</f>
        <v/>
      </c>
      <c r="I74" s="34" t="str">
        <f>IF(AND(Q74&lt;&gt;"",R74&lt;&gt;"",DATE(2026,6,0)&gt;=Q74,DATE(2026,5,1)&lt;=R74),"█","")</f>
        <v/>
      </c>
      <c r="J74" s="34" t="str">
        <f>IF(AND(Q74&lt;&gt;"",R74&lt;&gt;"",DATE(2026,7,0)&gt;=Q74,DATE(2026,6,1)&lt;=R74),"█","")</f>
        <v/>
      </c>
      <c r="K74" s="34" t="str">
        <f>IF(AND(Q74&lt;&gt;"",R74&lt;&gt;"",DATE(2026,8,0)&gt;=Q74,DATE(2026,7,1)&lt;=R74),"█","")</f>
        <v/>
      </c>
      <c r="L74" s="34" t="str">
        <f>IF(AND(Q74&lt;&gt;"",R74&lt;&gt;"",DATE(2026,9,0)&gt;=Q74,DATE(2026,8,1)&lt;=R74),"█","")</f>
        <v/>
      </c>
      <c r="M74" s="34" t="str">
        <f>IF(AND(Q74&lt;&gt;"",R74&lt;&gt;"",DATE(2026,10,0)&gt;=Q74,DATE(2026,9,1)&lt;=R74),"█","")</f>
        <v/>
      </c>
      <c r="N74" s="34" t="str">
        <f>IF(AND(Q74&lt;&gt;"",R74&lt;&gt;"",DATE(2026,11,0)&gt;=Q74,DATE(2026,10,1)&lt;=R74),"█","")</f>
        <v/>
      </c>
      <c r="O74" s="34" t="str">
        <f>IF(AND(Q74&lt;&gt;"",R74&lt;&gt;"",DATE(2026,12,0)&gt;=Q74,DATE(2026,11,1)&lt;=R74),"█","")</f>
        <v/>
      </c>
      <c r="P74" s="34" t="str">
        <f>IF(AND(Q74&lt;&gt;"",R74&lt;&gt;"",DATE(2026,12,31)&gt;=Q74,DATE(2026,12,1)&lt;=R74),"█","")</f>
        <v/>
      </c>
      <c r="Q74" s="7" t="str">
        <f>IF('Release Calendar'!I74&lt;&gt;"",'Release Calendar'!I74,"")</f>
        <v/>
      </c>
      <c r="R74" s="7" t="str">
        <f>IF('Release Calendar'!J74&lt;&gt;"",'Release Calendar'!J74,"")</f>
        <v/>
      </c>
    </row>
    <row r="75" spans="1:18" ht="20.100000000000001" customHeight="1">
      <c r="A75" s="14">
        <v>71</v>
      </c>
      <c r="B75" s="28" t="str">
        <f>IF('Release Calendar'!B75&lt;&gt;"",'Release Calendar'!B75,"")</f>
        <v/>
      </c>
      <c r="C75" s="29" t="str">
        <f>IF('Release Calendar'!K75&lt;&gt;"",'Release Calendar'!K75,"")</f>
        <v/>
      </c>
      <c r="D75" s="29" t="str">
        <f>IF('Release Calendar'!M75&lt;&gt;"",'Release Calendar'!M75,"")</f>
        <v/>
      </c>
      <c r="E75" s="30" t="str">
        <f>IF(AND(Q75&lt;&gt;"",R75&lt;&gt;"",DATE(2026,2,0)&gt;=Q75,DATE(2026,1,1)&lt;=R75),"█","")</f>
        <v/>
      </c>
      <c r="F75" s="30" t="str">
        <f>IF(AND(Q75&lt;&gt;"",R75&lt;&gt;"",DATE(2026,3,0)&gt;=Q75,DATE(2026,2,1)&lt;=R75),"█","")</f>
        <v/>
      </c>
      <c r="G75" s="30" t="str">
        <f>IF(AND(Q75&lt;&gt;"",R75&lt;&gt;"",DATE(2026,4,0)&gt;=Q75,DATE(2026,3,1)&lt;=R75),"█","")</f>
        <v/>
      </c>
      <c r="H75" s="30" t="str">
        <f>IF(AND(Q75&lt;&gt;"",R75&lt;&gt;"",DATE(2026,5,0)&gt;=Q75,DATE(2026,4,1)&lt;=R75),"█","")</f>
        <v/>
      </c>
      <c r="I75" s="30" t="str">
        <f>IF(AND(Q75&lt;&gt;"",R75&lt;&gt;"",DATE(2026,6,0)&gt;=Q75,DATE(2026,5,1)&lt;=R75),"█","")</f>
        <v/>
      </c>
      <c r="J75" s="30" t="str">
        <f>IF(AND(Q75&lt;&gt;"",R75&lt;&gt;"",DATE(2026,7,0)&gt;=Q75,DATE(2026,6,1)&lt;=R75),"█","")</f>
        <v/>
      </c>
      <c r="K75" s="30" t="str">
        <f>IF(AND(Q75&lt;&gt;"",R75&lt;&gt;"",DATE(2026,8,0)&gt;=Q75,DATE(2026,7,1)&lt;=R75),"█","")</f>
        <v/>
      </c>
      <c r="L75" s="30" t="str">
        <f>IF(AND(Q75&lt;&gt;"",R75&lt;&gt;"",DATE(2026,9,0)&gt;=Q75,DATE(2026,8,1)&lt;=R75),"█","")</f>
        <v/>
      </c>
      <c r="M75" s="30" t="str">
        <f>IF(AND(Q75&lt;&gt;"",R75&lt;&gt;"",DATE(2026,10,0)&gt;=Q75,DATE(2026,9,1)&lt;=R75),"█","")</f>
        <v/>
      </c>
      <c r="N75" s="30" t="str">
        <f>IF(AND(Q75&lt;&gt;"",R75&lt;&gt;"",DATE(2026,11,0)&gt;=Q75,DATE(2026,10,1)&lt;=R75),"█","")</f>
        <v/>
      </c>
      <c r="O75" s="30" t="str">
        <f>IF(AND(Q75&lt;&gt;"",R75&lt;&gt;"",DATE(2026,12,0)&gt;=Q75,DATE(2026,11,1)&lt;=R75),"█","")</f>
        <v/>
      </c>
      <c r="P75" s="30" t="str">
        <f>IF(AND(Q75&lt;&gt;"",R75&lt;&gt;"",DATE(2026,12,31)&gt;=Q75,DATE(2026,12,1)&lt;=R75),"█","")</f>
        <v/>
      </c>
      <c r="Q75" s="7" t="str">
        <f>IF('Release Calendar'!I75&lt;&gt;"",'Release Calendar'!I75,"")</f>
        <v/>
      </c>
      <c r="R75" s="7" t="str">
        <f>IF('Release Calendar'!J75&lt;&gt;"",'Release Calendar'!J75,"")</f>
        <v/>
      </c>
    </row>
    <row r="76" spans="1:18" ht="20.100000000000001" customHeight="1">
      <c r="A76" s="31">
        <v>72</v>
      </c>
      <c r="B76" s="32" t="str">
        <f>IF('Release Calendar'!B76&lt;&gt;"",'Release Calendar'!B76,"")</f>
        <v/>
      </c>
      <c r="C76" s="33" t="str">
        <f>IF('Release Calendar'!K76&lt;&gt;"",'Release Calendar'!K76,"")</f>
        <v/>
      </c>
      <c r="D76" s="33" t="str">
        <f>IF('Release Calendar'!M76&lt;&gt;"",'Release Calendar'!M76,"")</f>
        <v/>
      </c>
      <c r="E76" s="34" t="str">
        <f>IF(AND(Q76&lt;&gt;"",R76&lt;&gt;"",DATE(2026,2,0)&gt;=Q76,DATE(2026,1,1)&lt;=R76),"█","")</f>
        <v/>
      </c>
      <c r="F76" s="34" t="str">
        <f>IF(AND(Q76&lt;&gt;"",R76&lt;&gt;"",DATE(2026,3,0)&gt;=Q76,DATE(2026,2,1)&lt;=R76),"█","")</f>
        <v/>
      </c>
      <c r="G76" s="34" t="str">
        <f>IF(AND(Q76&lt;&gt;"",R76&lt;&gt;"",DATE(2026,4,0)&gt;=Q76,DATE(2026,3,1)&lt;=R76),"█","")</f>
        <v/>
      </c>
      <c r="H76" s="34" t="str">
        <f>IF(AND(Q76&lt;&gt;"",R76&lt;&gt;"",DATE(2026,5,0)&gt;=Q76,DATE(2026,4,1)&lt;=R76),"█","")</f>
        <v/>
      </c>
      <c r="I76" s="34" t="str">
        <f>IF(AND(Q76&lt;&gt;"",R76&lt;&gt;"",DATE(2026,6,0)&gt;=Q76,DATE(2026,5,1)&lt;=R76),"█","")</f>
        <v/>
      </c>
      <c r="J76" s="34" t="str">
        <f>IF(AND(Q76&lt;&gt;"",R76&lt;&gt;"",DATE(2026,7,0)&gt;=Q76,DATE(2026,6,1)&lt;=R76),"█","")</f>
        <v/>
      </c>
      <c r="K76" s="34" t="str">
        <f>IF(AND(Q76&lt;&gt;"",R76&lt;&gt;"",DATE(2026,8,0)&gt;=Q76,DATE(2026,7,1)&lt;=R76),"█","")</f>
        <v/>
      </c>
      <c r="L76" s="34" t="str">
        <f>IF(AND(Q76&lt;&gt;"",R76&lt;&gt;"",DATE(2026,9,0)&gt;=Q76,DATE(2026,8,1)&lt;=R76),"█","")</f>
        <v/>
      </c>
      <c r="M76" s="34" t="str">
        <f>IF(AND(Q76&lt;&gt;"",R76&lt;&gt;"",DATE(2026,10,0)&gt;=Q76,DATE(2026,9,1)&lt;=R76),"█","")</f>
        <v/>
      </c>
      <c r="N76" s="34" t="str">
        <f>IF(AND(Q76&lt;&gt;"",R76&lt;&gt;"",DATE(2026,11,0)&gt;=Q76,DATE(2026,10,1)&lt;=R76),"█","")</f>
        <v/>
      </c>
      <c r="O76" s="34" t="str">
        <f>IF(AND(Q76&lt;&gt;"",R76&lt;&gt;"",DATE(2026,12,0)&gt;=Q76,DATE(2026,11,1)&lt;=R76),"█","")</f>
        <v/>
      </c>
      <c r="P76" s="34" t="str">
        <f>IF(AND(Q76&lt;&gt;"",R76&lt;&gt;"",DATE(2026,12,31)&gt;=Q76,DATE(2026,12,1)&lt;=R76),"█","")</f>
        <v/>
      </c>
      <c r="Q76" s="7" t="str">
        <f>IF('Release Calendar'!I76&lt;&gt;"",'Release Calendar'!I76,"")</f>
        <v/>
      </c>
      <c r="R76" s="7" t="str">
        <f>IF('Release Calendar'!J76&lt;&gt;"",'Release Calendar'!J76,"")</f>
        <v/>
      </c>
    </row>
    <row r="77" spans="1:18" ht="20.100000000000001" customHeight="1">
      <c r="A77" s="14">
        <v>73</v>
      </c>
      <c r="B77" s="28" t="str">
        <f>IF('Release Calendar'!B77&lt;&gt;"",'Release Calendar'!B77,"")</f>
        <v/>
      </c>
      <c r="C77" s="29" t="str">
        <f>IF('Release Calendar'!K77&lt;&gt;"",'Release Calendar'!K77,"")</f>
        <v/>
      </c>
      <c r="D77" s="29" t="str">
        <f>IF('Release Calendar'!M77&lt;&gt;"",'Release Calendar'!M77,"")</f>
        <v/>
      </c>
      <c r="E77" s="30" t="str">
        <f>IF(AND(Q77&lt;&gt;"",R77&lt;&gt;"",DATE(2026,2,0)&gt;=Q77,DATE(2026,1,1)&lt;=R77),"█","")</f>
        <v/>
      </c>
      <c r="F77" s="30" t="str">
        <f>IF(AND(Q77&lt;&gt;"",R77&lt;&gt;"",DATE(2026,3,0)&gt;=Q77,DATE(2026,2,1)&lt;=R77),"█","")</f>
        <v/>
      </c>
      <c r="G77" s="30" t="str">
        <f>IF(AND(Q77&lt;&gt;"",R77&lt;&gt;"",DATE(2026,4,0)&gt;=Q77,DATE(2026,3,1)&lt;=R77),"█","")</f>
        <v/>
      </c>
      <c r="H77" s="30" t="str">
        <f>IF(AND(Q77&lt;&gt;"",R77&lt;&gt;"",DATE(2026,5,0)&gt;=Q77,DATE(2026,4,1)&lt;=R77),"█","")</f>
        <v/>
      </c>
      <c r="I77" s="30" t="str">
        <f>IF(AND(Q77&lt;&gt;"",R77&lt;&gt;"",DATE(2026,6,0)&gt;=Q77,DATE(2026,5,1)&lt;=R77),"█","")</f>
        <v/>
      </c>
      <c r="J77" s="30" t="str">
        <f>IF(AND(Q77&lt;&gt;"",R77&lt;&gt;"",DATE(2026,7,0)&gt;=Q77,DATE(2026,6,1)&lt;=R77),"█","")</f>
        <v/>
      </c>
      <c r="K77" s="30" t="str">
        <f>IF(AND(Q77&lt;&gt;"",R77&lt;&gt;"",DATE(2026,8,0)&gt;=Q77,DATE(2026,7,1)&lt;=R77),"█","")</f>
        <v/>
      </c>
      <c r="L77" s="30" t="str">
        <f>IF(AND(Q77&lt;&gt;"",R77&lt;&gt;"",DATE(2026,9,0)&gt;=Q77,DATE(2026,8,1)&lt;=R77),"█","")</f>
        <v/>
      </c>
      <c r="M77" s="30" t="str">
        <f>IF(AND(Q77&lt;&gt;"",R77&lt;&gt;"",DATE(2026,10,0)&gt;=Q77,DATE(2026,9,1)&lt;=R77),"█","")</f>
        <v/>
      </c>
      <c r="N77" s="30" t="str">
        <f>IF(AND(Q77&lt;&gt;"",R77&lt;&gt;"",DATE(2026,11,0)&gt;=Q77,DATE(2026,10,1)&lt;=R77),"█","")</f>
        <v/>
      </c>
      <c r="O77" s="30" t="str">
        <f>IF(AND(Q77&lt;&gt;"",R77&lt;&gt;"",DATE(2026,12,0)&gt;=Q77,DATE(2026,11,1)&lt;=R77),"█","")</f>
        <v/>
      </c>
      <c r="P77" s="30" t="str">
        <f>IF(AND(Q77&lt;&gt;"",R77&lt;&gt;"",DATE(2026,12,31)&gt;=Q77,DATE(2026,12,1)&lt;=R77),"█","")</f>
        <v/>
      </c>
      <c r="Q77" s="7" t="str">
        <f>IF('Release Calendar'!I77&lt;&gt;"",'Release Calendar'!I77,"")</f>
        <v/>
      </c>
      <c r="R77" s="7" t="str">
        <f>IF('Release Calendar'!J77&lt;&gt;"",'Release Calendar'!J77,"")</f>
        <v/>
      </c>
    </row>
    <row r="78" spans="1:18" ht="20.100000000000001" customHeight="1">
      <c r="A78" s="31">
        <v>74</v>
      </c>
      <c r="B78" s="32" t="str">
        <f>IF('Release Calendar'!B78&lt;&gt;"",'Release Calendar'!B78,"")</f>
        <v/>
      </c>
      <c r="C78" s="33" t="str">
        <f>IF('Release Calendar'!K78&lt;&gt;"",'Release Calendar'!K78,"")</f>
        <v/>
      </c>
      <c r="D78" s="33" t="str">
        <f>IF('Release Calendar'!M78&lt;&gt;"",'Release Calendar'!M78,"")</f>
        <v/>
      </c>
      <c r="E78" s="34" t="str">
        <f>IF(AND(Q78&lt;&gt;"",R78&lt;&gt;"",DATE(2026,2,0)&gt;=Q78,DATE(2026,1,1)&lt;=R78),"█","")</f>
        <v/>
      </c>
      <c r="F78" s="34" t="str">
        <f>IF(AND(Q78&lt;&gt;"",R78&lt;&gt;"",DATE(2026,3,0)&gt;=Q78,DATE(2026,2,1)&lt;=R78),"█","")</f>
        <v/>
      </c>
      <c r="G78" s="34" t="str">
        <f>IF(AND(Q78&lt;&gt;"",R78&lt;&gt;"",DATE(2026,4,0)&gt;=Q78,DATE(2026,3,1)&lt;=R78),"█","")</f>
        <v/>
      </c>
      <c r="H78" s="34" t="str">
        <f>IF(AND(Q78&lt;&gt;"",R78&lt;&gt;"",DATE(2026,5,0)&gt;=Q78,DATE(2026,4,1)&lt;=R78),"█","")</f>
        <v/>
      </c>
      <c r="I78" s="34" t="str">
        <f>IF(AND(Q78&lt;&gt;"",R78&lt;&gt;"",DATE(2026,6,0)&gt;=Q78,DATE(2026,5,1)&lt;=R78),"█","")</f>
        <v/>
      </c>
      <c r="J78" s="34" t="str">
        <f>IF(AND(Q78&lt;&gt;"",R78&lt;&gt;"",DATE(2026,7,0)&gt;=Q78,DATE(2026,6,1)&lt;=R78),"█","")</f>
        <v/>
      </c>
      <c r="K78" s="34" t="str">
        <f>IF(AND(Q78&lt;&gt;"",R78&lt;&gt;"",DATE(2026,8,0)&gt;=Q78,DATE(2026,7,1)&lt;=R78),"█","")</f>
        <v/>
      </c>
      <c r="L78" s="34" t="str">
        <f>IF(AND(Q78&lt;&gt;"",R78&lt;&gt;"",DATE(2026,9,0)&gt;=Q78,DATE(2026,8,1)&lt;=R78),"█","")</f>
        <v/>
      </c>
      <c r="M78" s="34" t="str">
        <f>IF(AND(Q78&lt;&gt;"",R78&lt;&gt;"",DATE(2026,10,0)&gt;=Q78,DATE(2026,9,1)&lt;=R78),"█","")</f>
        <v/>
      </c>
      <c r="N78" s="34" t="str">
        <f>IF(AND(Q78&lt;&gt;"",R78&lt;&gt;"",DATE(2026,11,0)&gt;=Q78,DATE(2026,10,1)&lt;=R78),"█","")</f>
        <v/>
      </c>
      <c r="O78" s="34" t="str">
        <f>IF(AND(Q78&lt;&gt;"",R78&lt;&gt;"",DATE(2026,12,0)&gt;=Q78,DATE(2026,11,1)&lt;=R78),"█","")</f>
        <v/>
      </c>
      <c r="P78" s="34" t="str">
        <f>IF(AND(Q78&lt;&gt;"",R78&lt;&gt;"",DATE(2026,12,31)&gt;=Q78,DATE(2026,12,1)&lt;=R78),"█","")</f>
        <v/>
      </c>
      <c r="Q78" s="7" t="str">
        <f>IF('Release Calendar'!I78&lt;&gt;"",'Release Calendar'!I78,"")</f>
        <v/>
      </c>
      <c r="R78" s="7" t="str">
        <f>IF('Release Calendar'!J78&lt;&gt;"",'Release Calendar'!J78,"")</f>
        <v/>
      </c>
    </row>
    <row r="79" spans="1:18" ht="20.100000000000001" customHeight="1">
      <c r="A79" s="14">
        <v>75</v>
      </c>
      <c r="B79" s="28" t="str">
        <f>IF('Release Calendar'!B79&lt;&gt;"",'Release Calendar'!B79,"")</f>
        <v/>
      </c>
      <c r="C79" s="29" t="str">
        <f>IF('Release Calendar'!K79&lt;&gt;"",'Release Calendar'!K79,"")</f>
        <v/>
      </c>
      <c r="D79" s="29" t="str">
        <f>IF('Release Calendar'!M79&lt;&gt;"",'Release Calendar'!M79,"")</f>
        <v/>
      </c>
      <c r="E79" s="30" t="str">
        <f>IF(AND(Q79&lt;&gt;"",R79&lt;&gt;"",DATE(2026,2,0)&gt;=Q79,DATE(2026,1,1)&lt;=R79),"█","")</f>
        <v/>
      </c>
      <c r="F79" s="30" t="str">
        <f>IF(AND(Q79&lt;&gt;"",R79&lt;&gt;"",DATE(2026,3,0)&gt;=Q79,DATE(2026,2,1)&lt;=R79),"█","")</f>
        <v/>
      </c>
      <c r="G79" s="30" t="str">
        <f>IF(AND(Q79&lt;&gt;"",R79&lt;&gt;"",DATE(2026,4,0)&gt;=Q79,DATE(2026,3,1)&lt;=R79),"█","")</f>
        <v/>
      </c>
      <c r="H79" s="30" t="str">
        <f>IF(AND(Q79&lt;&gt;"",R79&lt;&gt;"",DATE(2026,5,0)&gt;=Q79,DATE(2026,4,1)&lt;=R79),"█","")</f>
        <v/>
      </c>
      <c r="I79" s="30" t="str">
        <f>IF(AND(Q79&lt;&gt;"",R79&lt;&gt;"",DATE(2026,6,0)&gt;=Q79,DATE(2026,5,1)&lt;=R79),"█","")</f>
        <v/>
      </c>
      <c r="J79" s="30" t="str">
        <f>IF(AND(Q79&lt;&gt;"",R79&lt;&gt;"",DATE(2026,7,0)&gt;=Q79,DATE(2026,6,1)&lt;=R79),"█","")</f>
        <v/>
      </c>
      <c r="K79" s="30" t="str">
        <f>IF(AND(Q79&lt;&gt;"",R79&lt;&gt;"",DATE(2026,8,0)&gt;=Q79,DATE(2026,7,1)&lt;=R79),"█","")</f>
        <v/>
      </c>
      <c r="L79" s="30" t="str">
        <f>IF(AND(Q79&lt;&gt;"",R79&lt;&gt;"",DATE(2026,9,0)&gt;=Q79,DATE(2026,8,1)&lt;=R79),"█","")</f>
        <v/>
      </c>
      <c r="M79" s="30" t="str">
        <f>IF(AND(Q79&lt;&gt;"",R79&lt;&gt;"",DATE(2026,10,0)&gt;=Q79,DATE(2026,9,1)&lt;=R79),"█","")</f>
        <v/>
      </c>
      <c r="N79" s="30" t="str">
        <f>IF(AND(Q79&lt;&gt;"",R79&lt;&gt;"",DATE(2026,11,0)&gt;=Q79,DATE(2026,10,1)&lt;=R79),"█","")</f>
        <v/>
      </c>
      <c r="O79" s="30" t="str">
        <f>IF(AND(Q79&lt;&gt;"",R79&lt;&gt;"",DATE(2026,12,0)&gt;=Q79,DATE(2026,11,1)&lt;=R79),"█","")</f>
        <v/>
      </c>
      <c r="P79" s="30" t="str">
        <f>IF(AND(Q79&lt;&gt;"",R79&lt;&gt;"",DATE(2026,12,31)&gt;=Q79,DATE(2026,12,1)&lt;=R79),"█","")</f>
        <v/>
      </c>
      <c r="Q79" s="7" t="str">
        <f>IF('Release Calendar'!I79&lt;&gt;"",'Release Calendar'!I79,"")</f>
        <v/>
      </c>
      <c r="R79" s="7" t="str">
        <f>IF('Release Calendar'!J79&lt;&gt;"",'Release Calendar'!J79,"")</f>
        <v/>
      </c>
    </row>
    <row r="80" spans="1:18" ht="20.100000000000001" customHeight="1">
      <c r="A80" s="31">
        <v>76</v>
      </c>
      <c r="B80" s="32" t="str">
        <f>IF('Release Calendar'!B80&lt;&gt;"",'Release Calendar'!B80,"")</f>
        <v/>
      </c>
      <c r="C80" s="33" t="str">
        <f>IF('Release Calendar'!K80&lt;&gt;"",'Release Calendar'!K80,"")</f>
        <v/>
      </c>
      <c r="D80" s="33" t="str">
        <f>IF('Release Calendar'!M80&lt;&gt;"",'Release Calendar'!M80,"")</f>
        <v/>
      </c>
      <c r="E80" s="34" t="str">
        <f>IF(AND(Q80&lt;&gt;"",R80&lt;&gt;"",DATE(2026,2,0)&gt;=Q80,DATE(2026,1,1)&lt;=R80),"█","")</f>
        <v/>
      </c>
      <c r="F80" s="34" t="str">
        <f>IF(AND(Q80&lt;&gt;"",R80&lt;&gt;"",DATE(2026,3,0)&gt;=Q80,DATE(2026,2,1)&lt;=R80),"█","")</f>
        <v/>
      </c>
      <c r="G80" s="34" t="str">
        <f>IF(AND(Q80&lt;&gt;"",R80&lt;&gt;"",DATE(2026,4,0)&gt;=Q80,DATE(2026,3,1)&lt;=R80),"█","")</f>
        <v/>
      </c>
      <c r="H80" s="34" t="str">
        <f>IF(AND(Q80&lt;&gt;"",R80&lt;&gt;"",DATE(2026,5,0)&gt;=Q80,DATE(2026,4,1)&lt;=R80),"█","")</f>
        <v/>
      </c>
      <c r="I80" s="34" t="str">
        <f>IF(AND(Q80&lt;&gt;"",R80&lt;&gt;"",DATE(2026,6,0)&gt;=Q80,DATE(2026,5,1)&lt;=R80),"█","")</f>
        <v/>
      </c>
      <c r="J80" s="34" t="str">
        <f>IF(AND(Q80&lt;&gt;"",R80&lt;&gt;"",DATE(2026,7,0)&gt;=Q80,DATE(2026,6,1)&lt;=R80),"█","")</f>
        <v/>
      </c>
      <c r="K80" s="34" t="str">
        <f>IF(AND(Q80&lt;&gt;"",R80&lt;&gt;"",DATE(2026,8,0)&gt;=Q80,DATE(2026,7,1)&lt;=R80),"█","")</f>
        <v/>
      </c>
      <c r="L80" s="34" t="str">
        <f>IF(AND(Q80&lt;&gt;"",R80&lt;&gt;"",DATE(2026,9,0)&gt;=Q80,DATE(2026,8,1)&lt;=R80),"█","")</f>
        <v/>
      </c>
      <c r="M80" s="34" t="str">
        <f>IF(AND(Q80&lt;&gt;"",R80&lt;&gt;"",DATE(2026,10,0)&gt;=Q80,DATE(2026,9,1)&lt;=R80),"█","")</f>
        <v/>
      </c>
      <c r="N80" s="34" t="str">
        <f>IF(AND(Q80&lt;&gt;"",R80&lt;&gt;"",DATE(2026,11,0)&gt;=Q80,DATE(2026,10,1)&lt;=R80),"█","")</f>
        <v/>
      </c>
      <c r="O80" s="34" t="str">
        <f>IF(AND(Q80&lt;&gt;"",R80&lt;&gt;"",DATE(2026,12,0)&gt;=Q80,DATE(2026,11,1)&lt;=R80),"█","")</f>
        <v/>
      </c>
      <c r="P80" s="34" t="str">
        <f>IF(AND(Q80&lt;&gt;"",R80&lt;&gt;"",DATE(2026,12,31)&gt;=Q80,DATE(2026,12,1)&lt;=R80),"█","")</f>
        <v/>
      </c>
      <c r="Q80" s="7" t="str">
        <f>IF('Release Calendar'!I80&lt;&gt;"",'Release Calendar'!I80,"")</f>
        <v/>
      </c>
      <c r="R80" s="7" t="str">
        <f>IF('Release Calendar'!J80&lt;&gt;"",'Release Calendar'!J80,"")</f>
        <v/>
      </c>
    </row>
    <row r="81" spans="1:18" ht="20.100000000000001" customHeight="1">
      <c r="A81" s="14">
        <v>77</v>
      </c>
      <c r="B81" s="28" t="str">
        <f>IF('Release Calendar'!B81&lt;&gt;"",'Release Calendar'!B81,"")</f>
        <v/>
      </c>
      <c r="C81" s="29" t="str">
        <f>IF('Release Calendar'!K81&lt;&gt;"",'Release Calendar'!K81,"")</f>
        <v/>
      </c>
      <c r="D81" s="29" t="str">
        <f>IF('Release Calendar'!M81&lt;&gt;"",'Release Calendar'!M81,"")</f>
        <v/>
      </c>
      <c r="E81" s="30" t="str">
        <f>IF(AND(Q81&lt;&gt;"",R81&lt;&gt;"",DATE(2026,2,0)&gt;=Q81,DATE(2026,1,1)&lt;=R81),"█","")</f>
        <v/>
      </c>
      <c r="F81" s="30" t="str">
        <f>IF(AND(Q81&lt;&gt;"",R81&lt;&gt;"",DATE(2026,3,0)&gt;=Q81,DATE(2026,2,1)&lt;=R81),"█","")</f>
        <v/>
      </c>
      <c r="G81" s="30" t="str">
        <f>IF(AND(Q81&lt;&gt;"",R81&lt;&gt;"",DATE(2026,4,0)&gt;=Q81,DATE(2026,3,1)&lt;=R81),"█","")</f>
        <v/>
      </c>
      <c r="H81" s="30" t="str">
        <f>IF(AND(Q81&lt;&gt;"",R81&lt;&gt;"",DATE(2026,5,0)&gt;=Q81,DATE(2026,4,1)&lt;=R81),"█","")</f>
        <v/>
      </c>
      <c r="I81" s="30" t="str">
        <f>IF(AND(Q81&lt;&gt;"",R81&lt;&gt;"",DATE(2026,6,0)&gt;=Q81,DATE(2026,5,1)&lt;=R81),"█","")</f>
        <v/>
      </c>
      <c r="J81" s="30" t="str">
        <f>IF(AND(Q81&lt;&gt;"",R81&lt;&gt;"",DATE(2026,7,0)&gt;=Q81,DATE(2026,6,1)&lt;=R81),"█","")</f>
        <v/>
      </c>
      <c r="K81" s="30" t="str">
        <f>IF(AND(Q81&lt;&gt;"",R81&lt;&gt;"",DATE(2026,8,0)&gt;=Q81,DATE(2026,7,1)&lt;=R81),"█","")</f>
        <v/>
      </c>
      <c r="L81" s="30" t="str">
        <f>IF(AND(Q81&lt;&gt;"",R81&lt;&gt;"",DATE(2026,9,0)&gt;=Q81,DATE(2026,8,1)&lt;=R81),"█","")</f>
        <v/>
      </c>
      <c r="M81" s="30" t="str">
        <f>IF(AND(Q81&lt;&gt;"",R81&lt;&gt;"",DATE(2026,10,0)&gt;=Q81,DATE(2026,9,1)&lt;=R81),"█","")</f>
        <v/>
      </c>
      <c r="N81" s="30" t="str">
        <f>IF(AND(Q81&lt;&gt;"",R81&lt;&gt;"",DATE(2026,11,0)&gt;=Q81,DATE(2026,10,1)&lt;=R81),"█","")</f>
        <v/>
      </c>
      <c r="O81" s="30" t="str">
        <f>IF(AND(Q81&lt;&gt;"",R81&lt;&gt;"",DATE(2026,12,0)&gt;=Q81,DATE(2026,11,1)&lt;=R81),"█","")</f>
        <v/>
      </c>
      <c r="P81" s="30" t="str">
        <f>IF(AND(Q81&lt;&gt;"",R81&lt;&gt;"",DATE(2026,12,31)&gt;=Q81,DATE(2026,12,1)&lt;=R81),"█","")</f>
        <v/>
      </c>
      <c r="Q81" s="7" t="str">
        <f>IF('Release Calendar'!I81&lt;&gt;"",'Release Calendar'!I81,"")</f>
        <v/>
      </c>
      <c r="R81" s="7" t="str">
        <f>IF('Release Calendar'!J81&lt;&gt;"",'Release Calendar'!J81,"")</f>
        <v/>
      </c>
    </row>
    <row r="82" spans="1:18" ht="20.100000000000001" customHeight="1">
      <c r="A82" s="31">
        <v>78</v>
      </c>
      <c r="B82" s="32" t="str">
        <f>IF('Release Calendar'!B82&lt;&gt;"",'Release Calendar'!B82,"")</f>
        <v/>
      </c>
      <c r="C82" s="33" t="str">
        <f>IF('Release Calendar'!K82&lt;&gt;"",'Release Calendar'!K82,"")</f>
        <v/>
      </c>
      <c r="D82" s="33" t="str">
        <f>IF('Release Calendar'!M82&lt;&gt;"",'Release Calendar'!M82,"")</f>
        <v/>
      </c>
      <c r="E82" s="34" t="str">
        <f>IF(AND(Q82&lt;&gt;"",R82&lt;&gt;"",DATE(2026,2,0)&gt;=Q82,DATE(2026,1,1)&lt;=R82),"█","")</f>
        <v/>
      </c>
      <c r="F82" s="34" t="str">
        <f>IF(AND(Q82&lt;&gt;"",R82&lt;&gt;"",DATE(2026,3,0)&gt;=Q82,DATE(2026,2,1)&lt;=R82),"█","")</f>
        <v/>
      </c>
      <c r="G82" s="34" t="str">
        <f>IF(AND(Q82&lt;&gt;"",R82&lt;&gt;"",DATE(2026,4,0)&gt;=Q82,DATE(2026,3,1)&lt;=R82),"█","")</f>
        <v/>
      </c>
      <c r="H82" s="34" t="str">
        <f>IF(AND(Q82&lt;&gt;"",R82&lt;&gt;"",DATE(2026,5,0)&gt;=Q82,DATE(2026,4,1)&lt;=R82),"█","")</f>
        <v/>
      </c>
      <c r="I82" s="34" t="str">
        <f>IF(AND(Q82&lt;&gt;"",R82&lt;&gt;"",DATE(2026,6,0)&gt;=Q82,DATE(2026,5,1)&lt;=R82),"█","")</f>
        <v/>
      </c>
      <c r="J82" s="34" t="str">
        <f>IF(AND(Q82&lt;&gt;"",R82&lt;&gt;"",DATE(2026,7,0)&gt;=Q82,DATE(2026,6,1)&lt;=R82),"█","")</f>
        <v/>
      </c>
      <c r="K82" s="34" t="str">
        <f>IF(AND(Q82&lt;&gt;"",R82&lt;&gt;"",DATE(2026,8,0)&gt;=Q82,DATE(2026,7,1)&lt;=R82),"█","")</f>
        <v/>
      </c>
      <c r="L82" s="34" t="str">
        <f>IF(AND(Q82&lt;&gt;"",R82&lt;&gt;"",DATE(2026,9,0)&gt;=Q82,DATE(2026,8,1)&lt;=R82),"█","")</f>
        <v/>
      </c>
      <c r="M82" s="34" t="str">
        <f>IF(AND(Q82&lt;&gt;"",R82&lt;&gt;"",DATE(2026,10,0)&gt;=Q82,DATE(2026,9,1)&lt;=R82),"█","")</f>
        <v/>
      </c>
      <c r="N82" s="34" t="str">
        <f>IF(AND(Q82&lt;&gt;"",R82&lt;&gt;"",DATE(2026,11,0)&gt;=Q82,DATE(2026,10,1)&lt;=R82),"█","")</f>
        <v/>
      </c>
      <c r="O82" s="34" t="str">
        <f>IF(AND(Q82&lt;&gt;"",R82&lt;&gt;"",DATE(2026,12,0)&gt;=Q82,DATE(2026,11,1)&lt;=R82),"█","")</f>
        <v/>
      </c>
      <c r="P82" s="34" t="str">
        <f>IF(AND(Q82&lt;&gt;"",R82&lt;&gt;"",DATE(2026,12,31)&gt;=Q82,DATE(2026,12,1)&lt;=R82),"█","")</f>
        <v/>
      </c>
      <c r="Q82" s="7" t="str">
        <f>IF('Release Calendar'!I82&lt;&gt;"",'Release Calendar'!I82,"")</f>
        <v/>
      </c>
      <c r="R82" s="7" t="str">
        <f>IF('Release Calendar'!J82&lt;&gt;"",'Release Calendar'!J82,"")</f>
        <v/>
      </c>
    </row>
    <row r="83" spans="1:18" ht="20.100000000000001" customHeight="1">
      <c r="A83" s="14">
        <v>79</v>
      </c>
      <c r="B83" s="28" t="str">
        <f>IF('Release Calendar'!B83&lt;&gt;"",'Release Calendar'!B83,"")</f>
        <v/>
      </c>
      <c r="C83" s="29" t="str">
        <f>IF('Release Calendar'!K83&lt;&gt;"",'Release Calendar'!K83,"")</f>
        <v/>
      </c>
      <c r="D83" s="29" t="str">
        <f>IF('Release Calendar'!M83&lt;&gt;"",'Release Calendar'!M83,"")</f>
        <v/>
      </c>
      <c r="E83" s="30" t="str">
        <f>IF(AND(Q83&lt;&gt;"",R83&lt;&gt;"",DATE(2026,2,0)&gt;=Q83,DATE(2026,1,1)&lt;=R83),"█","")</f>
        <v/>
      </c>
      <c r="F83" s="30" t="str">
        <f>IF(AND(Q83&lt;&gt;"",R83&lt;&gt;"",DATE(2026,3,0)&gt;=Q83,DATE(2026,2,1)&lt;=R83),"█","")</f>
        <v/>
      </c>
      <c r="G83" s="30" t="str">
        <f>IF(AND(Q83&lt;&gt;"",R83&lt;&gt;"",DATE(2026,4,0)&gt;=Q83,DATE(2026,3,1)&lt;=R83),"█","")</f>
        <v/>
      </c>
      <c r="H83" s="30" t="str">
        <f>IF(AND(Q83&lt;&gt;"",R83&lt;&gt;"",DATE(2026,5,0)&gt;=Q83,DATE(2026,4,1)&lt;=R83),"█","")</f>
        <v/>
      </c>
      <c r="I83" s="30" t="str">
        <f>IF(AND(Q83&lt;&gt;"",R83&lt;&gt;"",DATE(2026,6,0)&gt;=Q83,DATE(2026,5,1)&lt;=R83),"█","")</f>
        <v/>
      </c>
      <c r="J83" s="30" t="str">
        <f>IF(AND(Q83&lt;&gt;"",R83&lt;&gt;"",DATE(2026,7,0)&gt;=Q83,DATE(2026,6,1)&lt;=R83),"█","")</f>
        <v/>
      </c>
      <c r="K83" s="30" t="str">
        <f>IF(AND(Q83&lt;&gt;"",R83&lt;&gt;"",DATE(2026,8,0)&gt;=Q83,DATE(2026,7,1)&lt;=R83),"█","")</f>
        <v/>
      </c>
      <c r="L83" s="30" t="str">
        <f>IF(AND(Q83&lt;&gt;"",R83&lt;&gt;"",DATE(2026,9,0)&gt;=Q83,DATE(2026,8,1)&lt;=R83),"█","")</f>
        <v/>
      </c>
      <c r="M83" s="30" t="str">
        <f>IF(AND(Q83&lt;&gt;"",R83&lt;&gt;"",DATE(2026,10,0)&gt;=Q83,DATE(2026,9,1)&lt;=R83),"█","")</f>
        <v/>
      </c>
      <c r="N83" s="30" t="str">
        <f>IF(AND(Q83&lt;&gt;"",R83&lt;&gt;"",DATE(2026,11,0)&gt;=Q83,DATE(2026,10,1)&lt;=R83),"█","")</f>
        <v/>
      </c>
      <c r="O83" s="30" t="str">
        <f>IF(AND(Q83&lt;&gt;"",R83&lt;&gt;"",DATE(2026,12,0)&gt;=Q83,DATE(2026,11,1)&lt;=R83),"█","")</f>
        <v/>
      </c>
      <c r="P83" s="30" t="str">
        <f>IF(AND(Q83&lt;&gt;"",R83&lt;&gt;"",DATE(2026,12,31)&gt;=Q83,DATE(2026,12,1)&lt;=R83),"█","")</f>
        <v/>
      </c>
      <c r="Q83" s="7" t="str">
        <f>IF('Release Calendar'!I83&lt;&gt;"",'Release Calendar'!I83,"")</f>
        <v/>
      </c>
      <c r="R83" s="7" t="str">
        <f>IF('Release Calendar'!J83&lt;&gt;"",'Release Calendar'!J83,"")</f>
        <v/>
      </c>
    </row>
    <row r="84" spans="1:18" ht="20.100000000000001" customHeight="1">
      <c r="A84" s="31">
        <v>80</v>
      </c>
      <c r="B84" s="32" t="str">
        <f>IF('Release Calendar'!B84&lt;&gt;"",'Release Calendar'!B84,"")</f>
        <v/>
      </c>
      <c r="C84" s="33" t="str">
        <f>IF('Release Calendar'!K84&lt;&gt;"",'Release Calendar'!K84,"")</f>
        <v/>
      </c>
      <c r="D84" s="33" t="str">
        <f>IF('Release Calendar'!M84&lt;&gt;"",'Release Calendar'!M84,"")</f>
        <v/>
      </c>
      <c r="E84" s="34" t="str">
        <f>IF(AND(Q84&lt;&gt;"",R84&lt;&gt;"",DATE(2026,2,0)&gt;=Q84,DATE(2026,1,1)&lt;=R84),"█","")</f>
        <v/>
      </c>
      <c r="F84" s="34" t="str">
        <f>IF(AND(Q84&lt;&gt;"",R84&lt;&gt;"",DATE(2026,3,0)&gt;=Q84,DATE(2026,2,1)&lt;=R84),"█","")</f>
        <v/>
      </c>
      <c r="G84" s="34" t="str">
        <f>IF(AND(Q84&lt;&gt;"",R84&lt;&gt;"",DATE(2026,4,0)&gt;=Q84,DATE(2026,3,1)&lt;=R84),"█","")</f>
        <v/>
      </c>
      <c r="H84" s="34" t="str">
        <f>IF(AND(Q84&lt;&gt;"",R84&lt;&gt;"",DATE(2026,5,0)&gt;=Q84,DATE(2026,4,1)&lt;=R84),"█","")</f>
        <v/>
      </c>
      <c r="I84" s="34" t="str">
        <f>IF(AND(Q84&lt;&gt;"",R84&lt;&gt;"",DATE(2026,6,0)&gt;=Q84,DATE(2026,5,1)&lt;=R84),"█","")</f>
        <v/>
      </c>
      <c r="J84" s="34" t="str">
        <f>IF(AND(Q84&lt;&gt;"",R84&lt;&gt;"",DATE(2026,7,0)&gt;=Q84,DATE(2026,6,1)&lt;=R84),"█","")</f>
        <v/>
      </c>
      <c r="K84" s="34" t="str">
        <f>IF(AND(Q84&lt;&gt;"",R84&lt;&gt;"",DATE(2026,8,0)&gt;=Q84,DATE(2026,7,1)&lt;=R84),"█","")</f>
        <v/>
      </c>
      <c r="L84" s="34" t="str">
        <f>IF(AND(Q84&lt;&gt;"",R84&lt;&gt;"",DATE(2026,9,0)&gt;=Q84,DATE(2026,8,1)&lt;=R84),"█","")</f>
        <v/>
      </c>
      <c r="M84" s="34" t="str">
        <f>IF(AND(Q84&lt;&gt;"",R84&lt;&gt;"",DATE(2026,10,0)&gt;=Q84,DATE(2026,9,1)&lt;=R84),"█","")</f>
        <v/>
      </c>
      <c r="N84" s="34" t="str">
        <f>IF(AND(Q84&lt;&gt;"",R84&lt;&gt;"",DATE(2026,11,0)&gt;=Q84,DATE(2026,10,1)&lt;=R84),"█","")</f>
        <v/>
      </c>
      <c r="O84" s="34" t="str">
        <f>IF(AND(Q84&lt;&gt;"",R84&lt;&gt;"",DATE(2026,12,0)&gt;=Q84,DATE(2026,11,1)&lt;=R84),"█","")</f>
        <v/>
      </c>
      <c r="P84" s="34" t="str">
        <f>IF(AND(Q84&lt;&gt;"",R84&lt;&gt;"",DATE(2026,12,31)&gt;=Q84,DATE(2026,12,1)&lt;=R84),"█","")</f>
        <v/>
      </c>
      <c r="Q84" s="7" t="str">
        <f>IF('Release Calendar'!I84&lt;&gt;"",'Release Calendar'!I84,"")</f>
        <v/>
      </c>
      <c r="R84" s="7" t="str">
        <f>IF('Release Calendar'!J84&lt;&gt;"",'Release Calendar'!J84,"")</f>
        <v/>
      </c>
    </row>
    <row r="85" spans="1:18" ht="20.100000000000001" customHeight="1">
      <c r="A85" s="14">
        <v>81</v>
      </c>
      <c r="B85" s="28" t="str">
        <f>IF('Release Calendar'!B85&lt;&gt;"",'Release Calendar'!B85,"")</f>
        <v/>
      </c>
      <c r="C85" s="29" t="str">
        <f>IF('Release Calendar'!K85&lt;&gt;"",'Release Calendar'!K85,"")</f>
        <v/>
      </c>
      <c r="D85" s="29" t="str">
        <f>IF('Release Calendar'!M85&lt;&gt;"",'Release Calendar'!M85,"")</f>
        <v/>
      </c>
      <c r="E85" s="30" t="str">
        <f>IF(AND(Q85&lt;&gt;"",R85&lt;&gt;"",DATE(2026,2,0)&gt;=Q85,DATE(2026,1,1)&lt;=R85),"█","")</f>
        <v/>
      </c>
      <c r="F85" s="30" t="str">
        <f>IF(AND(Q85&lt;&gt;"",R85&lt;&gt;"",DATE(2026,3,0)&gt;=Q85,DATE(2026,2,1)&lt;=R85),"█","")</f>
        <v/>
      </c>
      <c r="G85" s="30" t="str">
        <f>IF(AND(Q85&lt;&gt;"",R85&lt;&gt;"",DATE(2026,4,0)&gt;=Q85,DATE(2026,3,1)&lt;=R85),"█","")</f>
        <v/>
      </c>
      <c r="H85" s="30" t="str">
        <f>IF(AND(Q85&lt;&gt;"",R85&lt;&gt;"",DATE(2026,5,0)&gt;=Q85,DATE(2026,4,1)&lt;=R85),"█","")</f>
        <v/>
      </c>
      <c r="I85" s="30" t="str">
        <f>IF(AND(Q85&lt;&gt;"",R85&lt;&gt;"",DATE(2026,6,0)&gt;=Q85,DATE(2026,5,1)&lt;=R85),"█","")</f>
        <v/>
      </c>
      <c r="J85" s="30" t="str">
        <f>IF(AND(Q85&lt;&gt;"",R85&lt;&gt;"",DATE(2026,7,0)&gt;=Q85,DATE(2026,6,1)&lt;=R85),"█","")</f>
        <v/>
      </c>
      <c r="K85" s="30" t="str">
        <f>IF(AND(Q85&lt;&gt;"",R85&lt;&gt;"",DATE(2026,8,0)&gt;=Q85,DATE(2026,7,1)&lt;=R85),"█","")</f>
        <v/>
      </c>
      <c r="L85" s="30" t="str">
        <f>IF(AND(Q85&lt;&gt;"",R85&lt;&gt;"",DATE(2026,9,0)&gt;=Q85,DATE(2026,8,1)&lt;=R85),"█","")</f>
        <v/>
      </c>
      <c r="M85" s="30" t="str">
        <f>IF(AND(Q85&lt;&gt;"",R85&lt;&gt;"",DATE(2026,10,0)&gt;=Q85,DATE(2026,9,1)&lt;=R85),"█","")</f>
        <v/>
      </c>
      <c r="N85" s="30" t="str">
        <f>IF(AND(Q85&lt;&gt;"",R85&lt;&gt;"",DATE(2026,11,0)&gt;=Q85,DATE(2026,10,1)&lt;=R85),"█","")</f>
        <v/>
      </c>
      <c r="O85" s="30" t="str">
        <f>IF(AND(Q85&lt;&gt;"",R85&lt;&gt;"",DATE(2026,12,0)&gt;=Q85,DATE(2026,11,1)&lt;=R85),"█","")</f>
        <v/>
      </c>
      <c r="P85" s="30" t="str">
        <f>IF(AND(Q85&lt;&gt;"",R85&lt;&gt;"",DATE(2026,12,31)&gt;=Q85,DATE(2026,12,1)&lt;=R85),"█","")</f>
        <v/>
      </c>
      <c r="Q85" s="7" t="str">
        <f>IF('Release Calendar'!I85&lt;&gt;"",'Release Calendar'!I85,"")</f>
        <v/>
      </c>
      <c r="R85" s="7" t="str">
        <f>IF('Release Calendar'!J85&lt;&gt;"",'Release Calendar'!J85,"")</f>
        <v/>
      </c>
    </row>
    <row r="86" spans="1:18" ht="20.100000000000001" customHeight="1">
      <c r="A86" s="31">
        <v>82</v>
      </c>
      <c r="B86" s="32" t="str">
        <f>IF('Release Calendar'!B86&lt;&gt;"",'Release Calendar'!B86,"")</f>
        <v/>
      </c>
      <c r="C86" s="33" t="str">
        <f>IF('Release Calendar'!K86&lt;&gt;"",'Release Calendar'!K86,"")</f>
        <v/>
      </c>
      <c r="D86" s="33" t="str">
        <f>IF('Release Calendar'!M86&lt;&gt;"",'Release Calendar'!M86,"")</f>
        <v/>
      </c>
      <c r="E86" s="34" t="str">
        <f>IF(AND(Q86&lt;&gt;"",R86&lt;&gt;"",DATE(2026,2,0)&gt;=Q86,DATE(2026,1,1)&lt;=R86),"█","")</f>
        <v/>
      </c>
      <c r="F86" s="34" t="str">
        <f>IF(AND(Q86&lt;&gt;"",R86&lt;&gt;"",DATE(2026,3,0)&gt;=Q86,DATE(2026,2,1)&lt;=R86),"█","")</f>
        <v/>
      </c>
      <c r="G86" s="34" t="str">
        <f>IF(AND(Q86&lt;&gt;"",R86&lt;&gt;"",DATE(2026,4,0)&gt;=Q86,DATE(2026,3,1)&lt;=R86),"█","")</f>
        <v/>
      </c>
      <c r="H86" s="34" t="str">
        <f>IF(AND(Q86&lt;&gt;"",R86&lt;&gt;"",DATE(2026,5,0)&gt;=Q86,DATE(2026,4,1)&lt;=R86),"█","")</f>
        <v/>
      </c>
      <c r="I86" s="34" t="str">
        <f>IF(AND(Q86&lt;&gt;"",R86&lt;&gt;"",DATE(2026,6,0)&gt;=Q86,DATE(2026,5,1)&lt;=R86),"█","")</f>
        <v/>
      </c>
      <c r="J86" s="34" t="str">
        <f>IF(AND(Q86&lt;&gt;"",R86&lt;&gt;"",DATE(2026,7,0)&gt;=Q86,DATE(2026,6,1)&lt;=R86),"█","")</f>
        <v/>
      </c>
      <c r="K86" s="34" t="str">
        <f>IF(AND(Q86&lt;&gt;"",R86&lt;&gt;"",DATE(2026,8,0)&gt;=Q86,DATE(2026,7,1)&lt;=R86),"█","")</f>
        <v/>
      </c>
      <c r="L86" s="34" t="str">
        <f>IF(AND(Q86&lt;&gt;"",R86&lt;&gt;"",DATE(2026,9,0)&gt;=Q86,DATE(2026,8,1)&lt;=R86),"█","")</f>
        <v/>
      </c>
      <c r="M86" s="34" t="str">
        <f>IF(AND(Q86&lt;&gt;"",R86&lt;&gt;"",DATE(2026,10,0)&gt;=Q86,DATE(2026,9,1)&lt;=R86),"█","")</f>
        <v/>
      </c>
      <c r="N86" s="34" t="str">
        <f>IF(AND(Q86&lt;&gt;"",R86&lt;&gt;"",DATE(2026,11,0)&gt;=Q86,DATE(2026,10,1)&lt;=R86),"█","")</f>
        <v/>
      </c>
      <c r="O86" s="34" t="str">
        <f>IF(AND(Q86&lt;&gt;"",R86&lt;&gt;"",DATE(2026,12,0)&gt;=Q86,DATE(2026,11,1)&lt;=R86),"█","")</f>
        <v/>
      </c>
      <c r="P86" s="34" t="str">
        <f>IF(AND(Q86&lt;&gt;"",R86&lt;&gt;"",DATE(2026,12,31)&gt;=Q86,DATE(2026,12,1)&lt;=R86),"█","")</f>
        <v/>
      </c>
      <c r="Q86" s="7" t="str">
        <f>IF('Release Calendar'!I86&lt;&gt;"",'Release Calendar'!I86,"")</f>
        <v/>
      </c>
      <c r="R86" s="7" t="str">
        <f>IF('Release Calendar'!J86&lt;&gt;"",'Release Calendar'!J86,"")</f>
        <v/>
      </c>
    </row>
    <row r="87" spans="1:18" ht="20.100000000000001" customHeight="1">
      <c r="A87" s="14">
        <v>83</v>
      </c>
      <c r="B87" s="28" t="str">
        <f>IF('Release Calendar'!B87&lt;&gt;"",'Release Calendar'!B87,"")</f>
        <v/>
      </c>
      <c r="C87" s="29" t="str">
        <f>IF('Release Calendar'!K87&lt;&gt;"",'Release Calendar'!K87,"")</f>
        <v/>
      </c>
      <c r="D87" s="29" t="str">
        <f>IF('Release Calendar'!M87&lt;&gt;"",'Release Calendar'!M87,"")</f>
        <v/>
      </c>
      <c r="E87" s="30" t="str">
        <f>IF(AND(Q87&lt;&gt;"",R87&lt;&gt;"",DATE(2026,2,0)&gt;=Q87,DATE(2026,1,1)&lt;=R87),"█","")</f>
        <v/>
      </c>
      <c r="F87" s="30" t="str">
        <f>IF(AND(Q87&lt;&gt;"",R87&lt;&gt;"",DATE(2026,3,0)&gt;=Q87,DATE(2026,2,1)&lt;=R87),"█","")</f>
        <v/>
      </c>
      <c r="G87" s="30" t="str">
        <f>IF(AND(Q87&lt;&gt;"",R87&lt;&gt;"",DATE(2026,4,0)&gt;=Q87,DATE(2026,3,1)&lt;=R87),"█","")</f>
        <v/>
      </c>
      <c r="H87" s="30" t="str">
        <f>IF(AND(Q87&lt;&gt;"",R87&lt;&gt;"",DATE(2026,5,0)&gt;=Q87,DATE(2026,4,1)&lt;=R87),"█","")</f>
        <v/>
      </c>
      <c r="I87" s="30" t="str">
        <f>IF(AND(Q87&lt;&gt;"",R87&lt;&gt;"",DATE(2026,6,0)&gt;=Q87,DATE(2026,5,1)&lt;=R87),"█","")</f>
        <v/>
      </c>
      <c r="J87" s="30" t="str">
        <f>IF(AND(Q87&lt;&gt;"",R87&lt;&gt;"",DATE(2026,7,0)&gt;=Q87,DATE(2026,6,1)&lt;=R87),"█","")</f>
        <v/>
      </c>
      <c r="K87" s="30" t="str">
        <f>IF(AND(Q87&lt;&gt;"",R87&lt;&gt;"",DATE(2026,8,0)&gt;=Q87,DATE(2026,7,1)&lt;=R87),"█","")</f>
        <v/>
      </c>
      <c r="L87" s="30" t="str">
        <f>IF(AND(Q87&lt;&gt;"",R87&lt;&gt;"",DATE(2026,9,0)&gt;=Q87,DATE(2026,8,1)&lt;=R87),"█","")</f>
        <v/>
      </c>
      <c r="M87" s="30" t="str">
        <f>IF(AND(Q87&lt;&gt;"",R87&lt;&gt;"",DATE(2026,10,0)&gt;=Q87,DATE(2026,9,1)&lt;=R87),"█","")</f>
        <v/>
      </c>
      <c r="N87" s="30" t="str">
        <f>IF(AND(Q87&lt;&gt;"",R87&lt;&gt;"",DATE(2026,11,0)&gt;=Q87,DATE(2026,10,1)&lt;=R87),"█","")</f>
        <v/>
      </c>
      <c r="O87" s="30" t="str">
        <f>IF(AND(Q87&lt;&gt;"",R87&lt;&gt;"",DATE(2026,12,0)&gt;=Q87,DATE(2026,11,1)&lt;=R87),"█","")</f>
        <v/>
      </c>
      <c r="P87" s="30" t="str">
        <f>IF(AND(Q87&lt;&gt;"",R87&lt;&gt;"",DATE(2026,12,31)&gt;=Q87,DATE(2026,12,1)&lt;=R87),"█","")</f>
        <v/>
      </c>
      <c r="Q87" s="7" t="str">
        <f>IF('Release Calendar'!I87&lt;&gt;"",'Release Calendar'!I87,"")</f>
        <v/>
      </c>
      <c r="R87" s="7" t="str">
        <f>IF('Release Calendar'!J87&lt;&gt;"",'Release Calendar'!J87,"")</f>
        <v/>
      </c>
    </row>
    <row r="88" spans="1:18" ht="20.100000000000001" customHeight="1">
      <c r="A88" s="31">
        <v>84</v>
      </c>
      <c r="B88" s="32" t="str">
        <f>IF('Release Calendar'!B88&lt;&gt;"",'Release Calendar'!B88,"")</f>
        <v/>
      </c>
      <c r="C88" s="33" t="str">
        <f>IF('Release Calendar'!K88&lt;&gt;"",'Release Calendar'!K88,"")</f>
        <v/>
      </c>
      <c r="D88" s="33" t="str">
        <f>IF('Release Calendar'!M88&lt;&gt;"",'Release Calendar'!M88,"")</f>
        <v/>
      </c>
      <c r="E88" s="34" t="str">
        <f>IF(AND(Q88&lt;&gt;"",R88&lt;&gt;"",DATE(2026,2,0)&gt;=Q88,DATE(2026,1,1)&lt;=R88),"█","")</f>
        <v/>
      </c>
      <c r="F88" s="34" t="str">
        <f>IF(AND(Q88&lt;&gt;"",R88&lt;&gt;"",DATE(2026,3,0)&gt;=Q88,DATE(2026,2,1)&lt;=R88),"█","")</f>
        <v/>
      </c>
      <c r="G88" s="34" t="str">
        <f>IF(AND(Q88&lt;&gt;"",R88&lt;&gt;"",DATE(2026,4,0)&gt;=Q88,DATE(2026,3,1)&lt;=R88),"█","")</f>
        <v/>
      </c>
      <c r="H88" s="34" t="str">
        <f>IF(AND(Q88&lt;&gt;"",R88&lt;&gt;"",DATE(2026,5,0)&gt;=Q88,DATE(2026,4,1)&lt;=R88),"█","")</f>
        <v/>
      </c>
      <c r="I88" s="34" t="str">
        <f>IF(AND(Q88&lt;&gt;"",R88&lt;&gt;"",DATE(2026,6,0)&gt;=Q88,DATE(2026,5,1)&lt;=R88),"█","")</f>
        <v/>
      </c>
      <c r="J88" s="34" t="str">
        <f>IF(AND(Q88&lt;&gt;"",R88&lt;&gt;"",DATE(2026,7,0)&gt;=Q88,DATE(2026,6,1)&lt;=R88),"█","")</f>
        <v/>
      </c>
      <c r="K88" s="34" t="str">
        <f>IF(AND(Q88&lt;&gt;"",R88&lt;&gt;"",DATE(2026,8,0)&gt;=Q88,DATE(2026,7,1)&lt;=R88),"█","")</f>
        <v/>
      </c>
      <c r="L88" s="34" t="str">
        <f>IF(AND(Q88&lt;&gt;"",R88&lt;&gt;"",DATE(2026,9,0)&gt;=Q88,DATE(2026,8,1)&lt;=R88),"█","")</f>
        <v/>
      </c>
      <c r="M88" s="34" t="str">
        <f>IF(AND(Q88&lt;&gt;"",R88&lt;&gt;"",DATE(2026,10,0)&gt;=Q88,DATE(2026,9,1)&lt;=R88),"█","")</f>
        <v/>
      </c>
      <c r="N88" s="34" t="str">
        <f>IF(AND(Q88&lt;&gt;"",R88&lt;&gt;"",DATE(2026,11,0)&gt;=Q88,DATE(2026,10,1)&lt;=R88),"█","")</f>
        <v/>
      </c>
      <c r="O88" s="34" t="str">
        <f>IF(AND(Q88&lt;&gt;"",R88&lt;&gt;"",DATE(2026,12,0)&gt;=Q88,DATE(2026,11,1)&lt;=R88),"█","")</f>
        <v/>
      </c>
      <c r="P88" s="34" t="str">
        <f>IF(AND(Q88&lt;&gt;"",R88&lt;&gt;"",DATE(2026,12,31)&gt;=Q88,DATE(2026,12,1)&lt;=R88),"█","")</f>
        <v/>
      </c>
      <c r="Q88" s="7" t="str">
        <f>IF('Release Calendar'!I88&lt;&gt;"",'Release Calendar'!I88,"")</f>
        <v/>
      </c>
      <c r="R88" s="7" t="str">
        <f>IF('Release Calendar'!J88&lt;&gt;"",'Release Calendar'!J88,"")</f>
        <v/>
      </c>
    </row>
    <row r="89" spans="1:18" ht="20.100000000000001" customHeight="1">
      <c r="A89" s="14">
        <v>85</v>
      </c>
      <c r="B89" s="28" t="str">
        <f>IF('Release Calendar'!B89&lt;&gt;"",'Release Calendar'!B89,"")</f>
        <v/>
      </c>
      <c r="C89" s="29" t="str">
        <f>IF('Release Calendar'!K89&lt;&gt;"",'Release Calendar'!K89,"")</f>
        <v/>
      </c>
      <c r="D89" s="29" t="str">
        <f>IF('Release Calendar'!M89&lt;&gt;"",'Release Calendar'!M89,"")</f>
        <v/>
      </c>
      <c r="E89" s="30" t="str">
        <f>IF(AND(Q89&lt;&gt;"",R89&lt;&gt;"",DATE(2026,2,0)&gt;=Q89,DATE(2026,1,1)&lt;=R89),"█","")</f>
        <v/>
      </c>
      <c r="F89" s="30" t="str">
        <f>IF(AND(Q89&lt;&gt;"",R89&lt;&gt;"",DATE(2026,3,0)&gt;=Q89,DATE(2026,2,1)&lt;=R89),"█","")</f>
        <v/>
      </c>
      <c r="G89" s="30" t="str">
        <f>IF(AND(Q89&lt;&gt;"",R89&lt;&gt;"",DATE(2026,4,0)&gt;=Q89,DATE(2026,3,1)&lt;=R89),"█","")</f>
        <v/>
      </c>
      <c r="H89" s="30" t="str">
        <f>IF(AND(Q89&lt;&gt;"",R89&lt;&gt;"",DATE(2026,5,0)&gt;=Q89,DATE(2026,4,1)&lt;=R89),"█","")</f>
        <v/>
      </c>
      <c r="I89" s="30" t="str">
        <f>IF(AND(Q89&lt;&gt;"",R89&lt;&gt;"",DATE(2026,6,0)&gt;=Q89,DATE(2026,5,1)&lt;=R89),"█","")</f>
        <v/>
      </c>
      <c r="J89" s="30" t="str">
        <f>IF(AND(Q89&lt;&gt;"",R89&lt;&gt;"",DATE(2026,7,0)&gt;=Q89,DATE(2026,6,1)&lt;=R89),"█","")</f>
        <v/>
      </c>
      <c r="K89" s="30" t="str">
        <f>IF(AND(Q89&lt;&gt;"",R89&lt;&gt;"",DATE(2026,8,0)&gt;=Q89,DATE(2026,7,1)&lt;=R89),"█","")</f>
        <v/>
      </c>
      <c r="L89" s="30" t="str">
        <f>IF(AND(Q89&lt;&gt;"",R89&lt;&gt;"",DATE(2026,9,0)&gt;=Q89,DATE(2026,8,1)&lt;=R89),"█","")</f>
        <v/>
      </c>
      <c r="M89" s="30" t="str">
        <f>IF(AND(Q89&lt;&gt;"",R89&lt;&gt;"",DATE(2026,10,0)&gt;=Q89,DATE(2026,9,1)&lt;=R89),"█","")</f>
        <v/>
      </c>
      <c r="N89" s="30" t="str">
        <f>IF(AND(Q89&lt;&gt;"",R89&lt;&gt;"",DATE(2026,11,0)&gt;=Q89,DATE(2026,10,1)&lt;=R89),"█","")</f>
        <v/>
      </c>
      <c r="O89" s="30" t="str">
        <f>IF(AND(Q89&lt;&gt;"",R89&lt;&gt;"",DATE(2026,12,0)&gt;=Q89,DATE(2026,11,1)&lt;=R89),"█","")</f>
        <v/>
      </c>
      <c r="P89" s="30" t="str">
        <f>IF(AND(Q89&lt;&gt;"",R89&lt;&gt;"",DATE(2026,12,31)&gt;=Q89,DATE(2026,12,1)&lt;=R89),"█","")</f>
        <v/>
      </c>
      <c r="Q89" s="7" t="str">
        <f>IF('Release Calendar'!I89&lt;&gt;"",'Release Calendar'!I89,"")</f>
        <v/>
      </c>
      <c r="R89" s="7" t="str">
        <f>IF('Release Calendar'!J89&lt;&gt;"",'Release Calendar'!J89,"")</f>
        <v/>
      </c>
    </row>
    <row r="90" spans="1:18" ht="20.100000000000001" customHeight="1">
      <c r="A90" s="31">
        <v>86</v>
      </c>
      <c r="B90" s="32" t="str">
        <f>IF('Release Calendar'!B90&lt;&gt;"",'Release Calendar'!B90,"")</f>
        <v/>
      </c>
      <c r="C90" s="33" t="str">
        <f>IF('Release Calendar'!K90&lt;&gt;"",'Release Calendar'!K90,"")</f>
        <v/>
      </c>
      <c r="D90" s="33" t="str">
        <f>IF('Release Calendar'!M90&lt;&gt;"",'Release Calendar'!M90,"")</f>
        <v/>
      </c>
      <c r="E90" s="34" t="str">
        <f>IF(AND(Q90&lt;&gt;"",R90&lt;&gt;"",DATE(2026,2,0)&gt;=Q90,DATE(2026,1,1)&lt;=R90),"█","")</f>
        <v/>
      </c>
      <c r="F90" s="34" t="str">
        <f>IF(AND(Q90&lt;&gt;"",R90&lt;&gt;"",DATE(2026,3,0)&gt;=Q90,DATE(2026,2,1)&lt;=R90),"█","")</f>
        <v/>
      </c>
      <c r="G90" s="34" t="str">
        <f>IF(AND(Q90&lt;&gt;"",R90&lt;&gt;"",DATE(2026,4,0)&gt;=Q90,DATE(2026,3,1)&lt;=R90),"█","")</f>
        <v/>
      </c>
      <c r="H90" s="34" t="str">
        <f>IF(AND(Q90&lt;&gt;"",R90&lt;&gt;"",DATE(2026,5,0)&gt;=Q90,DATE(2026,4,1)&lt;=R90),"█","")</f>
        <v/>
      </c>
      <c r="I90" s="34" t="str">
        <f>IF(AND(Q90&lt;&gt;"",R90&lt;&gt;"",DATE(2026,6,0)&gt;=Q90,DATE(2026,5,1)&lt;=R90),"█","")</f>
        <v/>
      </c>
      <c r="J90" s="34" t="str">
        <f>IF(AND(Q90&lt;&gt;"",R90&lt;&gt;"",DATE(2026,7,0)&gt;=Q90,DATE(2026,6,1)&lt;=R90),"█","")</f>
        <v/>
      </c>
      <c r="K90" s="34" t="str">
        <f>IF(AND(Q90&lt;&gt;"",R90&lt;&gt;"",DATE(2026,8,0)&gt;=Q90,DATE(2026,7,1)&lt;=R90),"█","")</f>
        <v/>
      </c>
      <c r="L90" s="34" t="str">
        <f>IF(AND(Q90&lt;&gt;"",R90&lt;&gt;"",DATE(2026,9,0)&gt;=Q90,DATE(2026,8,1)&lt;=R90),"█","")</f>
        <v/>
      </c>
      <c r="M90" s="34" t="str">
        <f>IF(AND(Q90&lt;&gt;"",R90&lt;&gt;"",DATE(2026,10,0)&gt;=Q90,DATE(2026,9,1)&lt;=R90),"█","")</f>
        <v/>
      </c>
      <c r="N90" s="34" t="str">
        <f>IF(AND(Q90&lt;&gt;"",R90&lt;&gt;"",DATE(2026,11,0)&gt;=Q90,DATE(2026,10,1)&lt;=R90),"█","")</f>
        <v/>
      </c>
      <c r="O90" s="34" t="str">
        <f>IF(AND(Q90&lt;&gt;"",R90&lt;&gt;"",DATE(2026,12,0)&gt;=Q90,DATE(2026,11,1)&lt;=R90),"█","")</f>
        <v/>
      </c>
      <c r="P90" s="34" t="str">
        <f>IF(AND(Q90&lt;&gt;"",R90&lt;&gt;"",DATE(2026,12,31)&gt;=Q90,DATE(2026,12,1)&lt;=R90),"█","")</f>
        <v/>
      </c>
      <c r="Q90" s="7" t="str">
        <f>IF('Release Calendar'!I90&lt;&gt;"",'Release Calendar'!I90,"")</f>
        <v/>
      </c>
      <c r="R90" s="7" t="str">
        <f>IF('Release Calendar'!J90&lt;&gt;"",'Release Calendar'!J90,"")</f>
        <v/>
      </c>
    </row>
    <row r="91" spans="1:18" ht="20.100000000000001" customHeight="1">
      <c r="A91" s="14">
        <v>87</v>
      </c>
      <c r="B91" s="28" t="str">
        <f>IF('Release Calendar'!B91&lt;&gt;"",'Release Calendar'!B91,"")</f>
        <v/>
      </c>
      <c r="C91" s="29" t="str">
        <f>IF('Release Calendar'!K91&lt;&gt;"",'Release Calendar'!K91,"")</f>
        <v/>
      </c>
      <c r="D91" s="29" t="str">
        <f>IF('Release Calendar'!M91&lt;&gt;"",'Release Calendar'!M91,"")</f>
        <v/>
      </c>
      <c r="E91" s="30" t="str">
        <f>IF(AND(Q91&lt;&gt;"",R91&lt;&gt;"",DATE(2026,2,0)&gt;=Q91,DATE(2026,1,1)&lt;=R91),"█","")</f>
        <v/>
      </c>
      <c r="F91" s="30" t="str">
        <f>IF(AND(Q91&lt;&gt;"",R91&lt;&gt;"",DATE(2026,3,0)&gt;=Q91,DATE(2026,2,1)&lt;=R91),"█","")</f>
        <v/>
      </c>
      <c r="G91" s="30" t="str">
        <f>IF(AND(Q91&lt;&gt;"",R91&lt;&gt;"",DATE(2026,4,0)&gt;=Q91,DATE(2026,3,1)&lt;=R91),"█","")</f>
        <v/>
      </c>
      <c r="H91" s="30" t="str">
        <f>IF(AND(Q91&lt;&gt;"",R91&lt;&gt;"",DATE(2026,5,0)&gt;=Q91,DATE(2026,4,1)&lt;=R91),"█","")</f>
        <v/>
      </c>
      <c r="I91" s="30" t="str">
        <f>IF(AND(Q91&lt;&gt;"",R91&lt;&gt;"",DATE(2026,6,0)&gt;=Q91,DATE(2026,5,1)&lt;=R91),"█","")</f>
        <v/>
      </c>
      <c r="J91" s="30" t="str">
        <f>IF(AND(Q91&lt;&gt;"",R91&lt;&gt;"",DATE(2026,7,0)&gt;=Q91,DATE(2026,6,1)&lt;=R91),"█","")</f>
        <v/>
      </c>
      <c r="K91" s="30" t="str">
        <f>IF(AND(Q91&lt;&gt;"",R91&lt;&gt;"",DATE(2026,8,0)&gt;=Q91,DATE(2026,7,1)&lt;=R91),"█","")</f>
        <v/>
      </c>
      <c r="L91" s="30" t="str">
        <f>IF(AND(Q91&lt;&gt;"",R91&lt;&gt;"",DATE(2026,9,0)&gt;=Q91,DATE(2026,8,1)&lt;=R91),"█","")</f>
        <v/>
      </c>
      <c r="M91" s="30" t="str">
        <f>IF(AND(Q91&lt;&gt;"",R91&lt;&gt;"",DATE(2026,10,0)&gt;=Q91,DATE(2026,9,1)&lt;=R91),"█","")</f>
        <v/>
      </c>
      <c r="N91" s="30" t="str">
        <f>IF(AND(Q91&lt;&gt;"",R91&lt;&gt;"",DATE(2026,11,0)&gt;=Q91,DATE(2026,10,1)&lt;=R91),"█","")</f>
        <v/>
      </c>
      <c r="O91" s="30" t="str">
        <f>IF(AND(Q91&lt;&gt;"",R91&lt;&gt;"",DATE(2026,12,0)&gt;=Q91,DATE(2026,11,1)&lt;=R91),"█","")</f>
        <v/>
      </c>
      <c r="P91" s="30" t="str">
        <f>IF(AND(Q91&lt;&gt;"",R91&lt;&gt;"",DATE(2026,12,31)&gt;=Q91,DATE(2026,12,1)&lt;=R91),"█","")</f>
        <v/>
      </c>
      <c r="Q91" s="7" t="str">
        <f>IF('Release Calendar'!I91&lt;&gt;"",'Release Calendar'!I91,"")</f>
        <v/>
      </c>
      <c r="R91" s="7" t="str">
        <f>IF('Release Calendar'!J91&lt;&gt;"",'Release Calendar'!J91,"")</f>
        <v/>
      </c>
    </row>
    <row r="92" spans="1:18" ht="20.100000000000001" customHeight="1">
      <c r="A92" s="31">
        <v>88</v>
      </c>
      <c r="B92" s="32" t="str">
        <f>IF('Release Calendar'!B92&lt;&gt;"",'Release Calendar'!B92,"")</f>
        <v/>
      </c>
      <c r="C92" s="33" t="str">
        <f>IF('Release Calendar'!K92&lt;&gt;"",'Release Calendar'!K92,"")</f>
        <v/>
      </c>
      <c r="D92" s="33" t="str">
        <f>IF('Release Calendar'!M92&lt;&gt;"",'Release Calendar'!M92,"")</f>
        <v/>
      </c>
      <c r="E92" s="34" t="str">
        <f>IF(AND(Q92&lt;&gt;"",R92&lt;&gt;"",DATE(2026,2,0)&gt;=Q92,DATE(2026,1,1)&lt;=R92),"█","")</f>
        <v/>
      </c>
      <c r="F92" s="34" t="str">
        <f>IF(AND(Q92&lt;&gt;"",R92&lt;&gt;"",DATE(2026,3,0)&gt;=Q92,DATE(2026,2,1)&lt;=R92),"█","")</f>
        <v/>
      </c>
      <c r="G92" s="34" t="str">
        <f>IF(AND(Q92&lt;&gt;"",R92&lt;&gt;"",DATE(2026,4,0)&gt;=Q92,DATE(2026,3,1)&lt;=R92),"█","")</f>
        <v/>
      </c>
      <c r="H92" s="34" t="str">
        <f>IF(AND(Q92&lt;&gt;"",R92&lt;&gt;"",DATE(2026,5,0)&gt;=Q92,DATE(2026,4,1)&lt;=R92),"█","")</f>
        <v/>
      </c>
      <c r="I92" s="34" t="str">
        <f>IF(AND(Q92&lt;&gt;"",R92&lt;&gt;"",DATE(2026,6,0)&gt;=Q92,DATE(2026,5,1)&lt;=R92),"█","")</f>
        <v/>
      </c>
      <c r="J92" s="34" t="str">
        <f>IF(AND(Q92&lt;&gt;"",R92&lt;&gt;"",DATE(2026,7,0)&gt;=Q92,DATE(2026,6,1)&lt;=R92),"█","")</f>
        <v/>
      </c>
      <c r="K92" s="34" t="str">
        <f>IF(AND(Q92&lt;&gt;"",R92&lt;&gt;"",DATE(2026,8,0)&gt;=Q92,DATE(2026,7,1)&lt;=R92),"█","")</f>
        <v/>
      </c>
      <c r="L92" s="34" t="str">
        <f>IF(AND(Q92&lt;&gt;"",R92&lt;&gt;"",DATE(2026,9,0)&gt;=Q92,DATE(2026,8,1)&lt;=R92),"█","")</f>
        <v/>
      </c>
      <c r="M92" s="34" t="str">
        <f>IF(AND(Q92&lt;&gt;"",R92&lt;&gt;"",DATE(2026,10,0)&gt;=Q92,DATE(2026,9,1)&lt;=R92),"█","")</f>
        <v/>
      </c>
      <c r="N92" s="34" t="str">
        <f>IF(AND(Q92&lt;&gt;"",R92&lt;&gt;"",DATE(2026,11,0)&gt;=Q92,DATE(2026,10,1)&lt;=R92),"█","")</f>
        <v/>
      </c>
      <c r="O92" s="34" t="str">
        <f>IF(AND(Q92&lt;&gt;"",R92&lt;&gt;"",DATE(2026,12,0)&gt;=Q92,DATE(2026,11,1)&lt;=R92),"█","")</f>
        <v/>
      </c>
      <c r="P92" s="34" t="str">
        <f>IF(AND(Q92&lt;&gt;"",R92&lt;&gt;"",DATE(2026,12,31)&gt;=Q92,DATE(2026,12,1)&lt;=R92),"█","")</f>
        <v/>
      </c>
      <c r="Q92" s="7" t="str">
        <f>IF('Release Calendar'!I92&lt;&gt;"",'Release Calendar'!I92,"")</f>
        <v/>
      </c>
      <c r="R92" s="7" t="str">
        <f>IF('Release Calendar'!J92&lt;&gt;"",'Release Calendar'!J92,"")</f>
        <v/>
      </c>
    </row>
    <row r="93" spans="1:18" ht="20.100000000000001" customHeight="1">
      <c r="A93" s="14">
        <v>89</v>
      </c>
      <c r="B93" s="28" t="str">
        <f>IF('Release Calendar'!B93&lt;&gt;"",'Release Calendar'!B93,"")</f>
        <v/>
      </c>
      <c r="C93" s="29" t="str">
        <f>IF('Release Calendar'!K93&lt;&gt;"",'Release Calendar'!K93,"")</f>
        <v/>
      </c>
      <c r="D93" s="29" t="str">
        <f>IF('Release Calendar'!M93&lt;&gt;"",'Release Calendar'!M93,"")</f>
        <v/>
      </c>
      <c r="E93" s="30" t="str">
        <f>IF(AND(Q93&lt;&gt;"",R93&lt;&gt;"",DATE(2026,2,0)&gt;=Q93,DATE(2026,1,1)&lt;=R93),"█","")</f>
        <v/>
      </c>
      <c r="F93" s="30" t="str">
        <f>IF(AND(Q93&lt;&gt;"",R93&lt;&gt;"",DATE(2026,3,0)&gt;=Q93,DATE(2026,2,1)&lt;=R93),"█","")</f>
        <v/>
      </c>
      <c r="G93" s="30" t="str">
        <f>IF(AND(Q93&lt;&gt;"",R93&lt;&gt;"",DATE(2026,4,0)&gt;=Q93,DATE(2026,3,1)&lt;=R93),"█","")</f>
        <v/>
      </c>
      <c r="H93" s="30" t="str">
        <f>IF(AND(Q93&lt;&gt;"",R93&lt;&gt;"",DATE(2026,5,0)&gt;=Q93,DATE(2026,4,1)&lt;=R93),"█","")</f>
        <v/>
      </c>
      <c r="I93" s="30" t="str">
        <f>IF(AND(Q93&lt;&gt;"",R93&lt;&gt;"",DATE(2026,6,0)&gt;=Q93,DATE(2026,5,1)&lt;=R93),"█","")</f>
        <v/>
      </c>
      <c r="J93" s="30" t="str">
        <f>IF(AND(Q93&lt;&gt;"",R93&lt;&gt;"",DATE(2026,7,0)&gt;=Q93,DATE(2026,6,1)&lt;=R93),"█","")</f>
        <v/>
      </c>
      <c r="K93" s="30" t="str">
        <f>IF(AND(Q93&lt;&gt;"",R93&lt;&gt;"",DATE(2026,8,0)&gt;=Q93,DATE(2026,7,1)&lt;=R93),"█","")</f>
        <v/>
      </c>
      <c r="L93" s="30" t="str">
        <f>IF(AND(Q93&lt;&gt;"",R93&lt;&gt;"",DATE(2026,9,0)&gt;=Q93,DATE(2026,8,1)&lt;=R93),"█","")</f>
        <v/>
      </c>
      <c r="M93" s="30" t="str">
        <f>IF(AND(Q93&lt;&gt;"",R93&lt;&gt;"",DATE(2026,10,0)&gt;=Q93,DATE(2026,9,1)&lt;=R93),"█","")</f>
        <v/>
      </c>
      <c r="N93" s="30" t="str">
        <f>IF(AND(Q93&lt;&gt;"",R93&lt;&gt;"",DATE(2026,11,0)&gt;=Q93,DATE(2026,10,1)&lt;=R93),"█","")</f>
        <v/>
      </c>
      <c r="O93" s="30" t="str">
        <f>IF(AND(Q93&lt;&gt;"",R93&lt;&gt;"",DATE(2026,12,0)&gt;=Q93,DATE(2026,11,1)&lt;=R93),"█","")</f>
        <v/>
      </c>
      <c r="P93" s="30" t="str">
        <f>IF(AND(Q93&lt;&gt;"",R93&lt;&gt;"",DATE(2026,12,31)&gt;=Q93,DATE(2026,12,1)&lt;=R93),"█","")</f>
        <v/>
      </c>
      <c r="Q93" s="7" t="str">
        <f>IF('Release Calendar'!I93&lt;&gt;"",'Release Calendar'!I93,"")</f>
        <v/>
      </c>
      <c r="R93" s="7" t="str">
        <f>IF('Release Calendar'!J93&lt;&gt;"",'Release Calendar'!J93,"")</f>
        <v/>
      </c>
    </row>
    <row r="94" spans="1:18" ht="20.100000000000001" customHeight="1">
      <c r="A94" s="31">
        <v>90</v>
      </c>
      <c r="B94" s="32" t="str">
        <f>IF('Release Calendar'!B94&lt;&gt;"",'Release Calendar'!B94,"")</f>
        <v/>
      </c>
      <c r="C94" s="33" t="str">
        <f>IF('Release Calendar'!K94&lt;&gt;"",'Release Calendar'!K94,"")</f>
        <v/>
      </c>
      <c r="D94" s="33" t="str">
        <f>IF('Release Calendar'!M94&lt;&gt;"",'Release Calendar'!M94,"")</f>
        <v/>
      </c>
      <c r="E94" s="34" t="str">
        <f>IF(AND(Q94&lt;&gt;"",R94&lt;&gt;"",DATE(2026,2,0)&gt;=Q94,DATE(2026,1,1)&lt;=R94),"█","")</f>
        <v/>
      </c>
      <c r="F94" s="34" t="str">
        <f>IF(AND(Q94&lt;&gt;"",R94&lt;&gt;"",DATE(2026,3,0)&gt;=Q94,DATE(2026,2,1)&lt;=R94),"█","")</f>
        <v/>
      </c>
      <c r="G94" s="34" t="str">
        <f>IF(AND(Q94&lt;&gt;"",R94&lt;&gt;"",DATE(2026,4,0)&gt;=Q94,DATE(2026,3,1)&lt;=R94),"█","")</f>
        <v/>
      </c>
      <c r="H94" s="34" t="str">
        <f>IF(AND(Q94&lt;&gt;"",R94&lt;&gt;"",DATE(2026,5,0)&gt;=Q94,DATE(2026,4,1)&lt;=R94),"█","")</f>
        <v/>
      </c>
      <c r="I94" s="34" t="str">
        <f>IF(AND(Q94&lt;&gt;"",R94&lt;&gt;"",DATE(2026,6,0)&gt;=Q94,DATE(2026,5,1)&lt;=R94),"█","")</f>
        <v/>
      </c>
      <c r="J94" s="34" t="str">
        <f>IF(AND(Q94&lt;&gt;"",R94&lt;&gt;"",DATE(2026,7,0)&gt;=Q94,DATE(2026,6,1)&lt;=R94),"█","")</f>
        <v/>
      </c>
      <c r="K94" s="34" t="str">
        <f>IF(AND(Q94&lt;&gt;"",R94&lt;&gt;"",DATE(2026,8,0)&gt;=Q94,DATE(2026,7,1)&lt;=R94),"█","")</f>
        <v/>
      </c>
      <c r="L94" s="34" t="str">
        <f>IF(AND(Q94&lt;&gt;"",R94&lt;&gt;"",DATE(2026,9,0)&gt;=Q94,DATE(2026,8,1)&lt;=R94),"█","")</f>
        <v/>
      </c>
      <c r="M94" s="34" t="str">
        <f>IF(AND(Q94&lt;&gt;"",R94&lt;&gt;"",DATE(2026,10,0)&gt;=Q94,DATE(2026,9,1)&lt;=R94),"█","")</f>
        <v/>
      </c>
      <c r="N94" s="34" t="str">
        <f>IF(AND(Q94&lt;&gt;"",R94&lt;&gt;"",DATE(2026,11,0)&gt;=Q94,DATE(2026,10,1)&lt;=R94),"█","")</f>
        <v/>
      </c>
      <c r="O94" s="34" t="str">
        <f>IF(AND(Q94&lt;&gt;"",R94&lt;&gt;"",DATE(2026,12,0)&gt;=Q94,DATE(2026,11,1)&lt;=R94),"█","")</f>
        <v/>
      </c>
      <c r="P94" s="34" t="str">
        <f>IF(AND(Q94&lt;&gt;"",R94&lt;&gt;"",DATE(2026,12,31)&gt;=Q94,DATE(2026,12,1)&lt;=R94),"█","")</f>
        <v/>
      </c>
      <c r="Q94" s="7" t="str">
        <f>IF('Release Calendar'!I94&lt;&gt;"",'Release Calendar'!I94,"")</f>
        <v/>
      </c>
      <c r="R94" s="7" t="str">
        <f>IF('Release Calendar'!J94&lt;&gt;"",'Release Calendar'!J94,"")</f>
        <v/>
      </c>
    </row>
    <row r="95" spans="1:18" ht="20.100000000000001" customHeight="1">
      <c r="A95" s="14">
        <v>91</v>
      </c>
      <c r="B95" s="28" t="str">
        <f>IF('Release Calendar'!B95&lt;&gt;"",'Release Calendar'!B95,"")</f>
        <v/>
      </c>
      <c r="C95" s="29" t="str">
        <f>IF('Release Calendar'!K95&lt;&gt;"",'Release Calendar'!K95,"")</f>
        <v/>
      </c>
      <c r="D95" s="29" t="str">
        <f>IF('Release Calendar'!M95&lt;&gt;"",'Release Calendar'!M95,"")</f>
        <v/>
      </c>
      <c r="E95" s="30" t="str">
        <f>IF(AND(Q95&lt;&gt;"",R95&lt;&gt;"",DATE(2026,2,0)&gt;=Q95,DATE(2026,1,1)&lt;=R95),"█","")</f>
        <v/>
      </c>
      <c r="F95" s="30" t="str">
        <f>IF(AND(Q95&lt;&gt;"",R95&lt;&gt;"",DATE(2026,3,0)&gt;=Q95,DATE(2026,2,1)&lt;=R95),"█","")</f>
        <v/>
      </c>
      <c r="G95" s="30" t="str">
        <f>IF(AND(Q95&lt;&gt;"",R95&lt;&gt;"",DATE(2026,4,0)&gt;=Q95,DATE(2026,3,1)&lt;=R95),"█","")</f>
        <v/>
      </c>
      <c r="H95" s="30" t="str">
        <f>IF(AND(Q95&lt;&gt;"",R95&lt;&gt;"",DATE(2026,5,0)&gt;=Q95,DATE(2026,4,1)&lt;=R95),"█","")</f>
        <v/>
      </c>
      <c r="I95" s="30" t="str">
        <f>IF(AND(Q95&lt;&gt;"",R95&lt;&gt;"",DATE(2026,6,0)&gt;=Q95,DATE(2026,5,1)&lt;=R95),"█","")</f>
        <v/>
      </c>
      <c r="J95" s="30" t="str">
        <f>IF(AND(Q95&lt;&gt;"",R95&lt;&gt;"",DATE(2026,7,0)&gt;=Q95,DATE(2026,6,1)&lt;=R95),"█","")</f>
        <v/>
      </c>
      <c r="K95" s="30" t="str">
        <f>IF(AND(Q95&lt;&gt;"",R95&lt;&gt;"",DATE(2026,8,0)&gt;=Q95,DATE(2026,7,1)&lt;=R95),"█","")</f>
        <v/>
      </c>
      <c r="L95" s="30" t="str">
        <f>IF(AND(Q95&lt;&gt;"",R95&lt;&gt;"",DATE(2026,9,0)&gt;=Q95,DATE(2026,8,1)&lt;=R95),"█","")</f>
        <v/>
      </c>
      <c r="M95" s="30" t="str">
        <f>IF(AND(Q95&lt;&gt;"",R95&lt;&gt;"",DATE(2026,10,0)&gt;=Q95,DATE(2026,9,1)&lt;=R95),"█","")</f>
        <v/>
      </c>
      <c r="N95" s="30" t="str">
        <f>IF(AND(Q95&lt;&gt;"",R95&lt;&gt;"",DATE(2026,11,0)&gt;=Q95,DATE(2026,10,1)&lt;=R95),"█","")</f>
        <v/>
      </c>
      <c r="O95" s="30" t="str">
        <f>IF(AND(Q95&lt;&gt;"",R95&lt;&gt;"",DATE(2026,12,0)&gt;=Q95,DATE(2026,11,1)&lt;=R95),"█","")</f>
        <v/>
      </c>
      <c r="P95" s="30" t="str">
        <f>IF(AND(Q95&lt;&gt;"",R95&lt;&gt;"",DATE(2026,12,31)&gt;=Q95,DATE(2026,12,1)&lt;=R95),"█","")</f>
        <v/>
      </c>
      <c r="Q95" s="7" t="str">
        <f>IF('Release Calendar'!I95&lt;&gt;"",'Release Calendar'!I95,"")</f>
        <v/>
      </c>
      <c r="R95" s="7" t="str">
        <f>IF('Release Calendar'!J95&lt;&gt;"",'Release Calendar'!J95,"")</f>
        <v/>
      </c>
    </row>
    <row r="96" spans="1:18" ht="20.100000000000001" customHeight="1">
      <c r="A96" s="31">
        <v>92</v>
      </c>
      <c r="B96" s="32" t="str">
        <f>IF('Release Calendar'!B96&lt;&gt;"",'Release Calendar'!B96,"")</f>
        <v/>
      </c>
      <c r="C96" s="33" t="str">
        <f>IF('Release Calendar'!K96&lt;&gt;"",'Release Calendar'!K96,"")</f>
        <v/>
      </c>
      <c r="D96" s="33" t="str">
        <f>IF('Release Calendar'!M96&lt;&gt;"",'Release Calendar'!M96,"")</f>
        <v/>
      </c>
      <c r="E96" s="34" t="str">
        <f>IF(AND(Q96&lt;&gt;"",R96&lt;&gt;"",DATE(2026,2,0)&gt;=Q96,DATE(2026,1,1)&lt;=R96),"█","")</f>
        <v/>
      </c>
      <c r="F96" s="34" t="str">
        <f>IF(AND(Q96&lt;&gt;"",R96&lt;&gt;"",DATE(2026,3,0)&gt;=Q96,DATE(2026,2,1)&lt;=R96),"█","")</f>
        <v/>
      </c>
      <c r="G96" s="34" t="str">
        <f>IF(AND(Q96&lt;&gt;"",R96&lt;&gt;"",DATE(2026,4,0)&gt;=Q96,DATE(2026,3,1)&lt;=R96),"█","")</f>
        <v/>
      </c>
      <c r="H96" s="34" t="str">
        <f>IF(AND(Q96&lt;&gt;"",R96&lt;&gt;"",DATE(2026,5,0)&gt;=Q96,DATE(2026,4,1)&lt;=R96),"█","")</f>
        <v/>
      </c>
      <c r="I96" s="34" t="str">
        <f>IF(AND(Q96&lt;&gt;"",R96&lt;&gt;"",DATE(2026,6,0)&gt;=Q96,DATE(2026,5,1)&lt;=R96),"█","")</f>
        <v/>
      </c>
      <c r="J96" s="34" t="str">
        <f>IF(AND(Q96&lt;&gt;"",R96&lt;&gt;"",DATE(2026,7,0)&gt;=Q96,DATE(2026,6,1)&lt;=R96),"█","")</f>
        <v/>
      </c>
      <c r="K96" s="34" t="str">
        <f>IF(AND(Q96&lt;&gt;"",R96&lt;&gt;"",DATE(2026,8,0)&gt;=Q96,DATE(2026,7,1)&lt;=R96),"█","")</f>
        <v/>
      </c>
      <c r="L96" s="34" t="str">
        <f>IF(AND(Q96&lt;&gt;"",R96&lt;&gt;"",DATE(2026,9,0)&gt;=Q96,DATE(2026,8,1)&lt;=R96),"█","")</f>
        <v/>
      </c>
      <c r="M96" s="34" t="str">
        <f>IF(AND(Q96&lt;&gt;"",R96&lt;&gt;"",DATE(2026,10,0)&gt;=Q96,DATE(2026,9,1)&lt;=R96),"█","")</f>
        <v/>
      </c>
      <c r="N96" s="34" t="str">
        <f>IF(AND(Q96&lt;&gt;"",R96&lt;&gt;"",DATE(2026,11,0)&gt;=Q96,DATE(2026,10,1)&lt;=R96),"█","")</f>
        <v/>
      </c>
      <c r="O96" s="34" t="str">
        <f>IF(AND(Q96&lt;&gt;"",R96&lt;&gt;"",DATE(2026,12,0)&gt;=Q96,DATE(2026,11,1)&lt;=R96),"█","")</f>
        <v/>
      </c>
      <c r="P96" s="34" t="str">
        <f>IF(AND(Q96&lt;&gt;"",R96&lt;&gt;"",DATE(2026,12,31)&gt;=Q96,DATE(2026,12,1)&lt;=R96),"█","")</f>
        <v/>
      </c>
      <c r="Q96" s="7" t="str">
        <f>IF('Release Calendar'!I96&lt;&gt;"",'Release Calendar'!I96,"")</f>
        <v/>
      </c>
      <c r="R96" s="7" t="str">
        <f>IF('Release Calendar'!J96&lt;&gt;"",'Release Calendar'!J96,"")</f>
        <v/>
      </c>
    </row>
    <row r="97" spans="1:18" ht="20.100000000000001" customHeight="1">
      <c r="A97" s="14">
        <v>93</v>
      </c>
      <c r="B97" s="28" t="str">
        <f>IF('Release Calendar'!B97&lt;&gt;"",'Release Calendar'!B97,"")</f>
        <v/>
      </c>
      <c r="C97" s="29" t="str">
        <f>IF('Release Calendar'!K97&lt;&gt;"",'Release Calendar'!K97,"")</f>
        <v/>
      </c>
      <c r="D97" s="29" t="str">
        <f>IF('Release Calendar'!M97&lt;&gt;"",'Release Calendar'!M97,"")</f>
        <v/>
      </c>
      <c r="E97" s="30" t="str">
        <f>IF(AND(Q97&lt;&gt;"",R97&lt;&gt;"",DATE(2026,2,0)&gt;=Q97,DATE(2026,1,1)&lt;=R97),"█","")</f>
        <v/>
      </c>
      <c r="F97" s="30" t="str">
        <f>IF(AND(Q97&lt;&gt;"",R97&lt;&gt;"",DATE(2026,3,0)&gt;=Q97,DATE(2026,2,1)&lt;=R97),"█","")</f>
        <v/>
      </c>
      <c r="G97" s="30" t="str">
        <f>IF(AND(Q97&lt;&gt;"",R97&lt;&gt;"",DATE(2026,4,0)&gt;=Q97,DATE(2026,3,1)&lt;=R97),"█","")</f>
        <v/>
      </c>
      <c r="H97" s="30" t="str">
        <f>IF(AND(Q97&lt;&gt;"",R97&lt;&gt;"",DATE(2026,5,0)&gt;=Q97,DATE(2026,4,1)&lt;=R97),"█","")</f>
        <v/>
      </c>
      <c r="I97" s="30" t="str">
        <f>IF(AND(Q97&lt;&gt;"",R97&lt;&gt;"",DATE(2026,6,0)&gt;=Q97,DATE(2026,5,1)&lt;=R97),"█","")</f>
        <v/>
      </c>
      <c r="J97" s="30" t="str">
        <f>IF(AND(Q97&lt;&gt;"",R97&lt;&gt;"",DATE(2026,7,0)&gt;=Q97,DATE(2026,6,1)&lt;=R97),"█","")</f>
        <v/>
      </c>
      <c r="K97" s="30" t="str">
        <f>IF(AND(Q97&lt;&gt;"",R97&lt;&gt;"",DATE(2026,8,0)&gt;=Q97,DATE(2026,7,1)&lt;=R97),"█","")</f>
        <v/>
      </c>
      <c r="L97" s="30" t="str">
        <f>IF(AND(Q97&lt;&gt;"",R97&lt;&gt;"",DATE(2026,9,0)&gt;=Q97,DATE(2026,8,1)&lt;=R97),"█","")</f>
        <v/>
      </c>
      <c r="M97" s="30" t="str">
        <f>IF(AND(Q97&lt;&gt;"",R97&lt;&gt;"",DATE(2026,10,0)&gt;=Q97,DATE(2026,9,1)&lt;=R97),"█","")</f>
        <v/>
      </c>
      <c r="N97" s="30" t="str">
        <f>IF(AND(Q97&lt;&gt;"",R97&lt;&gt;"",DATE(2026,11,0)&gt;=Q97,DATE(2026,10,1)&lt;=R97),"█","")</f>
        <v/>
      </c>
      <c r="O97" s="30" t="str">
        <f>IF(AND(Q97&lt;&gt;"",R97&lt;&gt;"",DATE(2026,12,0)&gt;=Q97,DATE(2026,11,1)&lt;=R97),"█","")</f>
        <v/>
      </c>
      <c r="P97" s="30" t="str">
        <f>IF(AND(Q97&lt;&gt;"",R97&lt;&gt;"",DATE(2026,12,31)&gt;=Q97,DATE(2026,12,1)&lt;=R97),"█","")</f>
        <v/>
      </c>
      <c r="Q97" s="7" t="str">
        <f>IF('Release Calendar'!I97&lt;&gt;"",'Release Calendar'!I97,"")</f>
        <v/>
      </c>
      <c r="R97" s="7" t="str">
        <f>IF('Release Calendar'!J97&lt;&gt;"",'Release Calendar'!J97,"")</f>
        <v/>
      </c>
    </row>
    <row r="98" spans="1:18" ht="20.100000000000001" customHeight="1">
      <c r="A98" s="31">
        <v>94</v>
      </c>
      <c r="B98" s="32" t="str">
        <f>IF('Release Calendar'!B98&lt;&gt;"",'Release Calendar'!B98,"")</f>
        <v/>
      </c>
      <c r="C98" s="33" t="str">
        <f>IF('Release Calendar'!K98&lt;&gt;"",'Release Calendar'!K98,"")</f>
        <v/>
      </c>
      <c r="D98" s="33" t="str">
        <f>IF('Release Calendar'!M98&lt;&gt;"",'Release Calendar'!M98,"")</f>
        <v/>
      </c>
      <c r="E98" s="34" t="str">
        <f>IF(AND(Q98&lt;&gt;"",R98&lt;&gt;"",DATE(2026,2,0)&gt;=Q98,DATE(2026,1,1)&lt;=R98),"█","")</f>
        <v/>
      </c>
      <c r="F98" s="34" t="str">
        <f>IF(AND(Q98&lt;&gt;"",R98&lt;&gt;"",DATE(2026,3,0)&gt;=Q98,DATE(2026,2,1)&lt;=R98),"█","")</f>
        <v/>
      </c>
      <c r="G98" s="34" t="str">
        <f>IF(AND(Q98&lt;&gt;"",R98&lt;&gt;"",DATE(2026,4,0)&gt;=Q98,DATE(2026,3,1)&lt;=R98),"█","")</f>
        <v/>
      </c>
      <c r="H98" s="34" t="str">
        <f>IF(AND(Q98&lt;&gt;"",R98&lt;&gt;"",DATE(2026,5,0)&gt;=Q98,DATE(2026,4,1)&lt;=R98),"█","")</f>
        <v/>
      </c>
      <c r="I98" s="34" t="str">
        <f>IF(AND(Q98&lt;&gt;"",R98&lt;&gt;"",DATE(2026,6,0)&gt;=Q98,DATE(2026,5,1)&lt;=R98),"█","")</f>
        <v/>
      </c>
      <c r="J98" s="34" t="str">
        <f>IF(AND(Q98&lt;&gt;"",R98&lt;&gt;"",DATE(2026,7,0)&gt;=Q98,DATE(2026,6,1)&lt;=R98),"█","")</f>
        <v/>
      </c>
      <c r="K98" s="34" t="str">
        <f>IF(AND(Q98&lt;&gt;"",R98&lt;&gt;"",DATE(2026,8,0)&gt;=Q98,DATE(2026,7,1)&lt;=R98),"█","")</f>
        <v/>
      </c>
      <c r="L98" s="34" t="str">
        <f>IF(AND(Q98&lt;&gt;"",R98&lt;&gt;"",DATE(2026,9,0)&gt;=Q98,DATE(2026,8,1)&lt;=R98),"█","")</f>
        <v/>
      </c>
      <c r="M98" s="34" t="str">
        <f>IF(AND(Q98&lt;&gt;"",R98&lt;&gt;"",DATE(2026,10,0)&gt;=Q98,DATE(2026,9,1)&lt;=R98),"█","")</f>
        <v/>
      </c>
      <c r="N98" s="34" t="str">
        <f>IF(AND(Q98&lt;&gt;"",R98&lt;&gt;"",DATE(2026,11,0)&gt;=Q98,DATE(2026,10,1)&lt;=R98),"█","")</f>
        <v/>
      </c>
      <c r="O98" s="34" t="str">
        <f>IF(AND(Q98&lt;&gt;"",R98&lt;&gt;"",DATE(2026,12,0)&gt;=Q98,DATE(2026,11,1)&lt;=R98),"█","")</f>
        <v/>
      </c>
      <c r="P98" s="34" t="str">
        <f>IF(AND(Q98&lt;&gt;"",R98&lt;&gt;"",DATE(2026,12,31)&gt;=Q98,DATE(2026,12,1)&lt;=R98),"█","")</f>
        <v/>
      </c>
      <c r="Q98" s="7" t="str">
        <f>IF('Release Calendar'!I98&lt;&gt;"",'Release Calendar'!I98,"")</f>
        <v/>
      </c>
      <c r="R98" s="7" t="str">
        <f>IF('Release Calendar'!J98&lt;&gt;"",'Release Calendar'!J98,"")</f>
        <v/>
      </c>
    </row>
    <row r="99" spans="1:18" ht="20.100000000000001" customHeight="1">
      <c r="A99" s="14">
        <v>95</v>
      </c>
      <c r="B99" s="28" t="str">
        <f>IF('Release Calendar'!B99&lt;&gt;"",'Release Calendar'!B99,"")</f>
        <v/>
      </c>
      <c r="C99" s="29" t="str">
        <f>IF('Release Calendar'!K99&lt;&gt;"",'Release Calendar'!K99,"")</f>
        <v/>
      </c>
      <c r="D99" s="29" t="str">
        <f>IF('Release Calendar'!M99&lt;&gt;"",'Release Calendar'!M99,"")</f>
        <v/>
      </c>
      <c r="E99" s="30" t="str">
        <f>IF(AND(Q99&lt;&gt;"",R99&lt;&gt;"",DATE(2026,2,0)&gt;=Q99,DATE(2026,1,1)&lt;=R99),"█","")</f>
        <v/>
      </c>
      <c r="F99" s="30" t="str">
        <f>IF(AND(Q99&lt;&gt;"",R99&lt;&gt;"",DATE(2026,3,0)&gt;=Q99,DATE(2026,2,1)&lt;=R99),"█","")</f>
        <v/>
      </c>
      <c r="G99" s="30" t="str">
        <f>IF(AND(Q99&lt;&gt;"",R99&lt;&gt;"",DATE(2026,4,0)&gt;=Q99,DATE(2026,3,1)&lt;=R99),"█","")</f>
        <v/>
      </c>
      <c r="H99" s="30" t="str">
        <f>IF(AND(Q99&lt;&gt;"",R99&lt;&gt;"",DATE(2026,5,0)&gt;=Q99,DATE(2026,4,1)&lt;=R99),"█","")</f>
        <v/>
      </c>
      <c r="I99" s="30" t="str">
        <f>IF(AND(Q99&lt;&gt;"",R99&lt;&gt;"",DATE(2026,6,0)&gt;=Q99,DATE(2026,5,1)&lt;=R99),"█","")</f>
        <v/>
      </c>
      <c r="J99" s="30" t="str">
        <f>IF(AND(Q99&lt;&gt;"",R99&lt;&gt;"",DATE(2026,7,0)&gt;=Q99,DATE(2026,6,1)&lt;=R99),"█","")</f>
        <v/>
      </c>
      <c r="K99" s="30" t="str">
        <f>IF(AND(Q99&lt;&gt;"",R99&lt;&gt;"",DATE(2026,8,0)&gt;=Q99,DATE(2026,7,1)&lt;=R99),"█","")</f>
        <v/>
      </c>
      <c r="L99" s="30" t="str">
        <f>IF(AND(Q99&lt;&gt;"",R99&lt;&gt;"",DATE(2026,9,0)&gt;=Q99,DATE(2026,8,1)&lt;=R99),"█","")</f>
        <v/>
      </c>
      <c r="M99" s="30" t="str">
        <f>IF(AND(Q99&lt;&gt;"",R99&lt;&gt;"",DATE(2026,10,0)&gt;=Q99,DATE(2026,9,1)&lt;=R99),"█","")</f>
        <v/>
      </c>
      <c r="N99" s="30" t="str">
        <f>IF(AND(Q99&lt;&gt;"",R99&lt;&gt;"",DATE(2026,11,0)&gt;=Q99,DATE(2026,10,1)&lt;=R99),"█","")</f>
        <v/>
      </c>
      <c r="O99" s="30" t="str">
        <f>IF(AND(Q99&lt;&gt;"",R99&lt;&gt;"",DATE(2026,12,0)&gt;=Q99,DATE(2026,11,1)&lt;=R99),"█","")</f>
        <v/>
      </c>
      <c r="P99" s="30" t="str">
        <f>IF(AND(Q99&lt;&gt;"",R99&lt;&gt;"",DATE(2026,12,31)&gt;=Q99,DATE(2026,12,1)&lt;=R99),"█","")</f>
        <v/>
      </c>
      <c r="Q99" s="7" t="str">
        <f>IF('Release Calendar'!I99&lt;&gt;"",'Release Calendar'!I99,"")</f>
        <v/>
      </c>
      <c r="R99" s="7" t="str">
        <f>IF('Release Calendar'!J99&lt;&gt;"",'Release Calendar'!J99,"")</f>
        <v/>
      </c>
    </row>
    <row r="100" spans="1:18" ht="20.100000000000001" customHeight="1">
      <c r="A100" s="31">
        <v>96</v>
      </c>
      <c r="B100" s="32" t="str">
        <f>IF('Release Calendar'!B100&lt;&gt;"",'Release Calendar'!B100,"")</f>
        <v/>
      </c>
      <c r="C100" s="33" t="str">
        <f>IF('Release Calendar'!K100&lt;&gt;"",'Release Calendar'!K100,"")</f>
        <v/>
      </c>
      <c r="D100" s="33" t="str">
        <f>IF('Release Calendar'!M100&lt;&gt;"",'Release Calendar'!M100,"")</f>
        <v/>
      </c>
      <c r="E100" s="34" t="str">
        <f>IF(AND(Q100&lt;&gt;"",R100&lt;&gt;"",DATE(2026,2,0)&gt;=Q100,DATE(2026,1,1)&lt;=R100),"█","")</f>
        <v/>
      </c>
      <c r="F100" s="34" t="str">
        <f>IF(AND(Q100&lt;&gt;"",R100&lt;&gt;"",DATE(2026,3,0)&gt;=Q100,DATE(2026,2,1)&lt;=R100),"█","")</f>
        <v/>
      </c>
      <c r="G100" s="34" t="str">
        <f>IF(AND(Q100&lt;&gt;"",R100&lt;&gt;"",DATE(2026,4,0)&gt;=Q100,DATE(2026,3,1)&lt;=R100),"█","")</f>
        <v/>
      </c>
      <c r="H100" s="34" t="str">
        <f>IF(AND(Q100&lt;&gt;"",R100&lt;&gt;"",DATE(2026,5,0)&gt;=Q100,DATE(2026,4,1)&lt;=R100),"█","")</f>
        <v/>
      </c>
      <c r="I100" s="34" t="str">
        <f>IF(AND(Q100&lt;&gt;"",R100&lt;&gt;"",DATE(2026,6,0)&gt;=Q100,DATE(2026,5,1)&lt;=R100),"█","")</f>
        <v/>
      </c>
      <c r="J100" s="34" t="str">
        <f>IF(AND(Q100&lt;&gt;"",R100&lt;&gt;"",DATE(2026,7,0)&gt;=Q100,DATE(2026,6,1)&lt;=R100),"█","")</f>
        <v/>
      </c>
      <c r="K100" s="34" t="str">
        <f>IF(AND(Q100&lt;&gt;"",R100&lt;&gt;"",DATE(2026,8,0)&gt;=Q100,DATE(2026,7,1)&lt;=R100),"█","")</f>
        <v/>
      </c>
      <c r="L100" s="34" t="str">
        <f>IF(AND(Q100&lt;&gt;"",R100&lt;&gt;"",DATE(2026,9,0)&gt;=Q100,DATE(2026,8,1)&lt;=R100),"█","")</f>
        <v/>
      </c>
      <c r="M100" s="34" t="str">
        <f>IF(AND(Q100&lt;&gt;"",R100&lt;&gt;"",DATE(2026,10,0)&gt;=Q100,DATE(2026,9,1)&lt;=R100),"█","")</f>
        <v/>
      </c>
      <c r="N100" s="34" t="str">
        <f>IF(AND(Q100&lt;&gt;"",R100&lt;&gt;"",DATE(2026,11,0)&gt;=Q100,DATE(2026,10,1)&lt;=R100),"█","")</f>
        <v/>
      </c>
      <c r="O100" s="34" t="str">
        <f>IF(AND(Q100&lt;&gt;"",R100&lt;&gt;"",DATE(2026,12,0)&gt;=Q100,DATE(2026,11,1)&lt;=R100),"█","")</f>
        <v/>
      </c>
      <c r="P100" s="34" t="str">
        <f>IF(AND(Q100&lt;&gt;"",R100&lt;&gt;"",DATE(2026,12,31)&gt;=Q100,DATE(2026,12,1)&lt;=R100),"█","")</f>
        <v/>
      </c>
      <c r="Q100" s="7" t="str">
        <f>IF('Release Calendar'!I100&lt;&gt;"",'Release Calendar'!I100,"")</f>
        <v/>
      </c>
      <c r="R100" s="7" t="str">
        <f>IF('Release Calendar'!J100&lt;&gt;"",'Release Calendar'!J100,"")</f>
        <v/>
      </c>
    </row>
    <row r="101" spans="1:18" ht="20.100000000000001" customHeight="1">
      <c r="A101" s="14">
        <v>97</v>
      </c>
      <c r="B101" s="28" t="str">
        <f>IF('Release Calendar'!B101&lt;&gt;"",'Release Calendar'!B101,"")</f>
        <v/>
      </c>
      <c r="C101" s="29" t="str">
        <f>IF('Release Calendar'!K101&lt;&gt;"",'Release Calendar'!K101,"")</f>
        <v/>
      </c>
      <c r="D101" s="29" t="str">
        <f>IF('Release Calendar'!M101&lt;&gt;"",'Release Calendar'!M101,"")</f>
        <v/>
      </c>
      <c r="E101" s="30" t="str">
        <f>IF(AND(Q101&lt;&gt;"",R101&lt;&gt;"",DATE(2026,2,0)&gt;=Q101,DATE(2026,1,1)&lt;=R101),"█","")</f>
        <v/>
      </c>
      <c r="F101" s="30" t="str">
        <f>IF(AND(Q101&lt;&gt;"",R101&lt;&gt;"",DATE(2026,3,0)&gt;=Q101,DATE(2026,2,1)&lt;=R101),"█","")</f>
        <v/>
      </c>
      <c r="G101" s="30" t="str">
        <f>IF(AND(Q101&lt;&gt;"",R101&lt;&gt;"",DATE(2026,4,0)&gt;=Q101,DATE(2026,3,1)&lt;=R101),"█","")</f>
        <v/>
      </c>
      <c r="H101" s="30" t="str">
        <f>IF(AND(Q101&lt;&gt;"",R101&lt;&gt;"",DATE(2026,5,0)&gt;=Q101,DATE(2026,4,1)&lt;=R101),"█","")</f>
        <v/>
      </c>
      <c r="I101" s="30" t="str">
        <f>IF(AND(Q101&lt;&gt;"",R101&lt;&gt;"",DATE(2026,6,0)&gt;=Q101,DATE(2026,5,1)&lt;=R101),"█","")</f>
        <v/>
      </c>
      <c r="J101" s="30" t="str">
        <f>IF(AND(Q101&lt;&gt;"",R101&lt;&gt;"",DATE(2026,7,0)&gt;=Q101,DATE(2026,6,1)&lt;=R101),"█","")</f>
        <v/>
      </c>
      <c r="K101" s="30" t="str">
        <f>IF(AND(Q101&lt;&gt;"",R101&lt;&gt;"",DATE(2026,8,0)&gt;=Q101,DATE(2026,7,1)&lt;=R101),"█","")</f>
        <v/>
      </c>
      <c r="L101" s="30" t="str">
        <f>IF(AND(Q101&lt;&gt;"",R101&lt;&gt;"",DATE(2026,9,0)&gt;=Q101,DATE(2026,8,1)&lt;=R101),"█","")</f>
        <v/>
      </c>
      <c r="M101" s="30" t="str">
        <f>IF(AND(Q101&lt;&gt;"",R101&lt;&gt;"",DATE(2026,10,0)&gt;=Q101,DATE(2026,9,1)&lt;=R101),"█","")</f>
        <v/>
      </c>
      <c r="N101" s="30" t="str">
        <f>IF(AND(Q101&lt;&gt;"",R101&lt;&gt;"",DATE(2026,11,0)&gt;=Q101,DATE(2026,10,1)&lt;=R101),"█","")</f>
        <v/>
      </c>
      <c r="O101" s="30" t="str">
        <f>IF(AND(Q101&lt;&gt;"",R101&lt;&gt;"",DATE(2026,12,0)&gt;=Q101,DATE(2026,11,1)&lt;=R101),"█","")</f>
        <v/>
      </c>
      <c r="P101" s="30" t="str">
        <f>IF(AND(Q101&lt;&gt;"",R101&lt;&gt;"",DATE(2026,12,31)&gt;=Q101,DATE(2026,12,1)&lt;=R101),"█","")</f>
        <v/>
      </c>
      <c r="Q101" s="7" t="str">
        <f>IF('Release Calendar'!I101&lt;&gt;"",'Release Calendar'!I101,"")</f>
        <v/>
      </c>
      <c r="R101" s="7" t="str">
        <f>IF('Release Calendar'!J101&lt;&gt;"",'Release Calendar'!J101,"")</f>
        <v/>
      </c>
    </row>
    <row r="102" spans="1:18" ht="20.100000000000001" customHeight="1">
      <c r="A102" s="31">
        <v>98</v>
      </c>
      <c r="B102" s="32" t="str">
        <f>IF('Release Calendar'!B102&lt;&gt;"",'Release Calendar'!B102,"")</f>
        <v/>
      </c>
      <c r="C102" s="33" t="str">
        <f>IF('Release Calendar'!K102&lt;&gt;"",'Release Calendar'!K102,"")</f>
        <v/>
      </c>
      <c r="D102" s="33" t="str">
        <f>IF('Release Calendar'!M102&lt;&gt;"",'Release Calendar'!M102,"")</f>
        <v/>
      </c>
      <c r="E102" s="34" t="str">
        <f>IF(AND(Q102&lt;&gt;"",R102&lt;&gt;"",DATE(2026,2,0)&gt;=Q102,DATE(2026,1,1)&lt;=R102),"█","")</f>
        <v/>
      </c>
      <c r="F102" s="34" t="str">
        <f>IF(AND(Q102&lt;&gt;"",R102&lt;&gt;"",DATE(2026,3,0)&gt;=Q102,DATE(2026,2,1)&lt;=R102),"█","")</f>
        <v/>
      </c>
      <c r="G102" s="34" t="str">
        <f>IF(AND(Q102&lt;&gt;"",R102&lt;&gt;"",DATE(2026,4,0)&gt;=Q102,DATE(2026,3,1)&lt;=R102),"█","")</f>
        <v/>
      </c>
      <c r="H102" s="34" t="str">
        <f>IF(AND(Q102&lt;&gt;"",R102&lt;&gt;"",DATE(2026,5,0)&gt;=Q102,DATE(2026,4,1)&lt;=R102),"█","")</f>
        <v/>
      </c>
      <c r="I102" s="34" t="str">
        <f>IF(AND(Q102&lt;&gt;"",R102&lt;&gt;"",DATE(2026,6,0)&gt;=Q102,DATE(2026,5,1)&lt;=R102),"█","")</f>
        <v/>
      </c>
      <c r="J102" s="34" t="str">
        <f>IF(AND(Q102&lt;&gt;"",R102&lt;&gt;"",DATE(2026,7,0)&gt;=Q102,DATE(2026,6,1)&lt;=R102),"█","")</f>
        <v/>
      </c>
      <c r="K102" s="34" t="str">
        <f>IF(AND(Q102&lt;&gt;"",R102&lt;&gt;"",DATE(2026,8,0)&gt;=Q102,DATE(2026,7,1)&lt;=R102),"█","")</f>
        <v/>
      </c>
      <c r="L102" s="34" t="str">
        <f>IF(AND(Q102&lt;&gt;"",R102&lt;&gt;"",DATE(2026,9,0)&gt;=Q102,DATE(2026,8,1)&lt;=R102),"█","")</f>
        <v/>
      </c>
      <c r="M102" s="34" t="str">
        <f>IF(AND(Q102&lt;&gt;"",R102&lt;&gt;"",DATE(2026,10,0)&gt;=Q102,DATE(2026,9,1)&lt;=R102),"█","")</f>
        <v/>
      </c>
      <c r="N102" s="34" t="str">
        <f>IF(AND(Q102&lt;&gt;"",R102&lt;&gt;"",DATE(2026,11,0)&gt;=Q102,DATE(2026,10,1)&lt;=R102),"█","")</f>
        <v/>
      </c>
      <c r="O102" s="34" t="str">
        <f>IF(AND(Q102&lt;&gt;"",R102&lt;&gt;"",DATE(2026,12,0)&gt;=Q102,DATE(2026,11,1)&lt;=R102),"█","")</f>
        <v/>
      </c>
      <c r="P102" s="34" t="str">
        <f>IF(AND(Q102&lt;&gt;"",R102&lt;&gt;"",DATE(2026,12,31)&gt;=Q102,DATE(2026,12,1)&lt;=R102),"█","")</f>
        <v/>
      </c>
      <c r="Q102" s="7" t="str">
        <f>IF('Release Calendar'!I102&lt;&gt;"",'Release Calendar'!I102,"")</f>
        <v/>
      </c>
      <c r="R102" s="7" t="str">
        <f>IF('Release Calendar'!J102&lt;&gt;"",'Release Calendar'!J102,"")</f>
        <v/>
      </c>
    </row>
    <row r="103" spans="1:18" ht="20.100000000000001" customHeight="1">
      <c r="A103" s="14">
        <v>99</v>
      </c>
      <c r="B103" s="28" t="str">
        <f>IF('Release Calendar'!B103&lt;&gt;"",'Release Calendar'!B103,"")</f>
        <v/>
      </c>
      <c r="C103" s="29" t="str">
        <f>IF('Release Calendar'!K103&lt;&gt;"",'Release Calendar'!K103,"")</f>
        <v/>
      </c>
      <c r="D103" s="29" t="str">
        <f>IF('Release Calendar'!M103&lt;&gt;"",'Release Calendar'!M103,"")</f>
        <v/>
      </c>
      <c r="E103" s="30" t="str">
        <f>IF(AND(Q103&lt;&gt;"",R103&lt;&gt;"",DATE(2026,2,0)&gt;=Q103,DATE(2026,1,1)&lt;=R103),"█","")</f>
        <v/>
      </c>
      <c r="F103" s="30" t="str">
        <f>IF(AND(Q103&lt;&gt;"",R103&lt;&gt;"",DATE(2026,3,0)&gt;=Q103,DATE(2026,2,1)&lt;=R103),"█","")</f>
        <v/>
      </c>
      <c r="G103" s="30" t="str">
        <f>IF(AND(Q103&lt;&gt;"",R103&lt;&gt;"",DATE(2026,4,0)&gt;=Q103,DATE(2026,3,1)&lt;=R103),"█","")</f>
        <v/>
      </c>
      <c r="H103" s="30" t="str">
        <f>IF(AND(Q103&lt;&gt;"",R103&lt;&gt;"",DATE(2026,5,0)&gt;=Q103,DATE(2026,4,1)&lt;=R103),"█","")</f>
        <v/>
      </c>
      <c r="I103" s="30" t="str">
        <f>IF(AND(Q103&lt;&gt;"",R103&lt;&gt;"",DATE(2026,6,0)&gt;=Q103,DATE(2026,5,1)&lt;=R103),"█","")</f>
        <v/>
      </c>
      <c r="J103" s="30" t="str">
        <f>IF(AND(Q103&lt;&gt;"",R103&lt;&gt;"",DATE(2026,7,0)&gt;=Q103,DATE(2026,6,1)&lt;=R103),"█","")</f>
        <v/>
      </c>
      <c r="K103" s="30" t="str">
        <f>IF(AND(Q103&lt;&gt;"",R103&lt;&gt;"",DATE(2026,8,0)&gt;=Q103,DATE(2026,7,1)&lt;=R103),"█","")</f>
        <v/>
      </c>
      <c r="L103" s="30" t="str">
        <f>IF(AND(Q103&lt;&gt;"",R103&lt;&gt;"",DATE(2026,9,0)&gt;=Q103,DATE(2026,8,1)&lt;=R103),"█","")</f>
        <v/>
      </c>
      <c r="M103" s="30" t="str">
        <f>IF(AND(Q103&lt;&gt;"",R103&lt;&gt;"",DATE(2026,10,0)&gt;=Q103,DATE(2026,9,1)&lt;=R103),"█","")</f>
        <v/>
      </c>
      <c r="N103" s="30" t="str">
        <f>IF(AND(Q103&lt;&gt;"",R103&lt;&gt;"",DATE(2026,11,0)&gt;=Q103,DATE(2026,10,1)&lt;=R103),"█","")</f>
        <v/>
      </c>
      <c r="O103" s="30" t="str">
        <f>IF(AND(Q103&lt;&gt;"",R103&lt;&gt;"",DATE(2026,12,0)&gt;=Q103,DATE(2026,11,1)&lt;=R103),"█","")</f>
        <v/>
      </c>
      <c r="P103" s="30" t="str">
        <f>IF(AND(Q103&lt;&gt;"",R103&lt;&gt;"",DATE(2026,12,31)&gt;=Q103,DATE(2026,12,1)&lt;=R103),"█","")</f>
        <v/>
      </c>
      <c r="Q103" s="7" t="str">
        <f>IF('Release Calendar'!I103&lt;&gt;"",'Release Calendar'!I103,"")</f>
        <v/>
      </c>
      <c r="R103" s="7" t="str">
        <f>IF('Release Calendar'!J103&lt;&gt;"",'Release Calendar'!J103,"")</f>
        <v/>
      </c>
    </row>
    <row r="104" spans="1:18" ht="20.100000000000001" customHeight="1">
      <c r="A104" s="31">
        <v>100</v>
      </c>
      <c r="B104" s="32" t="str">
        <f>IF('Release Calendar'!B104&lt;&gt;"",'Release Calendar'!B104,"")</f>
        <v/>
      </c>
      <c r="C104" s="33" t="str">
        <f>IF('Release Calendar'!K104&lt;&gt;"",'Release Calendar'!K104,"")</f>
        <v/>
      </c>
      <c r="D104" s="33" t="str">
        <f>IF('Release Calendar'!M104&lt;&gt;"",'Release Calendar'!M104,"")</f>
        <v/>
      </c>
      <c r="E104" s="34" t="str">
        <f>IF(AND(Q104&lt;&gt;"",R104&lt;&gt;"",DATE(2026,2,0)&gt;=Q104,DATE(2026,1,1)&lt;=R104),"█","")</f>
        <v/>
      </c>
      <c r="F104" s="34" t="str">
        <f>IF(AND(Q104&lt;&gt;"",R104&lt;&gt;"",DATE(2026,3,0)&gt;=Q104,DATE(2026,2,1)&lt;=R104),"█","")</f>
        <v/>
      </c>
      <c r="G104" s="34" t="str">
        <f>IF(AND(Q104&lt;&gt;"",R104&lt;&gt;"",DATE(2026,4,0)&gt;=Q104,DATE(2026,3,1)&lt;=R104),"█","")</f>
        <v/>
      </c>
      <c r="H104" s="34" t="str">
        <f>IF(AND(Q104&lt;&gt;"",R104&lt;&gt;"",DATE(2026,5,0)&gt;=Q104,DATE(2026,4,1)&lt;=R104),"█","")</f>
        <v/>
      </c>
      <c r="I104" s="34" t="str">
        <f>IF(AND(Q104&lt;&gt;"",R104&lt;&gt;"",DATE(2026,6,0)&gt;=Q104,DATE(2026,5,1)&lt;=R104),"█","")</f>
        <v/>
      </c>
      <c r="J104" s="34" t="str">
        <f>IF(AND(Q104&lt;&gt;"",R104&lt;&gt;"",DATE(2026,7,0)&gt;=Q104,DATE(2026,6,1)&lt;=R104),"█","")</f>
        <v/>
      </c>
      <c r="K104" s="34" t="str">
        <f>IF(AND(Q104&lt;&gt;"",R104&lt;&gt;"",DATE(2026,8,0)&gt;=Q104,DATE(2026,7,1)&lt;=R104),"█","")</f>
        <v/>
      </c>
      <c r="L104" s="34" t="str">
        <f>IF(AND(Q104&lt;&gt;"",R104&lt;&gt;"",DATE(2026,9,0)&gt;=Q104,DATE(2026,8,1)&lt;=R104),"█","")</f>
        <v/>
      </c>
      <c r="M104" s="34" t="str">
        <f>IF(AND(Q104&lt;&gt;"",R104&lt;&gt;"",DATE(2026,10,0)&gt;=Q104,DATE(2026,9,1)&lt;=R104),"█","")</f>
        <v/>
      </c>
      <c r="N104" s="34" t="str">
        <f>IF(AND(Q104&lt;&gt;"",R104&lt;&gt;"",DATE(2026,11,0)&gt;=Q104,DATE(2026,10,1)&lt;=R104),"█","")</f>
        <v/>
      </c>
      <c r="O104" s="34" t="str">
        <f>IF(AND(Q104&lt;&gt;"",R104&lt;&gt;"",DATE(2026,12,0)&gt;=Q104,DATE(2026,11,1)&lt;=R104),"█","")</f>
        <v/>
      </c>
      <c r="P104" s="34" t="str">
        <f>IF(AND(Q104&lt;&gt;"",R104&lt;&gt;"",DATE(2026,12,31)&gt;=Q104,DATE(2026,12,1)&lt;=R104),"█","")</f>
        <v/>
      </c>
      <c r="Q104" s="7" t="str">
        <f>IF('Release Calendar'!I104&lt;&gt;"",'Release Calendar'!I104,"")</f>
        <v/>
      </c>
      <c r="R104" s="7" t="str">
        <f>IF('Release Calendar'!J104&lt;&gt;"",'Release Calendar'!J104,"")</f>
        <v/>
      </c>
    </row>
    <row r="105" spans="1:18" ht="20.100000000000001" customHeight="1">
      <c r="A105" s="14">
        <v>101</v>
      </c>
      <c r="B105" s="28" t="str">
        <f>IF('Release Calendar'!B105&lt;&gt;"",'Release Calendar'!B105,"")</f>
        <v/>
      </c>
      <c r="C105" s="29" t="str">
        <f>IF('Release Calendar'!K105&lt;&gt;"",'Release Calendar'!K105,"")</f>
        <v/>
      </c>
      <c r="D105" s="29" t="str">
        <f>IF('Release Calendar'!M105&lt;&gt;"",'Release Calendar'!M105,"")</f>
        <v/>
      </c>
      <c r="E105" s="30" t="str">
        <f>IF(AND(Q105&lt;&gt;"",R105&lt;&gt;"",DATE(2026,2,0)&gt;=Q105,DATE(2026,1,1)&lt;=R105),"█","")</f>
        <v/>
      </c>
      <c r="F105" s="30" t="str">
        <f>IF(AND(Q105&lt;&gt;"",R105&lt;&gt;"",DATE(2026,3,0)&gt;=Q105,DATE(2026,2,1)&lt;=R105),"█","")</f>
        <v/>
      </c>
      <c r="G105" s="30" t="str">
        <f>IF(AND(Q105&lt;&gt;"",R105&lt;&gt;"",DATE(2026,4,0)&gt;=Q105,DATE(2026,3,1)&lt;=R105),"█","")</f>
        <v/>
      </c>
      <c r="H105" s="30" t="str">
        <f>IF(AND(Q105&lt;&gt;"",R105&lt;&gt;"",DATE(2026,5,0)&gt;=Q105,DATE(2026,4,1)&lt;=R105),"█","")</f>
        <v/>
      </c>
      <c r="I105" s="30" t="str">
        <f>IF(AND(Q105&lt;&gt;"",R105&lt;&gt;"",DATE(2026,6,0)&gt;=Q105,DATE(2026,5,1)&lt;=R105),"█","")</f>
        <v/>
      </c>
      <c r="J105" s="30" t="str">
        <f>IF(AND(Q105&lt;&gt;"",R105&lt;&gt;"",DATE(2026,7,0)&gt;=Q105,DATE(2026,6,1)&lt;=R105),"█","")</f>
        <v/>
      </c>
      <c r="K105" s="30" t="str">
        <f>IF(AND(Q105&lt;&gt;"",R105&lt;&gt;"",DATE(2026,8,0)&gt;=Q105,DATE(2026,7,1)&lt;=R105),"█","")</f>
        <v/>
      </c>
      <c r="L105" s="30" t="str">
        <f>IF(AND(Q105&lt;&gt;"",R105&lt;&gt;"",DATE(2026,9,0)&gt;=Q105,DATE(2026,8,1)&lt;=R105),"█","")</f>
        <v/>
      </c>
      <c r="M105" s="30" t="str">
        <f>IF(AND(Q105&lt;&gt;"",R105&lt;&gt;"",DATE(2026,10,0)&gt;=Q105,DATE(2026,9,1)&lt;=R105),"█","")</f>
        <v/>
      </c>
      <c r="N105" s="30" t="str">
        <f>IF(AND(Q105&lt;&gt;"",R105&lt;&gt;"",DATE(2026,11,0)&gt;=Q105,DATE(2026,10,1)&lt;=R105),"█","")</f>
        <v/>
      </c>
      <c r="O105" s="30" t="str">
        <f>IF(AND(Q105&lt;&gt;"",R105&lt;&gt;"",DATE(2026,12,0)&gt;=Q105,DATE(2026,11,1)&lt;=R105),"█","")</f>
        <v/>
      </c>
      <c r="P105" s="30" t="str">
        <f>IF(AND(Q105&lt;&gt;"",R105&lt;&gt;"",DATE(2026,12,31)&gt;=Q105,DATE(2026,12,1)&lt;=R105),"█","")</f>
        <v/>
      </c>
      <c r="Q105" s="7" t="str">
        <f>IF('Release Calendar'!I105&lt;&gt;"",'Release Calendar'!I105,"")</f>
        <v/>
      </c>
      <c r="R105" s="7" t="str">
        <f>IF('Release Calendar'!J105&lt;&gt;"",'Release Calendar'!J105,"")</f>
        <v/>
      </c>
    </row>
    <row r="106" spans="1:18" ht="20.100000000000001" customHeight="1">
      <c r="A106" s="31">
        <v>102</v>
      </c>
      <c r="B106" s="32" t="str">
        <f>IF('Release Calendar'!B106&lt;&gt;"",'Release Calendar'!B106,"")</f>
        <v/>
      </c>
      <c r="C106" s="33" t="str">
        <f>IF('Release Calendar'!K106&lt;&gt;"",'Release Calendar'!K106,"")</f>
        <v/>
      </c>
      <c r="D106" s="33" t="str">
        <f>IF('Release Calendar'!M106&lt;&gt;"",'Release Calendar'!M106,"")</f>
        <v/>
      </c>
      <c r="E106" s="34" t="str">
        <f>IF(AND(Q106&lt;&gt;"",R106&lt;&gt;"",DATE(2026,2,0)&gt;=Q106,DATE(2026,1,1)&lt;=R106),"█","")</f>
        <v/>
      </c>
      <c r="F106" s="34" t="str">
        <f>IF(AND(Q106&lt;&gt;"",R106&lt;&gt;"",DATE(2026,3,0)&gt;=Q106,DATE(2026,2,1)&lt;=R106),"█","")</f>
        <v/>
      </c>
      <c r="G106" s="34" t="str">
        <f>IF(AND(Q106&lt;&gt;"",R106&lt;&gt;"",DATE(2026,4,0)&gt;=Q106,DATE(2026,3,1)&lt;=R106),"█","")</f>
        <v/>
      </c>
      <c r="H106" s="34" t="str">
        <f>IF(AND(Q106&lt;&gt;"",R106&lt;&gt;"",DATE(2026,5,0)&gt;=Q106,DATE(2026,4,1)&lt;=R106),"█","")</f>
        <v/>
      </c>
      <c r="I106" s="34" t="str">
        <f>IF(AND(Q106&lt;&gt;"",R106&lt;&gt;"",DATE(2026,6,0)&gt;=Q106,DATE(2026,5,1)&lt;=R106),"█","")</f>
        <v/>
      </c>
      <c r="J106" s="34" t="str">
        <f>IF(AND(Q106&lt;&gt;"",R106&lt;&gt;"",DATE(2026,7,0)&gt;=Q106,DATE(2026,6,1)&lt;=R106),"█","")</f>
        <v/>
      </c>
      <c r="K106" s="34" t="str">
        <f>IF(AND(Q106&lt;&gt;"",R106&lt;&gt;"",DATE(2026,8,0)&gt;=Q106,DATE(2026,7,1)&lt;=R106),"█","")</f>
        <v/>
      </c>
      <c r="L106" s="34" t="str">
        <f>IF(AND(Q106&lt;&gt;"",R106&lt;&gt;"",DATE(2026,9,0)&gt;=Q106,DATE(2026,8,1)&lt;=R106),"█","")</f>
        <v/>
      </c>
      <c r="M106" s="34" t="str">
        <f>IF(AND(Q106&lt;&gt;"",R106&lt;&gt;"",DATE(2026,10,0)&gt;=Q106,DATE(2026,9,1)&lt;=R106),"█","")</f>
        <v/>
      </c>
      <c r="N106" s="34" t="str">
        <f>IF(AND(Q106&lt;&gt;"",R106&lt;&gt;"",DATE(2026,11,0)&gt;=Q106,DATE(2026,10,1)&lt;=R106),"█","")</f>
        <v/>
      </c>
      <c r="O106" s="34" t="str">
        <f>IF(AND(Q106&lt;&gt;"",R106&lt;&gt;"",DATE(2026,12,0)&gt;=Q106,DATE(2026,11,1)&lt;=R106),"█","")</f>
        <v/>
      </c>
      <c r="P106" s="34" t="str">
        <f>IF(AND(Q106&lt;&gt;"",R106&lt;&gt;"",DATE(2026,12,31)&gt;=Q106,DATE(2026,12,1)&lt;=R106),"█","")</f>
        <v/>
      </c>
      <c r="Q106" s="7" t="str">
        <f>IF('Release Calendar'!I106&lt;&gt;"",'Release Calendar'!I106,"")</f>
        <v/>
      </c>
      <c r="R106" s="7" t="str">
        <f>IF('Release Calendar'!J106&lt;&gt;"",'Release Calendar'!J106,"")</f>
        <v/>
      </c>
    </row>
    <row r="107" spans="1:18" ht="20.100000000000001" customHeight="1">
      <c r="A107" s="14">
        <v>103</v>
      </c>
      <c r="B107" s="28" t="str">
        <f>IF('Release Calendar'!B107&lt;&gt;"",'Release Calendar'!B107,"")</f>
        <v/>
      </c>
      <c r="C107" s="29" t="str">
        <f>IF('Release Calendar'!K107&lt;&gt;"",'Release Calendar'!K107,"")</f>
        <v/>
      </c>
      <c r="D107" s="29" t="str">
        <f>IF('Release Calendar'!M107&lt;&gt;"",'Release Calendar'!M107,"")</f>
        <v/>
      </c>
      <c r="E107" s="30" t="str">
        <f>IF(AND(Q107&lt;&gt;"",R107&lt;&gt;"",DATE(2026,2,0)&gt;=Q107,DATE(2026,1,1)&lt;=R107),"█","")</f>
        <v/>
      </c>
      <c r="F107" s="30" t="str">
        <f>IF(AND(Q107&lt;&gt;"",R107&lt;&gt;"",DATE(2026,3,0)&gt;=Q107,DATE(2026,2,1)&lt;=R107),"█","")</f>
        <v/>
      </c>
      <c r="G107" s="30" t="str">
        <f>IF(AND(Q107&lt;&gt;"",R107&lt;&gt;"",DATE(2026,4,0)&gt;=Q107,DATE(2026,3,1)&lt;=R107),"█","")</f>
        <v/>
      </c>
      <c r="H107" s="30" t="str">
        <f>IF(AND(Q107&lt;&gt;"",R107&lt;&gt;"",DATE(2026,5,0)&gt;=Q107,DATE(2026,4,1)&lt;=R107),"█","")</f>
        <v/>
      </c>
      <c r="I107" s="30" t="str">
        <f>IF(AND(Q107&lt;&gt;"",R107&lt;&gt;"",DATE(2026,6,0)&gt;=Q107,DATE(2026,5,1)&lt;=R107),"█","")</f>
        <v/>
      </c>
      <c r="J107" s="30" t="str">
        <f>IF(AND(Q107&lt;&gt;"",R107&lt;&gt;"",DATE(2026,7,0)&gt;=Q107,DATE(2026,6,1)&lt;=R107),"█","")</f>
        <v/>
      </c>
      <c r="K107" s="30" t="str">
        <f>IF(AND(Q107&lt;&gt;"",R107&lt;&gt;"",DATE(2026,8,0)&gt;=Q107,DATE(2026,7,1)&lt;=R107),"█","")</f>
        <v/>
      </c>
      <c r="L107" s="30" t="str">
        <f>IF(AND(Q107&lt;&gt;"",R107&lt;&gt;"",DATE(2026,9,0)&gt;=Q107,DATE(2026,8,1)&lt;=R107),"█","")</f>
        <v/>
      </c>
      <c r="M107" s="30" t="str">
        <f>IF(AND(Q107&lt;&gt;"",R107&lt;&gt;"",DATE(2026,10,0)&gt;=Q107,DATE(2026,9,1)&lt;=R107),"█","")</f>
        <v/>
      </c>
      <c r="N107" s="30" t="str">
        <f>IF(AND(Q107&lt;&gt;"",R107&lt;&gt;"",DATE(2026,11,0)&gt;=Q107,DATE(2026,10,1)&lt;=R107),"█","")</f>
        <v/>
      </c>
      <c r="O107" s="30" t="str">
        <f>IF(AND(Q107&lt;&gt;"",R107&lt;&gt;"",DATE(2026,12,0)&gt;=Q107,DATE(2026,11,1)&lt;=R107),"█","")</f>
        <v/>
      </c>
      <c r="P107" s="30" t="str">
        <f>IF(AND(Q107&lt;&gt;"",R107&lt;&gt;"",DATE(2026,12,31)&gt;=Q107,DATE(2026,12,1)&lt;=R107),"█","")</f>
        <v/>
      </c>
      <c r="Q107" s="7" t="str">
        <f>IF('Release Calendar'!I107&lt;&gt;"",'Release Calendar'!I107,"")</f>
        <v/>
      </c>
      <c r="R107" s="7" t="str">
        <f>IF('Release Calendar'!J107&lt;&gt;"",'Release Calendar'!J107,"")</f>
        <v/>
      </c>
    </row>
    <row r="108" spans="1:18" ht="20.100000000000001" customHeight="1">
      <c r="A108" s="31">
        <v>104</v>
      </c>
      <c r="B108" s="32" t="str">
        <f>IF('Release Calendar'!B108&lt;&gt;"",'Release Calendar'!B108,"")</f>
        <v/>
      </c>
      <c r="C108" s="33" t="str">
        <f>IF('Release Calendar'!K108&lt;&gt;"",'Release Calendar'!K108,"")</f>
        <v/>
      </c>
      <c r="D108" s="33" t="str">
        <f>IF('Release Calendar'!M108&lt;&gt;"",'Release Calendar'!M108,"")</f>
        <v/>
      </c>
      <c r="E108" s="34" t="str">
        <f>IF(AND(Q108&lt;&gt;"",R108&lt;&gt;"",DATE(2026,2,0)&gt;=Q108,DATE(2026,1,1)&lt;=R108),"█","")</f>
        <v/>
      </c>
      <c r="F108" s="34" t="str">
        <f>IF(AND(Q108&lt;&gt;"",R108&lt;&gt;"",DATE(2026,3,0)&gt;=Q108,DATE(2026,2,1)&lt;=R108),"█","")</f>
        <v/>
      </c>
      <c r="G108" s="34" t="str">
        <f>IF(AND(Q108&lt;&gt;"",R108&lt;&gt;"",DATE(2026,4,0)&gt;=Q108,DATE(2026,3,1)&lt;=R108),"█","")</f>
        <v/>
      </c>
      <c r="H108" s="34" t="str">
        <f>IF(AND(Q108&lt;&gt;"",R108&lt;&gt;"",DATE(2026,5,0)&gt;=Q108,DATE(2026,4,1)&lt;=R108),"█","")</f>
        <v/>
      </c>
      <c r="I108" s="34" t="str">
        <f>IF(AND(Q108&lt;&gt;"",R108&lt;&gt;"",DATE(2026,6,0)&gt;=Q108,DATE(2026,5,1)&lt;=R108),"█","")</f>
        <v/>
      </c>
      <c r="J108" s="34" t="str">
        <f>IF(AND(Q108&lt;&gt;"",R108&lt;&gt;"",DATE(2026,7,0)&gt;=Q108,DATE(2026,6,1)&lt;=R108),"█","")</f>
        <v/>
      </c>
      <c r="K108" s="34" t="str">
        <f>IF(AND(Q108&lt;&gt;"",R108&lt;&gt;"",DATE(2026,8,0)&gt;=Q108,DATE(2026,7,1)&lt;=R108),"█","")</f>
        <v/>
      </c>
      <c r="L108" s="34" t="str">
        <f>IF(AND(Q108&lt;&gt;"",R108&lt;&gt;"",DATE(2026,9,0)&gt;=Q108,DATE(2026,8,1)&lt;=R108),"█","")</f>
        <v/>
      </c>
      <c r="M108" s="34" t="str">
        <f>IF(AND(Q108&lt;&gt;"",R108&lt;&gt;"",DATE(2026,10,0)&gt;=Q108,DATE(2026,9,1)&lt;=R108),"█","")</f>
        <v/>
      </c>
      <c r="N108" s="34" t="str">
        <f>IF(AND(Q108&lt;&gt;"",R108&lt;&gt;"",DATE(2026,11,0)&gt;=Q108,DATE(2026,10,1)&lt;=R108),"█","")</f>
        <v/>
      </c>
      <c r="O108" s="34" t="str">
        <f>IF(AND(Q108&lt;&gt;"",R108&lt;&gt;"",DATE(2026,12,0)&gt;=Q108,DATE(2026,11,1)&lt;=R108),"█","")</f>
        <v/>
      </c>
      <c r="P108" s="34" t="str">
        <f>IF(AND(Q108&lt;&gt;"",R108&lt;&gt;"",DATE(2026,12,31)&gt;=Q108,DATE(2026,12,1)&lt;=R108),"█","")</f>
        <v/>
      </c>
      <c r="Q108" s="7" t="str">
        <f>IF('Release Calendar'!I108&lt;&gt;"",'Release Calendar'!I108,"")</f>
        <v/>
      </c>
      <c r="R108" s="7" t="str">
        <f>IF('Release Calendar'!J108&lt;&gt;"",'Release Calendar'!J108,"")</f>
        <v/>
      </c>
    </row>
    <row r="109" spans="1:18" ht="20.100000000000001" customHeight="1">
      <c r="A109" s="14">
        <v>105</v>
      </c>
      <c r="B109" s="28" t="str">
        <f>IF('Release Calendar'!B109&lt;&gt;"",'Release Calendar'!B109,"")</f>
        <v/>
      </c>
      <c r="C109" s="29" t="str">
        <f>IF('Release Calendar'!K109&lt;&gt;"",'Release Calendar'!K109,"")</f>
        <v/>
      </c>
      <c r="D109" s="29" t="str">
        <f>IF('Release Calendar'!M109&lt;&gt;"",'Release Calendar'!M109,"")</f>
        <v/>
      </c>
      <c r="E109" s="30" t="str">
        <f>IF(AND(Q109&lt;&gt;"",R109&lt;&gt;"",DATE(2026,2,0)&gt;=Q109,DATE(2026,1,1)&lt;=R109),"█","")</f>
        <v/>
      </c>
      <c r="F109" s="30" t="str">
        <f>IF(AND(Q109&lt;&gt;"",R109&lt;&gt;"",DATE(2026,3,0)&gt;=Q109,DATE(2026,2,1)&lt;=R109),"█","")</f>
        <v/>
      </c>
      <c r="G109" s="30" t="str">
        <f>IF(AND(Q109&lt;&gt;"",R109&lt;&gt;"",DATE(2026,4,0)&gt;=Q109,DATE(2026,3,1)&lt;=R109),"█","")</f>
        <v/>
      </c>
      <c r="H109" s="30" t="str">
        <f>IF(AND(Q109&lt;&gt;"",R109&lt;&gt;"",DATE(2026,5,0)&gt;=Q109,DATE(2026,4,1)&lt;=R109),"█","")</f>
        <v/>
      </c>
      <c r="I109" s="30" t="str">
        <f>IF(AND(Q109&lt;&gt;"",R109&lt;&gt;"",DATE(2026,6,0)&gt;=Q109,DATE(2026,5,1)&lt;=R109),"█","")</f>
        <v/>
      </c>
      <c r="J109" s="30" t="str">
        <f>IF(AND(Q109&lt;&gt;"",R109&lt;&gt;"",DATE(2026,7,0)&gt;=Q109,DATE(2026,6,1)&lt;=R109),"█","")</f>
        <v/>
      </c>
      <c r="K109" s="30" t="str">
        <f>IF(AND(Q109&lt;&gt;"",R109&lt;&gt;"",DATE(2026,8,0)&gt;=Q109,DATE(2026,7,1)&lt;=R109),"█","")</f>
        <v/>
      </c>
      <c r="L109" s="30" t="str">
        <f>IF(AND(Q109&lt;&gt;"",R109&lt;&gt;"",DATE(2026,9,0)&gt;=Q109,DATE(2026,8,1)&lt;=R109),"█","")</f>
        <v/>
      </c>
      <c r="M109" s="30" t="str">
        <f>IF(AND(Q109&lt;&gt;"",R109&lt;&gt;"",DATE(2026,10,0)&gt;=Q109,DATE(2026,9,1)&lt;=R109),"█","")</f>
        <v/>
      </c>
      <c r="N109" s="30" t="str">
        <f>IF(AND(Q109&lt;&gt;"",R109&lt;&gt;"",DATE(2026,11,0)&gt;=Q109,DATE(2026,10,1)&lt;=R109),"█","")</f>
        <v/>
      </c>
      <c r="O109" s="30" t="str">
        <f>IF(AND(Q109&lt;&gt;"",R109&lt;&gt;"",DATE(2026,12,0)&gt;=Q109,DATE(2026,11,1)&lt;=R109),"█","")</f>
        <v/>
      </c>
      <c r="P109" s="30" t="str">
        <f>IF(AND(Q109&lt;&gt;"",R109&lt;&gt;"",DATE(2026,12,31)&gt;=Q109,DATE(2026,12,1)&lt;=R109),"█","")</f>
        <v/>
      </c>
      <c r="Q109" s="7" t="str">
        <f>IF('Release Calendar'!I109&lt;&gt;"",'Release Calendar'!I109,"")</f>
        <v/>
      </c>
      <c r="R109" s="7" t="str">
        <f>IF('Release Calendar'!J109&lt;&gt;"",'Release Calendar'!J109,"")</f>
        <v/>
      </c>
    </row>
    <row r="110" spans="1:18" ht="20.100000000000001" customHeight="1">
      <c r="A110" s="31">
        <v>106</v>
      </c>
      <c r="B110" s="32" t="str">
        <f>IF('Release Calendar'!B110&lt;&gt;"",'Release Calendar'!B110,"")</f>
        <v/>
      </c>
      <c r="C110" s="33" t="str">
        <f>IF('Release Calendar'!K110&lt;&gt;"",'Release Calendar'!K110,"")</f>
        <v/>
      </c>
      <c r="D110" s="33" t="str">
        <f>IF('Release Calendar'!M110&lt;&gt;"",'Release Calendar'!M110,"")</f>
        <v/>
      </c>
      <c r="E110" s="34" t="str">
        <f>IF(AND(Q110&lt;&gt;"",R110&lt;&gt;"",DATE(2026,2,0)&gt;=Q110,DATE(2026,1,1)&lt;=R110),"█","")</f>
        <v/>
      </c>
      <c r="F110" s="34" t="str">
        <f>IF(AND(Q110&lt;&gt;"",R110&lt;&gt;"",DATE(2026,3,0)&gt;=Q110,DATE(2026,2,1)&lt;=R110),"█","")</f>
        <v/>
      </c>
      <c r="G110" s="34" t="str">
        <f>IF(AND(Q110&lt;&gt;"",R110&lt;&gt;"",DATE(2026,4,0)&gt;=Q110,DATE(2026,3,1)&lt;=R110),"█","")</f>
        <v/>
      </c>
      <c r="H110" s="34" t="str">
        <f>IF(AND(Q110&lt;&gt;"",R110&lt;&gt;"",DATE(2026,5,0)&gt;=Q110,DATE(2026,4,1)&lt;=R110),"█","")</f>
        <v/>
      </c>
      <c r="I110" s="34" t="str">
        <f>IF(AND(Q110&lt;&gt;"",R110&lt;&gt;"",DATE(2026,6,0)&gt;=Q110,DATE(2026,5,1)&lt;=R110),"█","")</f>
        <v/>
      </c>
      <c r="J110" s="34" t="str">
        <f>IF(AND(Q110&lt;&gt;"",R110&lt;&gt;"",DATE(2026,7,0)&gt;=Q110,DATE(2026,6,1)&lt;=R110),"█","")</f>
        <v/>
      </c>
      <c r="K110" s="34" t="str">
        <f>IF(AND(Q110&lt;&gt;"",R110&lt;&gt;"",DATE(2026,8,0)&gt;=Q110,DATE(2026,7,1)&lt;=R110),"█","")</f>
        <v/>
      </c>
      <c r="L110" s="34" t="str">
        <f>IF(AND(Q110&lt;&gt;"",R110&lt;&gt;"",DATE(2026,9,0)&gt;=Q110,DATE(2026,8,1)&lt;=R110),"█","")</f>
        <v/>
      </c>
      <c r="M110" s="34" t="str">
        <f>IF(AND(Q110&lt;&gt;"",R110&lt;&gt;"",DATE(2026,10,0)&gt;=Q110,DATE(2026,9,1)&lt;=R110),"█","")</f>
        <v/>
      </c>
      <c r="N110" s="34" t="str">
        <f>IF(AND(Q110&lt;&gt;"",R110&lt;&gt;"",DATE(2026,11,0)&gt;=Q110,DATE(2026,10,1)&lt;=R110),"█","")</f>
        <v/>
      </c>
      <c r="O110" s="34" t="str">
        <f>IF(AND(Q110&lt;&gt;"",R110&lt;&gt;"",DATE(2026,12,0)&gt;=Q110,DATE(2026,11,1)&lt;=R110),"█","")</f>
        <v/>
      </c>
      <c r="P110" s="34" t="str">
        <f>IF(AND(Q110&lt;&gt;"",R110&lt;&gt;"",DATE(2026,12,31)&gt;=Q110,DATE(2026,12,1)&lt;=R110),"█","")</f>
        <v/>
      </c>
      <c r="Q110" s="7" t="str">
        <f>IF('Release Calendar'!I110&lt;&gt;"",'Release Calendar'!I110,"")</f>
        <v/>
      </c>
      <c r="R110" s="7" t="str">
        <f>IF('Release Calendar'!J110&lt;&gt;"",'Release Calendar'!J110,"")</f>
        <v/>
      </c>
    </row>
    <row r="111" spans="1:18" ht="20.100000000000001" customHeight="1">
      <c r="A111" s="14">
        <v>107</v>
      </c>
      <c r="B111" s="28" t="str">
        <f>IF('Release Calendar'!B111&lt;&gt;"",'Release Calendar'!B111,"")</f>
        <v/>
      </c>
      <c r="C111" s="29" t="str">
        <f>IF('Release Calendar'!K111&lt;&gt;"",'Release Calendar'!K111,"")</f>
        <v/>
      </c>
      <c r="D111" s="29" t="str">
        <f>IF('Release Calendar'!M111&lt;&gt;"",'Release Calendar'!M111,"")</f>
        <v/>
      </c>
      <c r="E111" s="30" t="str">
        <f>IF(AND(Q111&lt;&gt;"",R111&lt;&gt;"",DATE(2026,2,0)&gt;=Q111,DATE(2026,1,1)&lt;=R111),"█","")</f>
        <v/>
      </c>
      <c r="F111" s="30" t="str">
        <f>IF(AND(Q111&lt;&gt;"",R111&lt;&gt;"",DATE(2026,3,0)&gt;=Q111,DATE(2026,2,1)&lt;=R111),"█","")</f>
        <v/>
      </c>
      <c r="G111" s="30" t="str">
        <f>IF(AND(Q111&lt;&gt;"",R111&lt;&gt;"",DATE(2026,4,0)&gt;=Q111,DATE(2026,3,1)&lt;=R111),"█","")</f>
        <v/>
      </c>
      <c r="H111" s="30" t="str">
        <f>IF(AND(Q111&lt;&gt;"",R111&lt;&gt;"",DATE(2026,5,0)&gt;=Q111,DATE(2026,4,1)&lt;=R111),"█","")</f>
        <v/>
      </c>
      <c r="I111" s="30" t="str">
        <f>IF(AND(Q111&lt;&gt;"",R111&lt;&gt;"",DATE(2026,6,0)&gt;=Q111,DATE(2026,5,1)&lt;=R111),"█","")</f>
        <v/>
      </c>
      <c r="J111" s="30" t="str">
        <f>IF(AND(Q111&lt;&gt;"",R111&lt;&gt;"",DATE(2026,7,0)&gt;=Q111,DATE(2026,6,1)&lt;=R111),"█","")</f>
        <v/>
      </c>
      <c r="K111" s="30" t="str">
        <f>IF(AND(Q111&lt;&gt;"",R111&lt;&gt;"",DATE(2026,8,0)&gt;=Q111,DATE(2026,7,1)&lt;=R111),"█","")</f>
        <v/>
      </c>
      <c r="L111" s="30" t="str">
        <f>IF(AND(Q111&lt;&gt;"",R111&lt;&gt;"",DATE(2026,9,0)&gt;=Q111,DATE(2026,8,1)&lt;=R111),"█","")</f>
        <v/>
      </c>
      <c r="M111" s="30" t="str">
        <f>IF(AND(Q111&lt;&gt;"",R111&lt;&gt;"",DATE(2026,10,0)&gt;=Q111,DATE(2026,9,1)&lt;=R111),"█","")</f>
        <v/>
      </c>
      <c r="N111" s="30" t="str">
        <f>IF(AND(Q111&lt;&gt;"",R111&lt;&gt;"",DATE(2026,11,0)&gt;=Q111,DATE(2026,10,1)&lt;=R111),"█","")</f>
        <v/>
      </c>
      <c r="O111" s="30" t="str">
        <f>IF(AND(Q111&lt;&gt;"",R111&lt;&gt;"",DATE(2026,12,0)&gt;=Q111,DATE(2026,11,1)&lt;=R111),"█","")</f>
        <v/>
      </c>
      <c r="P111" s="30" t="str">
        <f>IF(AND(Q111&lt;&gt;"",R111&lt;&gt;"",DATE(2026,12,31)&gt;=Q111,DATE(2026,12,1)&lt;=R111),"█","")</f>
        <v/>
      </c>
      <c r="Q111" s="7" t="str">
        <f>IF('Release Calendar'!I111&lt;&gt;"",'Release Calendar'!I111,"")</f>
        <v/>
      </c>
      <c r="R111" s="7" t="str">
        <f>IF('Release Calendar'!J111&lt;&gt;"",'Release Calendar'!J111,"")</f>
        <v/>
      </c>
    </row>
    <row r="112" spans="1:18" ht="20.100000000000001" customHeight="1">
      <c r="A112" s="31">
        <v>108</v>
      </c>
      <c r="B112" s="32" t="str">
        <f>IF('Release Calendar'!B112&lt;&gt;"",'Release Calendar'!B112,"")</f>
        <v/>
      </c>
      <c r="C112" s="33" t="str">
        <f>IF('Release Calendar'!K112&lt;&gt;"",'Release Calendar'!K112,"")</f>
        <v/>
      </c>
      <c r="D112" s="33" t="str">
        <f>IF('Release Calendar'!M112&lt;&gt;"",'Release Calendar'!M112,"")</f>
        <v/>
      </c>
      <c r="E112" s="34" t="str">
        <f>IF(AND(Q112&lt;&gt;"",R112&lt;&gt;"",DATE(2026,2,0)&gt;=Q112,DATE(2026,1,1)&lt;=R112),"█","")</f>
        <v/>
      </c>
      <c r="F112" s="34" t="str">
        <f>IF(AND(Q112&lt;&gt;"",R112&lt;&gt;"",DATE(2026,3,0)&gt;=Q112,DATE(2026,2,1)&lt;=R112),"█","")</f>
        <v/>
      </c>
      <c r="G112" s="34" t="str">
        <f>IF(AND(Q112&lt;&gt;"",R112&lt;&gt;"",DATE(2026,4,0)&gt;=Q112,DATE(2026,3,1)&lt;=R112),"█","")</f>
        <v/>
      </c>
      <c r="H112" s="34" t="str">
        <f>IF(AND(Q112&lt;&gt;"",R112&lt;&gt;"",DATE(2026,5,0)&gt;=Q112,DATE(2026,4,1)&lt;=R112),"█","")</f>
        <v/>
      </c>
      <c r="I112" s="34" t="str">
        <f>IF(AND(Q112&lt;&gt;"",R112&lt;&gt;"",DATE(2026,6,0)&gt;=Q112,DATE(2026,5,1)&lt;=R112),"█","")</f>
        <v/>
      </c>
      <c r="J112" s="34" t="str">
        <f>IF(AND(Q112&lt;&gt;"",R112&lt;&gt;"",DATE(2026,7,0)&gt;=Q112,DATE(2026,6,1)&lt;=R112),"█","")</f>
        <v/>
      </c>
      <c r="K112" s="34" t="str">
        <f>IF(AND(Q112&lt;&gt;"",R112&lt;&gt;"",DATE(2026,8,0)&gt;=Q112,DATE(2026,7,1)&lt;=R112),"█","")</f>
        <v/>
      </c>
      <c r="L112" s="34" t="str">
        <f>IF(AND(Q112&lt;&gt;"",R112&lt;&gt;"",DATE(2026,9,0)&gt;=Q112,DATE(2026,8,1)&lt;=R112),"█","")</f>
        <v/>
      </c>
      <c r="M112" s="34" t="str">
        <f>IF(AND(Q112&lt;&gt;"",R112&lt;&gt;"",DATE(2026,10,0)&gt;=Q112,DATE(2026,9,1)&lt;=R112),"█","")</f>
        <v/>
      </c>
      <c r="N112" s="34" t="str">
        <f>IF(AND(Q112&lt;&gt;"",R112&lt;&gt;"",DATE(2026,11,0)&gt;=Q112,DATE(2026,10,1)&lt;=R112),"█","")</f>
        <v/>
      </c>
      <c r="O112" s="34" t="str">
        <f>IF(AND(Q112&lt;&gt;"",R112&lt;&gt;"",DATE(2026,12,0)&gt;=Q112,DATE(2026,11,1)&lt;=R112),"█","")</f>
        <v/>
      </c>
      <c r="P112" s="34" t="str">
        <f>IF(AND(Q112&lt;&gt;"",R112&lt;&gt;"",DATE(2026,12,31)&gt;=Q112,DATE(2026,12,1)&lt;=R112),"█","")</f>
        <v/>
      </c>
      <c r="Q112" s="7" t="str">
        <f>IF('Release Calendar'!I112&lt;&gt;"",'Release Calendar'!I112,"")</f>
        <v/>
      </c>
      <c r="R112" s="7" t="str">
        <f>IF('Release Calendar'!J112&lt;&gt;"",'Release Calendar'!J112,"")</f>
        <v/>
      </c>
    </row>
    <row r="113" spans="1:18" ht="20.100000000000001" customHeight="1">
      <c r="A113" s="14">
        <v>109</v>
      </c>
      <c r="B113" s="28" t="str">
        <f>IF('Release Calendar'!B113&lt;&gt;"",'Release Calendar'!B113,"")</f>
        <v/>
      </c>
      <c r="C113" s="29" t="str">
        <f>IF('Release Calendar'!K113&lt;&gt;"",'Release Calendar'!K113,"")</f>
        <v/>
      </c>
      <c r="D113" s="29" t="str">
        <f>IF('Release Calendar'!M113&lt;&gt;"",'Release Calendar'!M113,"")</f>
        <v/>
      </c>
      <c r="E113" s="30" t="str">
        <f>IF(AND(Q113&lt;&gt;"",R113&lt;&gt;"",DATE(2026,2,0)&gt;=Q113,DATE(2026,1,1)&lt;=R113),"█","")</f>
        <v/>
      </c>
      <c r="F113" s="30" t="str">
        <f>IF(AND(Q113&lt;&gt;"",R113&lt;&gt;"",DATE(2026,3,0)&gt;=Q113,DATE(2026,2,1)&lt;=R113),"█","")</f>
        <v/>
      </c>
      <c r="G113" s="30" t="str">
        <f>IF(AND(Q113&lt;&gt;"",R113&lt;&gt;"",DATE(2026,4,0)&gt;=Q113,DATE(2026,3,1)&lt;=R113),"█","")</f>
        <v/>
      </c>
      <c r="H113" s="30" t="str">
        <f>IF(AND(Q113&lt;&gt;"",R113&lt;&gt;"",DATE(2026,5,0)&gt;=Q113,DATE(2026,4,1)&lt;=R113),"█","")</f>
        <v/>
      </c>
      <c r="I113" s="30" t="str">
        <f>IF(AND(Q113&lt;&gt;"",R113&lt;&gt;"",DATE(2026,6,0)&gt;=Q113,DATE(2026,5,1)&lt;=R113),"█","")</f>
        <v/>
      </c>
      <c r="J113" s="30" t="str">
        <f>IF(AND(Q113&lt;&gt;"",R113&lt;&gt;"",DATE(2026,7,0)&gt;=Q113,DATE(2026,6,1)&lt;=R113),"█","")</f>
        <v/>
      </c>
      <c r="K113" s="30" t="str">
        <f>IF(AND(Q113&lt;&gt;"",R113&lt;&gt;"",DATE(2026,8,0)&gt;=Q113,DATE(2026,7,1)&lt;=R113),"█","")</f>
        <v/>
      </c>
      <c r="L113" s="30" t="str">
        <f>IF(AND(Q113&lt;&gt;"",R113&lt;&gt;"",DATE(2026,9,0)&gt;=Q113,DATE(2026,8,1)&lt;=R113),"█","")</f>
        <v/>
      </c>
      <c r="M113" s="30" t="str">
        <f>IF(AND(Q113&lt;&gt;"",R113&lt;&gt;"",DATE(2026,10,0)&gt;=Q113,DATE(2026,9,1)&lt;=R113),"█","")</f>
        <v/>
      </c>
      <c r="N113" s="30" t="str">
        <f>IF(AND(Q113&lt;&gt;"",R113&lt;&gt;"",DATE(2026,11,0)&gt;=Q113,DATE(2026,10,1)&lt;=R113),"█","")</f>
        <v/>
      </c>
      <c r="O113" s="30" t="str">
        <f>IF(AND(Q113&lt;&gt;"",R113&lt;&gt;"",DATE(2026,12,0)&gt;=Q113,DATE(2026,11,1)&lt;=R113),"█","")</f>
        <v/>
      </c>
      <c r="P113" s="30" t="str">
        <f>IF(AND(Q113&lt;&gt;"",R113&lt;&gt;"",DATE(2026,12,31)&gt;=Q113,DATE(2026,12,1)&lt;=R113),"█","")</f>
        <v/>
      </c>
      <c r="Q113" s="7" t="str">
        <f>IF('Release Calendar'!I113&lt;&gt;"",'Release Calendar'!I113,"")</f>
        <v/>
      </c>
      <c r="R113" s="7" t="str">
        <f>IF('Release Calendar'!J113&lt;&gt;"",'Release Calendar'!J113,"")</f>
        <v/>
      </c>
    </row>
    <row r="114" spans="1:18" ht="20.100000000000001" customHeight="1">
      <c r="A114" s="31">
        <v>110</v>
      </c>
      <c r="B114" s="32" t="str">
        <f>IF('Release Calendar'!B114&lt;&gt;"",'Release Calendar'!B114,"")</f>
        <v/>
      </c>
      <c r="C114" s="33" t="str">
        <f>IF('Release Calendar'!K114&lt;&gt;"",'Release Calendar'!K114,"")</f>
        <v/>
      </c>
      <c r="D114" s="33" t="str">
        <f>IF('Release Calendar'!M114&lt;&gt;"",'Release Calendar'!M114,"")</f>
        <v/>
      </c>
      <c r="E114" s="34" t="str">
        <f>IF(AND(Q114&lt;&gt;"",R114&lt;&gt;"",DATE(2026,2,0)&gt;=Q114,DATE(2026,1,1)&lt;=R114),"█","")</f>
        <v/>
      </c>
      <c r="F114" s="34" t="str">
        <f>IF(AND(Q114&lt;&gt;"",R114&lt;&gt;"",DATE(2026,3,0)&gt;=Q114,DATE(2026,2,1)&lt;=R114),"█","")</f>
        <v/>
      </c>
      <c r="G114" s="34" t="str">
        <f>IF(AND(Q114&lt;&gt;"",R114&lt;&gt;"",DATE(2026,4,0)&gt;=Q114,DATE(2026,3,1)&lt;=R114),"█","")</f>
        <v/>
      </c>
      <c r="H114" s="34" t="str">
        <f>IF(AND(Q114&lt;&gt;"",R114&lt;&gt;"",DATE(2026,5,0)&gt;=Q114,DATE(2026,4,1)&lt;=R114),"█","")</f>
        <v/>
      </c>
      <c r="I114" s="34" t="str">
        <f>IF(AND(Q114&lt;&gt;"",R114&lt;&gt;"",DATE(2026,6,0)&gt;=Q114,DATE(2026,5,1)&lt;=R114),"█","")</f>
        <v/>
      </c>
      <c r="J114" s="34" t="str">
        <f>IF(AND(Q114&lt;&gt;"",R114&lt;&gt;"",DATE(2026,7,0)&gt;=Q114,DATE(2026,6,1)&lt;=R114),"█","")</f>
        <v/>
      </c>
      <c r="K114" s="34" t="str">
        <f>IF(AND(Q114&lt;&gt;"",R114&lt;&gt;"",DATE(2026,8,0)&gt;=Q114,DATE(2026,7,1)&lt;=R114),"█","")</f>
        <v/>
      </c>
      <c r="L114" s="34" t="str">
        <f>IF(AND(Q114&lt;&gt;"",R114&lt;&gt;"",DATE(2026,9,0)&gt;=Q114,DATE(2026,8,1)&lt;=R114),"█","")</f>
        <v/>
      </c>
      <c r="M114" s="34" t="str">
        <f>IF(AND(Q114&lt;&gt;"",R114&lt;&gt;"",DATE(2026,10,0)&gt;=Q114,DATE(2026,9,1)&lt;=R114),"█","")</f>
        <v/>
      </c>
      <c r="N114" s="34" t="str">
        <f>IF(AND(Q114&lt;&gt;"",R114&lt;&gt;"",DATE(2026,11,0)&gt;=Q114,DATE(2026,10,1)&lt;=R114),"█","")</f>
        <v/>
      </c>
      <c r="O114" s="34" t="str">
        <f>IF(AND(Q114&lt;&gt;"",R114&lt;&gt;"",DATE(2026,12,0)&gt;=Q114,DATE(2026,11,1)&lt;=R114),"█","")</f>
        <v/>
      </c>
      <c r="P114" s="34" t="str">
        <f>IF(AND(Q114&lt;&gt;"",R114&lt;&gt;"",DATE(2026,12,31)&gt;=Q114,DATE(2026,12,1)&lt;=R114),"█","")</f>
        <v/>
      </c>
      <c r="Q114" s="7" t="str">
        <f>IF('Release Calendar'!I114&lt;&gt;"",'Release Calendar'!I114,"")</f>
        <v/>
      </c>
      <c r="R114" s="7" t="str">
        <f>IF('Release Calendar'!J114&lt;&gt;"",'Release Calendar'!J114,"")</f>
        <v/>
      </c>
    </row>
    <row r="115" spans="1:18" ht="20.100000000000001" customHeight="1">
      <c r="A115" s="14">
        <v>111</v>
      </c>
      <c r="B115" s="28" t="str">
        <f>IF('Release Calendar'!B115&lt;&gt;"",'Release Calendar'!B115,"")</f>
        <v/>
      </c>
      <c r="C115" s="29" t="str">
        <f>IF('Release Calendar'!K115&lt;&gt;"",'Release Calendar'!K115,"")</f>
        <v/>
      </c>
      <c r="D115" s="29" t="str">
        <f>IF('Release Calendar'!M115&lt;&gt;"",'Release Calendar'!M115,"")</f>
        <v/>
      </c>
      <c r="E115" s="30" t="str">
        <f>IF(AND(Q115&lt;&gt;"",R115&lt;&gt;"",DATE(2026,2,0)&gt;=Q115,DATE(2026,1,1)&lt;=R115),"█","")</f>
        <v/>
      </c>
      <c r="F115" s="30" t="str">
        <f>IF(AND(Q115&lt;&gt;"",R115&lt;&gt;"",DATE(2026,3,0)&gt;=Q115,DATE(2026,2,1)&lt;=R115),"█","")</f>
        <v/>
      </c>
      <c r="G115" s="30" t="str">
        <f>IF(AND(Q115&lt;&gt;"",R115&lt;&gt;"",DATE(2026,4,0)&gt;=Q115,DATE(2026,3,1)&lt;=R115),"█","")</f>
        <v/>
      </c>
      <c r="H115" s="30" t="str">
        <f>IF(AND(Q115&lt;&gt;"",R115&lt;&gt;"",DATE(2026,5,0)&gt;=Q115,DATE(2026,4,1)&lt;=R115),"█","")</f>
        <v/>
      </c>
      <c r="I115" s="30" t="str">
        <f>IF(AND(Q115&lt;&gt;"",R115&lt;&gt;"",DATE(2026,6,0)&gt;=Q115,DATE(2026,5,1)&lt;=R115),"█","")</f>
        <v/>
      </c>
      <c r="J115" s="30" t="str">
        <f>IF(AND(Q115&lt;&gt;"",R115&lt;&gt;"",DATE(2026,7,0)&gt;=Q115,DATE(2026,6,1)&lt;=R115),"█","")</f>
        <v/>
      </c>
      <c r="K115" s="30" t="str">
        <f>IF(AND(Q115&lt;&gt;"",R115&lt;&gt;"",DATE(2026,8,0)&gt;=Q115,DATE(2026,7,1)&lt;=R115),"█","")</f>
        <v/>
      </c>
      <c r="L115" s="30" t="str">
        <f>IF(AND(Q115&lt;&gt;"",R115&lt;&gt;"",DATE(2026,9,0)&gt;=Q115,DATE(2026,8,1)&lt;=R115),"█","")</f>
        <v/>
      </c>
      <c r="M115" s="30" t="str">
        <f>IF(AND(Q115&lt;&gt;"",R115&lt;&gt;"",DATE(2026,10,0)&gt;=Q115,DATE(2026,9,1)&lt;=R115),"█","")</f>
        <v/>
      </c>
      <c r="N115" s="30" t="str">
        <f>IF(AND(Q115&lt;&gt;"",R115&lt;&gt;"",DATE(2026,11,0)&gt;=Q115,DATE(2026,10,1)&lt;=R115),"█","")</f>
        <v/>
      </c>
      <c r="O115" s="30" t="str">
        <f>IF(AND(Q115&lt;&gt;"",R115&lt;&gt;"",DATE(2026,12,0)&gt;=Q115,DATE(2026,11,1)&lt;=R115),"█","")</f>
        <v/>
      </c>
      <c r="P115" s="30" t="str">
        <f>IF(AND(Q115&lt;&gt;"",R115&lt;&gt;"",DATE(2026,12,31)&gt;=Q115,DATE(2026,12,1)&lt;=R115),"█","")</f>
        <v/>
      </c>
      <c r="Q115" s="7" t="str">
        <f>IF('Release Calendar'!I115&lt;&gt;"",'Release Calendar'!I115,"")</f>
        <v/>
      </c>
      <c r="R115" s="7" t="str">
        <f>IF('Release Calendar'!J115&lt;&gt;"",'Release Calendar'!J115,"")</f>
        <v/>
      </c>
    </row>
    <row r="116" spans="1:18" ht="20.100000000000001" customHeight="1">
      <c r="A116" s="31">
        <v>112</v>
      </c>
      <c r="B116" s="32" t="str">
        <f>IF('Release Calendar'!B116&lt;&gt;"",'Release Calendar'!B116,"")</f>
        <v/>
      </c>
      <c r="C116" s="33" t="str">
        <f>IF('Release Calendar'!K116&lt;&gt;"",'Release Calendar'!K116,"")</f>
        <v/>
      </c>
      <c r="D116" s="33" t="str">
        <f>IF('Release Calendar'!M116&lt;&gt;"",'Release Calendar'!M116,"")</f>
        <v/>
      </c>
      <c r="E116" s="34" t="str">
        <f>IF(AND(Q116&lt;&gt;"",R116&lt;&gt;"",DATE(2026,2,0)&gt;=Q116,DATE(2026,1,1)&lt;=R116),"█","")</f>
        <v/>
      </c>
      <c r="F116" s="34" t="str">
        <f>IF(AND(Q116&lt;&gt;"",R116&lt;&gt;"",DATE(2026,3,0)&gt;=Q116,DATE(2026,2,1)&lt;=R116),"█","")</f>
        <v/>
      </c>
      <c r="G116" s="34" t="str">
        <f>IF(AND(Q116&lt;&gt;"",R116&lt;&gt;"",DATE(2026,4,0)&gt;=Q116,DATE(2026,3,1)&lt;=R116),"█","")</f>
        <v/>
      </c>
      <c r="H116" s="34" t="str">
        <f>IF(AND(Q116&lt;&gt;"",R116&lt;&gt;"",DATE(2026,5,0)&gt;=Q116,DATE(2026,4,1)&lt;=R116),"█","")</f>
        <v/>
      </c>
      <c r="I116" s="34" t="str">
        <f>IF(AND(Q116&lt;&gt;"",R116&lt;&gt;"",DATE(2026,6,0)&gt;=Q116,DATE(2026,5,1)&lt;=R116),"█","")</f>
        <v/>
      </c>
      <c r="J116" s="34" t="str">
        <f>IF(AND(Q116&lt;&gt;"",R116&lt;&gt;"",DATE(2026,7,0)&gt;=Q116,DATE(2026,6,1)&lt;=R116),"█","")</f>
        <v/>
      </c>
      <c r="K116" s="34" t="str">
        <f>IF(AND(Q116&lt;&gt;"",R116&lt;&gt;"",DATE(2026,8,0)&gt;=Q116,DATE(2026,7,1)&lt;=R116),"█","")</f>
        <v/>
      </c>
      <c r="L116" s="34" t="str">
        <f>IF(AND(Q116&lt;&gt;"",R116&lt;&gt;"",DATE(2026,9,0)&gt;=Q116,DATE(2026,8,1)&lt;=R116),"█","")</f>
        <v/>
      </c>
      <c r="M116" s="34" t="str">
        <f>IF(AND(Q116&lt;&gt;"",R116&lt;&gt;"",DATE(2026,10,0)&gt;=Q116,DATE(2026,9,1)&lt;=R116),"█","")</f>
        <v/>
      </c>
      <c r="N116" s="34" t="str">
        <f>IF(AND(Q116&lt;&gt;"",R116&lt;&gt;"",DATE(2026,11,0)&gt;=Q116,DATE(2026,10,1)&lt;=R116),"█","")</f>
        <v/>
      </c>
      <c r="O116" s="34" t="str">
        <f>IF(AND(Q116&lt;&gt;"",R116&lt;&gt;"",DATE(2026,12,0)&gt;=Q116,DATE(2026,11,1)&lt;=R116),"█","")</f>
        <v/>
      </c>
      <c r="P116" s="34" t="str">
        <f>IF(AND(Q116&lt;&gt;"",R116&lt;&gt;"",DATE(2026,12,31)&gt;=Q116,DATE(2026,12,1)&lt;=R116),"█","")</f>
        <v/>
      </c>
      <c r="Q116" s="7" t="str">
        <f>IF('Release Calendar'!I116&lt;&gt;"",'Release Calendar'!I116,"")</f>
        <v/>
      </c>
      <c r="R116" s="7" t="str">
        <f>IF('Release Calendar'!J116&lt;&gt;"",'Release Calendar'!J116,"")</f>
        <v/>
      </c>
    </row>
    <row r="117" spans="1:18" ht="20.100000000000001" customHeight="1">
      <c r="A117" s="14">
        <v>113</v>
      </c>
      <c r="B117" s="28" t="str">
        <f>IF('Release Calendar'!B117&lt;&gt;"",'Release Calendar'!B117,"")</f>
        <v/>
      </c>
      <c r="C117" s="29" t="str">
        <f>IF('Release Calendar'!K117&lt;&gt;"",'Release Calendar'!K117,"")</f>
        <v/>
      </c>
      <c r="D117" s="29" t="str">
        <f>IF('Release Calendar'!M117&lt;&gt;"",'Release Calendar'!M117,"")</f>
        <v/>
      </c>
      <c r="E117" s="30" t="str">
        <f>IF(AND(Q117&lt;&gt;"",R117&lt;&gt;"",DATE(2026,2,0)&gt;=Q117,DATE(2026,1,1)&lt;=R117),"█","")</f>
        <v/>
      </c>
      <c r="F117" s="30" t="str">
        <f>IF(AND(Q117&lt;&gt;"",R117&lt;&gt;"",DATE(2026,3,0)&gt;=Q117,DATE(2026,2,1)&lt;=R117),"█","")</f>
        <v/>
      </c>
      <c r="G117" s="30" t="str">
        <f>IF(AND(Q117&lt;&gt;"",R117&lt;&gt;"",DATE(2026,4,0)&gt;=Q117,DATE(2026,3,1)&lt;=R117),"█","")</f>
        <v/>
      </c>
      <c r="H117" s="30" t="str">
        <f>IF(AND(Q117&lt;&gt;"",R117&lt;&gt;"",DATE(2026,5,0)&gt;=Q117,DATE(2026,4,1)&lt;=R117),"█","")</f>
        <v/>
      </c>
      <c r="I117" s="30" t="str">
        <f>IF(AND(Q117&lt;&gt;"",R117&lt;&gt;"",DATE(2026,6,0)&gt;=Q117,DATE(2026,5,1)&lt;=R117),"█","")</f>
        <v/>
      </c>
      <c r="J117" s="30" t="str">
        <f>IF(AND(Q117&lt;&gt;"",R117&lt;&gt;"",DATE(2026,7,0)&gt;=Q117,DATE(2026,6,1)&lt;=R117),"█","")</f>
        <v/>
      </c>
      <c r="K117" s="30" t="str">
        <f>IF(AND(Q117&lt;&gt;"",R117&lt;&gt;"",DATE(2026,8,0)&gt;=Q117,DATE(2026,7,1)&lt;=R117),"█","")</f>
        <v/>
      </c>
      <c r="L117" s="30" t="str">
        <f>IF(AND(Q117&lt;&gt;"",R117&lt;&gt;"",DATE(2026,9,0)&gt;=Q117,DATE(2026,8,1)&lt;=R117),"█","")</f>
        <v/>
      </c>
      <c r="M117" s="30" t="str">
        <f>IF(AND(Q117&lt;&gt;"",R117&lt;&gt;"",DATE(2026,10,0)&gt;=Q117,DATE(2026,9,1)&lt;=R117),"█","")</f>
        <v/>
      </c>
      <c r="N117" s="30" t="str">
        <f>IF(AND(Q117&lt;&gt;"",R117&lt;&gt;"",DATE(2026,11,0)&gt;=Q117,DATE(2026,10,1)&lt;=R117),"█","")</f>
        <v/>
      </c>
      <c r="O117" s="30" t="str">
        <f>IF(AND(Q117&lt;&gt;"",R117&lt;&gt;"",DATE(2026,12,0)&gt;=Q117,DATE(2026,11,1)&lt;=R117),"█","")</f>
        <v/>
      </c>
      <c r="P117" s="30" t="str">
        <f>IF(AND(Q117&lt;&gt;"",R117&lt;&gt;"",DATE(2026,12,31)&gt;=Q117,DATE(2026,12,1)&lt;=R117),"█","")</f>
        <v/>
      </c>
      <c r="Q117" s="7" t="str">
        <f>IF('Release Calendar'!I117&lt;&gt;"",'Release Calendar'!I117,"")</f>
        <v/>
      </c>
      <c r="R117" s="7" t="str">
        <f>IF('Release Calendar'!J117&lt;&gt;"",'Release Calendar'!J117,"")</f>
        <v/>
      </c>
    </row>
    <row r="118" spans="1:18" ht="20.100000000000001" customHeight="1">
      <c r="A118" s="31">
        <v>114</v>
      </c>
      <c r="B118" s="32" t="str">
        <f>IF('Release Calendar'!B118&lt;&gt;"",'Release Calendar'!B118,"")</f>
        <v/>
      </c>
      <c r="C118" s="33" t="str">
        <f>IF('Release Calendar'!K118&lt;&gt;"",'Release Calendar'!K118,"")</f>
        <v/>
      </c>
      <c r="D118" s="33" t="str">
        <f>IF('Release Calendar'!M118&lt;&gt;"",'Release Calendar'!M118,"")</f>
        <v/>
      </c>
      <c r="E118" s="34" t="str">
        <f>IF(AND(Q118&lt;&gt;"",R118&lt;&gt;"",DATE(2026,2,0)&gt;=Q118,DATE(2026,1,1)&lt;=R118),"█","")</f>
        <v/>
      </c>
      <c r="F118" s="34" t="str">
        <f>IF(AND(Q118&lt;&gt;"",R118&lt;&gt;"",DATE(2026,3,0)&gt;=Q118,DATE(2026,2,1)&lt;=R118),"█","")</f>
        <v/>
      </c>
      <c r="G118" s="34" t="str">
        <f>IF(AND(Q118&lt;&gt;"",R118&lt;&gt;"",DATE(2026,4,0)&gt;=Q118,DATE(2026,3,1)&lt;=R118),"█","")</f>
        <v/>
      </c>
      <c r="H118" s="34" t="str">
        <f>IF(AND(Q118&lt;&gt;"",R118&lt;&gt;"",DATE(2026,5,0)&gt;=Q118,DATE(2026,4,1)&lt;=R118),"█","")</f>
        <v/>
      </c>
      <c r="I118" s="34" t="str">
        <f>IF(AND(Q118&lt;&gt;"",R118&lt;&gt;"",DATE(2026,6,0)&gt;=Q118,DATE(2026,5,1)&lt;=R118),"█","")</f>
        <v/>
      </c>
      <c r="J118" s="34" t="str">
        <f>IF(AND(Q118&lt;&gt;"",R118&lt;&gt;"",DATE(2026,7,0)&gt;=Q118,DATE(2026,6,1)&lt;=R118),"█","")</f>
        <v/>
      </c>
      <c r="K118" s="34" t="str">
        <f>IF(AND(Q118&lt;&gt;"",R118&lt;&gt;"",DATE(2026,8,0)&gt;=Q118,DATE(2026,7,1)&lt;=R118),"█","")</f>
        <v/>
      </c>
      <c r="L118" s="34" t="str">
        <f>IF(AND(Q118&lt;&gt;"",R118&lt;&gt;"",DATE(2026,9,0)&gt;=Q118,DATE(2026,8,1)&lt;=R118),"█","")</f>
        <v/>
      </c>
      <c r="M118" s="34" t="str">
        <f>IF(AND(Q118&lt;&gt;"",R118&lt;&gt;"",DATE(2026,10,0)&gt;=Q118,DATE(2026,9,1)&lt;=R118),"█","")</f>
        <v/>
      </c>
      <c r="N118" s="34" t="str">
        <f>IF(AND(Q118&lt;&gt;"",R118&lt;&gt;"",DATE(2026,11,0)&gt;=Q118,DATE(2026,10,1)&lt;=R118),"█","")</f>
        <v/>
      </c>
      <c r="O118" s="34" t="str">
        <f>IF(AND(Q118&lt;&gt;"",R118&lt;&gt;"",DATE(2026,12,0)&gt;=Q118,DATE(2026,11,1)&lt;=R118),"█","")</f>
        <v/>
      </c>
      <c r="P118" s="34" t="str">
        <f>IF(AND(Q118&lt;&gt;"",R118&lt;&gt;"",DATE(2026,12,31)&gt;=Q118,DATE(2026,12,1)&lt;=R118),"█","")</f>
        <v/>
      </c>
      <c r="Q118" s="7" t="str">
        <f>IF('Release Calendar'!I118&lt;&gt;"",'Release Calendar'!I118,"")</f>
        <v/>
      </c>
      <c r="R118" s="7" t="str">
        <f>IF('Release Calendar'!J118&lt;&gt;"",'Release Calendar'!J118,"")</f>
        <v/>
      </c>
    </row>
    <row r="119" spans="1:18" ht="20.100000000000001" customHeight="1">
      <c r="A119" s="14">
        <v>115</v>
      </c>
      <c r="B119" s="28" t="str">
        <f>IF('Release Calendar'!B119&lt;&gt;"",'Release Calendar'!B119,"")</f>
        <v/>
      </c>
      <c r="C119" s="29" t="str">
        <f>IF('Release Calendar'!K119&lt;&gt;"",'Release Calendar'!K119,"")</f>
        <v/>
      </c>
      <c r="D119" s="29" t="str">
        <f>IF('Release Calendar'!M119&lt;&gt;"",'Release Calendar'!M119,"")</f>
        <v/>
      </c>
      <c r="E119" s="30" t="str">
        <f>IF(AND(Q119&lt;&gt;"",R119&lt;&gt;"",DATE(2026,2,0)&gt;=Q119,DATE(2026,1,1)&lt;=R119),"█","")</f>
        <v/>
      </c>
      <c r="F119" s="30" t="str">
        <f>IF(AND(Q119&lt;&gt;"",R119&lt;&gt;"",DATE(2026,3,0)&gt;=Q119,DATE(2026,2,1)&lt;=R119),"█","")</f>
        <v/>
      </c>
      <c r="G119" s="30" t="str">
        <f>IF(AND(Q119&lt;&gt;"",R119&lt;&gt;"",DATE(2026,4,0)&gt;=Q119,DATE(2026,3,1)&lt;=R119),"█","")</f>
        <v/>
      </c>
      <c r="H119" s="30" t="str">
        <f>IF(AND(Q119&lt;&gt;"",R119&lt;&gt;"",DATE(2026,5,0)&gt;=Q119,DATE(2026,4,1)&lt;=R119),"█","")</f>
        <v/>
      </c>
      <c r="I119" s="30" t="str">
        <f>IF(AND(Q119&lt;&gt;"",R119&lt;&gt;"",DATE(2026,6,0)&gt;=Q119,DATE(2026,5,1)&lt;=R119),"█","")</f>
        <v/>
      </c>
      <c r="J119" s="30" t="str">
        <f>IF(AND(Q119&lt;&gt;"",R119&lt;&gt;"",DATE(2026,7,0)&gt;=Q119,DATE(2026,6,1)&lt;=R119),"█","")</f>
        <v/>
      </c>
      <c r="K119" s="30" t="str">
        <f>IF(AND(Q119&lt;&gt;"",R119&lt;&gt;"",DATE(2026,8,0)&gt;=Q119,DATE(2026,7,1)&lt;=R119),"█","")</f>
        <v/>
      </c>
      <c r="L119" s="30" t="str">
        <f>IF(AND(Q119&lt;&gt;"",R119&lt;&gt;"",DATE(2026,9,0)&gt;=Q119,DATE(2026,8,1)&lt;=R119),"█","")</f>
        <v/>
      </c>
      <c r="M119" s="30" t="str">
        <f>IF(AND(Q119&lt;&gt;"",R119&lt;&gt;"",DATE(2026,10,0)&gt;=Q119,DATE(2026,9,1)&lt;=R119),"█","")</f>
        <v/>
      </c>
      <c r="N119" s="30" t="str">
        <f>IF(AND(Q119&lt;&gt;"",R119&lt;&gt;"",DATE(2026,11,0)&gt;=Q119,DATE(2026,10,1)&lt;=R119),"█","")</f>
        <v/>
      </c>
      <c r="O119" s="30" t="str">
        <f>IF(AND(Q119&lt;&gt;"",R119&lt;&gt;"",DATE(2026,12,0)&gt;=Q119,DATE(2026,11,1)&lt;=R119),"█","")</f>
        <v/>
      </c>
      <c r="P119" s="30" t="str">
        <f>IF(AND(Q119&lt;&gt;"",R119&lt;&gt;"",DATE(2026,12,31)&gt;=Q119,DATE(2026,12,1)&lt;=R119),"█","")</f>
        <v/>
      </c>
      <c r="Q119" s="7" t="str">
        <f>IF('Release Calendar'!I119&lt;&gt;"",'Release Calendar'!I119,"")</f>
        <v/>
      </c>
      <c r="R119" s="7" t="str">
        <f>IF('Release Calendar'!J119&lt;&gt;"",'Release Calendar'!J119,"")</f>
        <v/>
      </c>
    </row>
    <row r="120" spans="1:18" ht="20.100000000000001" customHeight="1">
      <c r="A120" s="31">
        <v>116</v>
      </c>
      <c r="B120" s="32" t="str">
        <f>IF('Release Calendar'!B120&lt;&gt;"",'Release Calendar'!B120,"")</f>
        <v/>
      </c>
      <c r="C120" s="33" t="str">
        <f>IF('Release Calendar'!K120&lt;&gt;"",'Release Calendar'!K120,"")</f>
        <v/>
      </c>
      <c r="D120" s="33" t="str">
        <f>IF('Release Calendar'!M120&lt;&gt;"",'Release Calendar'!M120,"")</f>
        <v/>
      </c>
      <c r="E120" s="34" t="str">
        <f>IF(AND(Q120&lt;&gt;"",R120&lt;&gt;"",DATE(2026,2,0)&gt;=Q120,DATE(2026,1,1)&lt;=R120),"█","")</f>
        <v/>
      </c>
      <c r="F120" s="34" t="str">
        <f>IF(AND(Q120&lt;&gt;"",R120&lt;&gt;"",DATE(2026,3,0)&gt;=Q120,DATE(2026,2,1)&lt;=R120),"█","")</f>
        <v/>
      </c>
      <c r="G120" s="34" t="str">
        <f>IF(AND(Q120&lt;&gt;"",R120&lt;&gt;"",DATE(2026,4,0)&gt;=Q120,DATE(2026,3,1)&lt;=R120),"█","")</f>
        <v/>
      </c>
      <c r="H120" s="34" t="str">
        <f>IF(AND(Q120&lt;&gt;"",R120&lt;&gt;"",DATE(2026,5,0)&gt;=Q120,DATE(2026,4,1)&lt;=R120),"█","")</f>
        <v/>
      </c>
      <c r="I120" s="34" t="str">
        <f>IF(AND(Q120&lt;&gt;"",R120&lt;&gt;"",DATE(2026,6,0)&gt;=Q120,DATE(2026,5,1)&lt;=R120),"█","")</f>
        <v/>
      </c>
      <c r="J120" s="34" t="str">
        <f>IF(AND(Q120&lt;&gt;"",R120&lt;&gt;"",DATE(2026,7,0)&gt;=Q120,DATE(2026,6,1)&lt;=R120),"█","")</f>
        <v/>
      </c>
      <c r="K120" s="34" t="str">
        <f>IF(AND(Q120&lt;&gt;"",R120&lt;&gt;"",DATE(2026,8,0)&gt;=Q120,DATE(2026,7,1)&lt;=R120),"█","")</f>
        <v/>
      </c>
      <c r="L120" s="34" t="str">
        <f>IF(AND(Q120&lt;&gt;"",R120&lt;&gt;"",DATE(2026,9,0)&gt;=Q120,DATE(2026,8,1)&lt;=R120),"█","")</f>
        <v/>
      </c>
      <c r="M120" s="34" t="str">
        <f>IF(AND(Q120&lt;&gt;"",R120&lt;&gt;"",DATE(2026,10,0)&gt;=Q120,DATE(2026,9,1)&lt;=R120),"█","")</f>
        <v/>
      </c>
      <c r="N120" s="34" t="str">
        <f>IF(AND(Q120&lt;&gt;"",R120&lt;&gt;"",DATE(2026,11,0)&gt;=Q120,DATE(2026,10,1)&lt;=R120),"█","")</f>
        <v/>
      </c>
      <c r="O120" s="34" t="str">
        <f>IF(AND(Q120&lt;&gt;"",R120&lt;&gt;"",DATE(2026,12,0)&gt;=Q120,DATE(2026,11,1)&lt;=R120),"█","")</f>
        <v/>
      </c>
      <c r="P120" s="34" t="str">
        <f>IF(AND(Q120&lt;&gt;"",R120&lt;&gt;"",DATE(2026,12,31)&gt;=Q120,DATE(2026,12,1)&lt;=R120),"█","")</f>
        <v/>
      </c>
      <c r="Q120" s="7" t="str">
        <f>IF('Release Calendar'!I120&lt;&gt;"",'Release Calendar'!I120,"")</f>
        <v/>
      </c>
      <c r="R120" s="7" t="str">
        <f>IF('Release Calendar'!J120&lt;&gt;"",'Release Calendar'!J120,"")</f>
        <v/>
      </c>
    </row>
    <row r="121" spans="1:18" ht="20.100000000000001" customHeight="1">
      <c r="A121" s="14">
        <v>117</v>
      </c>
      <c r="B121" s="28" t="str">
        <f>IF('Release Calendar'!B121&lt;&gt;"",'Release Calendar'!B121,"")</f>
        <v/>
      </c>
      <c r="C121" s="29" t="str">
        <f>IF('Release Calendar'!K121&lt;&gt;"",'Release Calendar'!K121,"")</f>
        <v/>
      </c>
      <c r="D121" s="29" t="str">
        <f>IF('Release Calendar'!M121&lt;&gt;"",'Release Calendar'!M121,"")</f>
        <v/>
      </c>
      <c r="E121" s="30" t="str">
        <f>IF(AND(Q121&lt;&gt;"",R121&lt;&gt;"",DATE(2026,2,0)&gt;=Q121,DATE(2026,1,1)&lt;=R121),"█","")</f>
        <v/>
      </c>
      <c r="F121" s="30" t="str">
        <f>IF(AND(Q121&lt;&gt;"",R121&lt;&gt;"",DATE(2026,3,0)&gt;=Q121,DATE(2026,2,1)&lt;=R121),"█","")</f>
        <v/>
      </c>
      <c r="G121" s="30" t="str">
        <f>IF(AND(Q121&lt;&gt;"",R121&lt;&gt;"",DATE(2026,4,0)&gt;=Q121,DATE(2026,3,1)&lt;=R121),"█","")</f>
        <v/>
      </c>
      <c r="H121" s="30" t="str">
        <f>IF(AND(Q121&lt;&gt;"",R121&lt;&gt;"",DATE(2026,5,0)&gt;=Q121,DATE(2026,4,1)&lt;=R121),"█","")</f>
        <v/>
      </c>
      <c r="I121" s="30" t="str">
        <f>IF(AND(Q121&lt;&gt;"",R121&lt;&gt;"",DATE(2026,6,0)&gt;=Q121,DATE(2026,5,1)&lt;=R121),"█","")</f>
        <v/>
      </c>
      <c r="J121" s="30" t="str">
        <f>IF(AND(Q121&lt;&gt;"",R121&lt;&gt;"",DATE(2026,7,0)&gt;=Q121,DATE(2026,6,1)&lt;=R121),"█","")</f>
        <v/>
      </c>
      <c r="K121" s="30" t="str">
        <f>IF(AND(Q121&lt;&gt;"",R121&lt;&gt;"",DATE(2026,8,0)&gt;=Q121,DATE(2026,7,1)&lt;=R121),"█","")</f>
        <v/>
      </c>
      <c r="L121" s="30" t="str">
        <f>IF(AND(Q121&lt;&gt;"",R121&lt;&gt;"",DATE(2026,9,0)&gt;=Q121,DATE(2026,8,1)&lt;=R121),"█","")</f>
        <v/>
      </c>
      <c r="M121" s="30" t="str">
        <f>IF(AND(Q121&lt;&gt;"",R121&lt;&gt;"",DATE(2026,10,0)&gt;=Q121,DATE(2026,9,1)&lt;=R121),"█","")</f>
        <v/>
      </c>
      <c r="N121" s="30" t="str">
        <f>IF(AND(Q121&lt;&gt;"",R121&lt;&gt;"",DATE(2026,11,0)&gt;=Q121,DATE(2026,10,1)&lt;=R121),"█","")</f>
        <v/>
      </c>
      <c r="O121" s="30" t="str">
        <f>IF(AND(Q121&lt;&gt;"",R121&lt;&gt;"",DATE(2026,12,0)&gt;=Q121,DATE(2026,11,1)&lt;=R121),"█","")</f>
        <v/>
      </c>
      <c r="P121" s="30" t="str">
        <f>IF(AND(Q121&lt;&gt;"",R121&lt;&gt;"",DATE(2026,12,31)&gt;=Q121,DATE(2026,12,1)&lt;=R121),"█","")</f>
        <v/>
      </c>
      <c r="Q121" s="7" t="str">
        <f>IF('Release Calendar'!I121&lt;&gt;"",'Release Calendar'!I121,"")</f>
        <v/>
      </c>
      <c r="R121" s="7" t="str">
        <f>IF('Release Calendar'!J121&lt;&gt;"",'Release Calendar'!J121,"")</f>
        <v/>
      </c>
    </row>
    <row r="122" spans="1:18" ht="20.100000000000001" customHeight="1">
      <c r="A122" s="31">
        <v>118</v>
      </c>
      <c r="B122" s="32" t="str">
        <f>IF('Release Calendar'!B122&lt;&gt;"",'Release Calendar'!B122,"")</f>
        <v/>
      </c>
      <c r="C122" s="33" t="str">
        <f>IF('Release Calendar'!K122&lt;&gt;"",'Release Calendar'!K122,"")</f>
        <v/>
      </c>
      <c r="D122" s="33" t="str">
        <f>IF('Release Calendar'!M122&lt;&gt;"",'Release Calendar'!M122,"")</f>
        <v/>
      </c>
      <c r="E122" s="34" t="str">
        <f>IF(AND(Q122&lt;&gt;"",R122&lt;&gt;"",DATE(2026,2,0)&gt;=Q122,DATE(2026,1,1)&lt;=R122),"█","")</f>
        <v/>
      </c>
      <c r="F122" s="34" t="str">
        <f>IF(AND(Q122&lt;&gt;"",R122&lt;&gt;"",DATE(2026,3,0)&gt;=Q122,DATE(2026,2,1)&lt;=R122),"█","")</f>
        <v/>
      </c>
      <c r="G122" s="34" t="str">
        <f>IF(AND(Q122&lt;&gt;"",R122&lt;&gt;"",DATE(2026,4,0)&gt;=Q122,DATE(2026,3,1)&lt;=R122),"█","")</f>
        <v/>
      </c>
      <c r="H122" s="34" t="str">
        <f>IF(AND(Q122&lt;&gt;"",R122&lt;&gt;"",DATE(2026,5,0)&gt;=Q122,DATE(2026,4,1)&lt;=R122),"█","")</f>
        <v/>
      </c>
      <c r="I122" s="34" t="str">
        <f>IF(AND(Q122&lt;&gt;"",R122&lt;&gt;"",DATE(2026,6,0)&gt;=Q122,DATE(2026,5,1)&lt;=R122),"█","")</f>
        <v/>
      </c>
      <c r="J122" s="34" t="str">
        <f>IF(AND(Q122&lt;&gt;"",R122&lt;&gt;"",DATE(2026,7,0)&gt;=Q122,DATE(2026,6,1)&lt;=R122),"█","")</f>
        <v/>
      </c>
      <c r="K122" s="34" t="str">
        <f>IF(AND(Q122&lt;&gt;"",R122&lt;&gt;"",DATE(2026,8,0)&gt;=Q122,DATE(2026,7,1)&lt;=R122),"█","")</f>
        <v/>
      </c>
      <c r="L122" s="34" t="str">
        <f>IF(AND(Q122&lt;&gt;"",R122&lt;&gt;"",DATE(2026,9,0)&gt;=Q122,DATE(2026,8,1)&lt;=R122),"█","")</f>
        <v/>
      </c>
      <c r="M122" s="34" t="str">
        <f>IF(AND(Q122&lt;&gt;"",R122&lt;&gt;"",DATE(2026,10,0)&gt;=Q122,DATE(2026,9,1)&lt;=R122),"█","")</f>
        <v/>
      </c>
      <c r="N122" s="34" t="str">
        <f>IF(AND(Q122&lt;&gt;"",R122&lt;&gt;"",DATE(2026,11,0)&gt;=Q122,DATE(2026,10,1)&lt;=R122),"█","")</f>
        <v/>
      </c>
      <c r="O122" s="34" t="str">
        <f>IF(AND(Q122&lt;&gt;"",R122&lt;&gt;"",DATE(2026,12,0)&gt;=Q122,DATE(2026,11,1)&lt;=R122),"█","")</f>
        <v/>
      </c>
      <c r="P122" s="34" t="str">
        <f>IF(AND(Q122&lt;&gt;"",R122&lt;&gt;"",DATE(2026,12,31)&gt;=Q122,DATE(2026,12,1)&lt;=R122),"█","")</f>
        <v/>
      </c>
      <c r="Q122" s="7" t="str">
        <f>IF('Release Calendar'!I122&lt;&gt;"",'Release Calendar'!I122,"")</f>
        <v/>
      </c>
      <c r="R122" s="7" t="str">
        <f>IF('Release Calendar'!J122&lt;&gt;"",'Release Calendar'!J122,"")</f>
        <v/>
      </c>
    </row>
    <row r="123" spans="1:18" ht="20.100000000000001" customHeight="1">
      <c r="A123" s="14">
        <v>119</v>
      </c>
      <c r="B123" s="28" t="str">
        <f>IF('Release Calendar'!B123&lt;&gt;"",'Release Calendar'!B123,"")</f>
        <v/>
      </c>
      <c r="C123" s="29" t="str">
        <f>IF('Release Calendar'!K123&lt;&gt;"",'Release Calendar'!K123,"")</f>
        <v/>
      </c>
      <c r="D123" s="29" t="str">
        <f>IF('Release Calendar'!M123&lt;&gt;"",'Release Calendar'!M123,"")</f>
        <v/>
      </c>
      <c r="E123" s="30" t="str">
        <f>IF(AND(Q123&lt;&gt;"",R123&lt;&gt;"",DATE(2026,2,0)&gt;=Q123,DATE(2026,1,1)&lt;=R123),"█","")</f>
        <v/>
      </c>
      <c r="F123" s="30" t="str">
        <f>IF(AND(Q123&lt;&gt;"",R123&lt;&gt;"",DATE(2026,3,0)&gt;=Q123,DATE(2026,2,1)&lt;=R123),"█","")</f>
        <v/>
      </c>
      <c r="G123" s="30" t="str">
        <f>IF(AND(Q123&lt;&gt;"",R123&lt;&gt;"",DATE(2026,4,0)&gt;=Q123,DATE(2026,3,1)&lt;=R123),"█","")</f>
        <v/>
      </c>
      <c r="H123" s="30" t="str">
        <f>IF(AND(Q123&lt;&gt;"",R123&lt;&gt;"",DATE(2026,5,0)&gt;=Q123,DATE(2026,4,1)&lt;=R123),"█","")</f>
        <v/>
      </c>
      <c r="I123" s="30" t="str">
        <f>IF(AND(Q123&lt;&gt;"",R123&lt;&gt;"",DATE(2026,6,0)&gt;=Q123,DATE(2026,5,1)&lt;=R123),"█","")</f>
        <v/>
      </c>
      <c r="J123" s="30" t="str">
        <f>IF(AND(Q123&lt;&gt;"",R123&lt;&gt;"",DATE(2026,7,0)&gt;=Q123,DATE(2026,6,1)&lt;=R123),"█","")</f>
        <v/>
      </c>
      <c r="K123" s="30" t="str">
        <f>IF(AND(Q123&lt;&gt;"",R123&lt;&gt;"",DATE(2026,8,0)&gt;=Q123,DATE(2026,7,1)&lt;=R123),"█","")</f>
        <v/>
      </c>
      <c r="L123" s="30" t="str">
        <f>IF(AND(Q123&lt;&gt;"",R123&lt;&gt;"",DATE(2026,9,0)&gt;=Q123,DATE(2026,8,1)&lt;=R123),"█","")</f>
        <v/>
      </c>
      <c r="M123" s="30" t="str">
        <f>IF(AND(Q123&lt;&gt;"",R123&lt;&gt;"",DATE(2026,10,0)&gt;=Q123,DATE(2026,9,1)&lt;=R123),"█","")</f>
        <v/>
      </c>
      <c r="N123" s="30" t="str">
        <f>IF(AND(Q123&lt;&gt;"",R123&lt;&gt;"",DATE(2026,11,0)&gt;=Q123,DATE(2026,10,1)&lt;=R123),"█","")</f>
        <v/>
      </c>
      <c r="O123" s="30" t="str">
        <f>IF(AND(Q123&lt;&gt;"",R123&lt;&gt;"",DATE(2026,12,0)&gt;=Q123,DATE(2026,11,1)&lt;=R123),"█","")</f>
        <v/>
      </c>
      <c r="P123" s="30" t="str">
        <f>IF(AND(Q123&lt;&gt;"",R123&lt;&gt;"",DATE(2026,12,31)&gt;=Q123,DATE(2026,12,1)&lt;=R123),"█","")</f>
        <v/>
      </c>
      <c r="Q123" s="7" t="str">
        <f>IF('Release Calendar'!I123&lt;&gt;"",'Release Calendar'!I123,"")</f>
        <v/>
      </c>
      <c r="R123" s="7" t="str">
        <f>IF('Release Calendar'!J123&lt;&gt;"",'Release Calendar'!J123,"")</f>
        <v/>
      </c>
    </row>
    <row r="124" spans="1:18" ht="20.100000000000001" customHeight="1">
      <c r="A124" s="31">
        <v>120</v>
      </c>
      <c r="B124" s="32" t="str">
        <f>IF('Release Calendar'!B124&lt;&gt;"",'Release Calendar'!B124,"")</f>
        <v/>
      </c>
      <c r="C124" s="33" t="str">
        <f>IF('Release Calendar'!K124&lt;&gt;"",'Release Calendar'!K124,"")</f>
        <v/>
      </c>
      <c r="D124" s="33" t="str">
        <f>IF('Release Calendar'!M124&lt;&gt;"",'Release Calendar'!M124,"")</f>
        <v/>
      </c>
      <c r="E124" s="34" t="str">
        <f>IF(AND(Q124&lt;&gt;"",R124&lt;&gt;"",DATE(2026,2,0)&gt;=Q124,DATE(2026,1,1)&lt;=R124),"█","")</f>
        <v/>
      </c>
      <c r="F124" s="34" t="str">
        <f>IF(AND(Q124&lt;&gt;"",R124&lt;&gt;"",DATE(2026,3,0)&gt;=Q124,DATE(2026,2,1)&lt;=R124),"█","")</f>
        <v/>
      </c>
      <c r="G124" s="34" t="str">
        <f>IF(AND(Q124&lt;&gt;"",R124&lt;&gt;"",DATE(2026,4,0)&gt;=Q124,DATE(2026,3,1)&lt;=R124),"█","")</f>
        <v/>
      </c>
      <c r="H124" s="34" t="str">
        <f>IF(AND(Q124&lt;&gt;"",R124&lt;&gt;"",DATE(2026,5,0)&gt;=Q124,DATE(2026,4,1)&lt;=R124),"█","")</f>
        <v/>
      </c>
      <c r="I124" s="34" t="str">
        <f>IF(AND(Q124&lt;&gt;"",R124&lt;&gt;"",DATE(2026,6,0)&gt;=Q124,DATE(2026,5,1)&lt;=R124),"█","")</f>
        <v/>
      </c>
      <c r="J124" s="34" t="str">
        <f>IF(AND(Q124&lt;&gt;"",R124&lt;&gt;"",DATE(2026,7,0)&gt;=Q124,DATE(2026,6,1)&lt;=R124),"█","")</f>
        <v/>
      </c>
      <c r="K124" s="34" t="str">
        <f>IF(AND(Q124&lt;&gt;"",R124&lt;&gt;"",DATE(2026,8,0)&gt;=Q124,DATE(2026,7,1)&lt;=R124),"█","")</f>
        <v/>
      </c>
      <c r="L124" s="34" t="str">
        <f>IF(AND(Q124&lt;&gt;"",R124&lt;&gt;"",DATE(2026,9,0)&gt;=Q124,DATE(2026,8,1)&lt;=R124),"█","")</f>
        <v/>
      </c>
      <c r="M124" s="34" t="str">
        <f>IF(AND(Q124&lt;&gt;"",R124&lt;&gt;"",DATE(2026,10,0)&gt;=Q124,DATE(2026,9,1)&lt;=R124),"█","")</f>
        <v/>
      </c>
      <c r="N124" s="34" t="str">
        <f>IF(AND(Q124&lt;&gt;"",R124&lt;&gt;"",DATE(2026,11,0)&gt;=Q124,DATE(2026,10,1)&lt;=R124),"█","")</f>
        <v/>
      </c>
      <c r="O124" s="34" t="str">
        <f>IF(AND(Q124&lt;&gt;"",R124&lt;&gt;"",DATE(2026,12,0)&gt;=Q124,DATE(2026,11,1)&lt;=R124),"█","")</f>
        <v/>
      </c>
      <c r="P124" s="34" t="str">
        <f>IF(AND(Q124&lt;&gt;"",R124&lt;&gt;"",DATE(2026,12,31)&gt;=Q124,DATE(2026,12,1)&lt;=R124),"█","")</f>
        <v/>
      </c>
      <c r="Q124" s="7" t="str">
        <f>IF('Release Calendar'!I124&lt;&gt;"",'Release Calendar'!I124,"")</f>
        <v/>
      </c>
      <c r="R124" s="7" t="str">
        <f>IF('Release Calendar'!J124&lt;&gt;"",'Release Calendar'!J124,"")</f>
        <v/>
      </c>
    </row>
    <row r="125" spans="1:18" ht="20.100000000000001" customHeight="1">
      <c r="A125" s="14">
        <v>121</v>
      </c>
      <c r="B125" s="28" t="str">
        <f>IF('Release Calendar'!B125&lt;&gt;"",'Release Calendar'!B125,"")</f>
        <v/>
      </c>
      <c r="C125" s="29" t="str">
        <f>IF('Release Calendar'!K125&lt;&gt;"",'Release Calendar'!K125,"")</f>
        <v/>
      </c>
      <c r="D125" s="29" t="str">
        <f>IF('Release Calendar'!M125&lt;&gt;"",'Release Calendar'!M125,"")</f>
        <v/>
      </c>
      <c r="E125" s="30" t="str">
        <f>IF(AND(Q125&lt;&gt;"",R125&lt;&gt;"",DATE(2026,2,0)&gt;=Q125,DATE(2026,1,1)&lt;=R125),"█","")</f>
        <v/>
      </c>
      <c r="F125" s="30" t="str">
        <f>IF(AND(Q125&lt;&gt;"",R125&lt;&gt;"",DATE(2026,3,0)&gt;=Q125,DATE(2026,2,1)&lt;=R125),"█","")</f>
        <v/>
      </c>
      <c r="G125" s="30" t="str">
        <f>IF(AND(Q125&lt;&gt;"",R125&lt;&gt;"",DATE(2026,4,0)&gt;=Q125,DATE(2026,3,1)&lt;=R125),"█","")</f>
        <v/>
      </c>
      <c r="H125" s="30" t="str">
        <f>IF(AND(Q125&lt;&gt;"",R125&lt;&gt;"",DATE(2026,5,0)&gt;=Q125,DATE(2026,4,1)&lt;=R125),"█","")</f>
        <v/>
      </c>
      <c r="I125" s="30" t="str">
        <f>IF(AND(Q125&lt;&gt;"",R125&lt;&gt;"",DATE(2026,6,0)&gt;=Q125,DATE(2026,5,1)&lt;=R125),"█","")</f>
        <v/>
      </c>
      <c r="J125" s="30" t="str">
        <f>IF(AND(Q125&lt;&gt;"",R125&lt;&gt;"",DATE(2026,7,0)&gt;=Q125,DATE(2026,6,1)&lt;=R125),"█","")</f>
        <v/>
      </c>
      <c r="K125" s="30" t="str">
        <f>IF(AND(Q125&lt;&gt;"",R125&lt;&gt;"",DATE(2026,8,0)&gt;=Q125,DATE(2026,7,1)&lt;=R125),"█","")</f>
        <v/>
      </c>
      <c r="L125" s="30" t="str">
        <f>IF(AND(Q125&lt;&gt;"",R125&lt;&gt;"",DATE(2026,9,0)&gt;=Q125,DATE(2026,8,1)&lt;=R125),"█","")</f>
        <v/>
      </c>
      <c r="M125" s="30" t="str">
        <f>IF(AND(Q125&lt;&gt;"",R125&lt;&gt;"",DATE(2026,10,0)&gt;=Q125,DATE(2026,9,1)&lt;=R125),"█","")</f>
        <v/>
      </c>
      <c r="N125" s="30" t="str">
        <f>IF(AND(Q125&lt;&gt;"",R125&lt;&gt;"",DATE(2026,11,0)&gt;=Q125,DATE(2026,10,1)&lt;=R125),"█","")</f>
        <v/>
      </c>
      <c r="O125" s="30" t="str">
        <f>IF(AND(Q125&lt;&gt;"",R125&lt;&gt;"",DATE(2026,12,0)&gt;=Q125,DATE(2026,11,1)&lt;=R125),"█","")</f>
        <v/>
      </c>
      <c r="P125" s="30" t="str">
        <f>IF(AND(Q125&lt;&gt;"",R125&lt;&gt;"",DATE(2026,12,31)&gt;=Q125,DATE(2026,12,1)&lt;=R125),"█","")</f>
        <v/>
      </c>
      <c r="Q125" s="7" t="str">
        <f>IF('Release Calendar'!I125&lt;&gt;"",'Release Calendar'!I125,"")</f>
        <v/>
      </c>
      <c r="R125" s="7" t="str">
        <f>IF('Release Calendar'!J125&lt;&gt;"",'Release Calendar'!J125,"")</f>
        <v/>
      </c>
    </row>
    <row r="126" spans="1:18" ht="20.100000000000001" customHeight="1">
      <c r="A126" s="31">
        <v>122</v>
      </c>
      <c r="B126" s="32" t="str">
        <f>IF('Release Calendar'!B126&lt;&gt;"",'Release Calendar'!B126,"")</f>
        <v/>
      </c>
      <c r="C126" s="33" t="str">
        <f>IF('Release Calendar'!K126&lt;&gt;"",'Release Calendar'!K126,"")</f>
        <v/>
      </c>
      <c r="D126" s="33" t="str">
        <f>IF('Release Calendar'!M126&lt;&gt;"",'Release Calendar'!M126,"")</f>
        <v/>
      </c>
      <c r="E126" s="34" t="str">
        <f>IF(AND(Q126&lt;&gt;"",R126&lt;&gt;"",DATE(2026,2,0)&gt;=Q126,DATE(2026,1,1)&lt;=R126),"█","")</f>
        <v/>
      </c>
      <c r="F126" s="34" t="str">
        <f>IF(AND(Q126&lt;&gt;"",R126&lt;&gt;"",DATE(2026,3,0)&gt;=Q126,DATE(2026,2,1)&lt;=R126),"█","")</f>
        <v/>
      </c>
      <c r="G126" s="34" t="str">
        <f>IF(AND(Q126&lt;&gt;"",R126&lt;&gt;"",DATE(2026,4,0)&gt;=Q126,DATE(2026,3,1)&lt;=R126),"█","")</f>
        <v/>
      </c>
      <c r="H126" s="34" t="str">
        <f>IF(AND(Q126&lt;&gt;"",R126&lt;&gt;"",DATE(2026,5,0)&gt;=Q126,DATE(2026,4,1)&lt;=R126),"█","")</f>
        <v/>
      </c>
      <c r="I126" s="34" t="str">
        <f>IF(AND(Q126&lt;&gt;"",R126&lt;&gt;"",DATE(2026,6,0)&gt;=Q126,DATE(2026,5,1)&lt;=R126),"█","")</f>
        <v/>
      </c>
      <c r="J126" s="34" t="str">
        <f>IF(AND(Q126&lt;&gt;"",R126&lt;&gt;"",DATE(2026,7,0)&gt;=Q126,DATE(2026,6,1)&lt;=R126),"█","")</f>
        <v/>
      </c>
      <c r="K126" s="34" t="str">
        <f>IF(AND(Q126&lt;&gt;"",R126&lt;&gt;"",DATE(2026,8,0)&gt;=Q126,DATE(2026,7,1)&lt;=R126),"█","")</f>
        <v/>
      </c>
      <c r="L126" s="34" t="str">
        <f>IF(AND(Q126&lt;&gt;"",R126&lt;&gt;"",DATE(2026,9,0)&gt;=Q126,DATE(2026,8,1)&lt;=R126),"█","")</f>
        <v/>
      </c>
      <c r="M126" s="34" t="str">
        <f>IF(AND(Q126&lt;&gt;"",R126&lt;&gt;"",DATE(2026,10,0)&gt;=Q126,DATE(2026,9,1)&lt;=R126),"█","")</f>
        <v/>
      </c>
      <c r="N126" s="34" t="str">
        <f>IF(AND(Q126&lt;&gt;"",R126&lt;&gt;"",DATE(2026,11,0)&gt;=Q126,DATE(2026,10,1)&lt;=R126),"█","")</f>
        <v/>
      </c>
      <c r="O126" s="34" t="str">
        <f>IF(AND(Q126&lt;&gt;"",R126&lt;&gt;"",DATE(2026,12,0)&gt;=Q126,DATE(2026,11,1)&lt;=R126),"█","")</f>
        <v/>
      </c>
      <c r="P126" s="34" t="str">
        <f>IF(AND(Q126&lt;&gt;"",R126&lt;&gt;"",DATE(2026,12,31)&gt;=Q126,DATE(2026,12,1)&lt;=R126),"█","")</f>
        <v/>
      </c>
      <c r="Q126" s="7" t="str">
        <f>IF('Release Calendar'!I126&lt;&gt;"",'Release Calendar'!I126,"")</f>
        <v/>
      </c>
      <c r="R126" s="7" t="str">
        <f>IF('Release Calendar'!J126&lt;&gt;"",'Release Calendar'!J126,"")</f>
        <v/>
      </c>
    </row>
    <row r="127" spans="1:18" ht="20.100000000000001" customHeight="1">
      <c r="A127" s="14">
        <v>123</v>
      </c>
      <c r="B127" s="28" t="str">
        <f>IF('Release Calendar'!B127&lt;&gt;"",'Release Calendar'!B127,"")</f>
        <v/>
      </c>
      <c r="C127" s="29" t="str">
        <f>IF('Release Calendar'!K127&lt;&gt;"",'Release Calendar'!K127,"")</f>
        <v/>
      </c>
      <c r="D127" s="29" t="str">
        <f>IF('Release Calendar'!M127&lt;&gt;"",'Release Calendar'!M127,"")</f>
        <v/>
      </c>
      <c r="E127" s="30" t="str">
        <f>IF(AND(Q127&lt;&gt;"",R127&lt;&gt;"",DATE(2026,2,0)&gt;=Q127,DATE(2026,1,1)&lt;=R127),"█","")</f>
        <v/>
      </c>
      <c r="F127" s="30" t="str">
        <f>IF(AND(Q127&lt;&gt;"",R127&lt;&gt;"",DATE(2026,3,0)&gt;=Q127,DATE(2026,2,1)&lt;=R127),"█","")</f>
        <v/>
      </c>
      <c r="G127" s="30" t="str">
        <f>IF(AND(Q127&lt;&gt;"",R127&lt;&gt;"",DATE(2026,4,0)&gt;=Q127,DATE(2026,3,1)&lt;=R127),"█","")</f>
        <v/>
      </c>
      <c r="H127" s="30" t="str">
        <f>IF(AND(Q127&lt;&gt;"",R127&lt;&gt;"",DATE(2026,5,0)&gt;=Q127,DATE(2026,4,1)&lt;=R127),"█","")</f>
        <v/>
      </c>
      <c r="I127" s="30" t="str">
        <f>IF(AND(Q127&lt;&gt;"",R127&lt;&gt;"",DATE(2026,6,0)&gt;=Q127,DATE(2026,5,1)&lt;=R127),"█","")</f>
        <v/>
      </c>
      <c r="J127" s="30" t="str">
        <f>IF(AND(Q127&lt;&gt;"",R127&lt;&gt;"",DATE(2026,7,0)&gt;=Q127,DATE(2026,6,1)&lt;=R127),"█","")</f>
        <v/>
      </c>
      <c r="K127" s="30" t="str">
        <f>IF(AND(Q127&lt;&gt;"",R127&lt;&gt;"",DATE(2026,8,0)&gt;=Q127,DATE(2026,7,1)&lt;=R127),"█","")</f>
        <v/>
      </c>
      <c r="L127" s="30" t="str">
        <f>IF(AND(Q127&lt;&gt;"",R127&lt;&gt;"",DATE(2026,9,0)&gt;=Q127,DATE(2026,8,1)&lt;=R127),"█","")</f>
        <v/>
      </c>
      <c r="M127" s="30" t="str">
        <f>IF(AND(Q127&lt;&gt;"",R127&lt;&gt;"",DATE(2026,10,0)&gt;=Q127,DATE(2026,9,1)&lt;=R127),"█","")</f>
        <v/>
      </c>
      <c r="N127" s="30" t="str">
        <f>IF(AND(Q127&lt;&gt;"",R127&lt;&gt;"",DATE(2026,11,0)&gt;=Q127,DATE(2026,10,1)&lt;=R127),"█","")</f>
        <v/>
      </c>
      <c r="O127" s="30" t="str">
        <f>IF(AND(Q127&lt;&gt;"",R127&lt;&gt;"",DATE(2026,12,0)&gt;=Q127,DATE(2026,11,1)&lt;=R127),"█","")</f>
        <v/>
      </c>
      <c r="P127" s="30" t="str">
        <f>IF(AND(Q127&lt;&gt;"",R127&lt;&gt;"",DATE(2026,12,31)&gt;=Q127,DATE(2026,12,1)&lt;=R127),"█","")</f>
        <v/>
      </c>
      <c r="Q127" s="7" t="str">
        <f>IF('Release Calendar'!I127&lt;&gt;"",'Release Calendar'!I127,"")</f>
        <v/>
      </c>
      <c r="R127" s="7" t="str">
        <f>IF('Release Calendar'!J127&lt;&gt;"",'Release Calendar'!J127,"")</f>
        <v/>
      </c>
    </row>
    <row r="128" spans="1:18" ht="20.100000000000001" customHeight="1">
      <c r="A128" s="31">
        <v>124</v>
      </c>
      <c r="B128" s="32" t="str">
        <f>IF('Release Calendar'!B128&lt;&gt;"",'Release Calendar'!B128,"")</f>
        <v/>
      </c>
      <c r="C128" s="33" t="str">
        <f>IF('Release Calendar'!K128&lt;&gt;"",'Release Calendar'!K128,"")</f>
        <v/>
      </c>
      <c r="D128" s="33" t="str">
        <f>IF('Release Calendar'!M128&lt;&gt;"",'Release Calendar'!M128,"")</f>
        <v/>
      </c>
      <c r="E128" s="34" t="str">
        <f>IF(AND(Q128&lt;&gt;"",R128&lt;&gt;"",DATE(2026,2,0)&gt;=Q128,DATE(2026,1,1)&lt;=R128),"█","")</f>
        <v/>
      </c>
      <c r="F128" s="34" t="str">
        <f>IF(AND(Q128&lt;&gt;"",R128&lt;&gt;"",DATE(2026,3,0)&gt;=Q128,DATE(2026,2,1)&lt;=R128),"█","")</f>
        <v/>
      </c>
      <c r="G128" s="34" t="str">
        <f>IF(AND(Q128&lt;&gt;"",R128&lt;&gt;"",DATE(2026,4,0)&gt;=Q128,DATE(2026,3,1)&lt;=R128),"█","")</f>
        <v/>
      </c>
      <c r="H128" s="34" t="str">
        <f>IF(AND(Q128&lt;&gt;"",R128&lt;&gt;"",DATE(2026,5,0)&gt;=Q128,DATE(2026,4,1)&lt;=R128),"█","")</f>
        <v/>
      </c>
      <c r="I128" s="34" t="str">
        <f>IF(AND(Q128&lt;&gt;"",R128&lt;&gt;"",DATE(2026,6,0)&gt;=Q128,DATE(2026,5,1)&lt;=R128),"█","")</f>
        <v/>
      </c>
      <c r="J128" s="34" t="str">
        <f>IF(AND(Q128&lt;&gt;"",R128&lt;&gt;"",DATE(2026,7,0)&gt;=Q128,DATE(2026,6,1)&lt;=R128),"█","")</f>
        <v/>
      </c>
      <c r="K128" s="34" t="str">
        <f>IF(AND(Q128&lt;&gt;"",R128&lt;&gt;"",DATE(2026,8,0)&gt;=Q128,DATE(2026,7,1)&lt;=R128),"█","")</f>
        <v/>
      </c>
      <c r="L128" s="34" t="str">
        <f>IF(AND(Q128&lt;&gt;"",R128&lt;&gt;"",DATE(2026,9,0)&gt;=Q128,DATE(2026,8,1)&lt;=R128),"█","")</f>
        <v/>
      </c>
      <c r="M128" s="34" t="str">
        <f>IF(AND(Q128&lt;&gt;"",R128&lt;&gt;"",DATE(2026,10,0)&gt;=Q128,DATE(2026,9,1)&lt;=R128),"█","")</f>
        <v/>
      </c>
      <c r="N128" s="34" t="str">
        <f>IF(AND(Q128&lt;&gt;"",R128&lt;&gt;"",DATE(2026,11,0)&gt;=Q128,DATE(2026,10,1)&lt;=R128),"█","")</f>
        <v/>
      </c>
      <c r="O128" s="34" t="str">
        <f>IF(AND(Q128&lt;&gt;"",R128&lt;&gt;"",DATE(2026,12,0)&gt;=Q128,DATE(2026,11,1)&lt;=R128),"█","")</f>
        <v/>
      </c>
      <c r="P128" s="34" t="str">
        <f>IF(AND(Q128&lt;&gt;"",R128&lt;&gt;"",DATE(2026,12,31)&gt;=Q128,DATE(2026,12,1)&lt;=R128),"█","")</f>
        <v/>
      </c>
      <c r="Q128" s="7" t="str">
        <f>IF('Release Calendar'!I128&lt;&gt;"",'Release Calendar'!I128,"")</f>
        <v/>
      </c>
      <c r="R128" s="7" t="str">
        <f>IF('Release Calendar'!J128&lt;&gt;"",'Release Calendar'!J128,"")</f>
        <v/>
      </c>
    </row>
    <row r="129" spans="1:18" ht="20.100000000000001" customHeight="1">
      <c r="A129" s="14">
        <v>125</v>
      </c>
      <c r="B129" s="28" t="str">
        <f>IF('Release Calendar'!B129&lt;&gt;"",'Release Calendar'!B129,"")</f>
        <v/>
      </c>
      <c r="C129" s="29" t="str">
        <f>IF('Release Calendar'!K129&lt;&gt;"",'Release Calendar'!K129,"")</f>
        <v/>
      </c>
      <c r="D129" s="29" t="str">
        <f>IF('Release Calendar'!M129&lt;&gt;"",'Release Calendar'!M129,"")</f>
        <v/>
      </c>
      <c r="E129" s="30" t="str">
        <f>IF(AND(Q129&lt;&gt;"",R129&lt;&gt;"",DATE(2026,2,0)&gt;=Q129,DATE(2026,1,1)&lt;=R129),"█","")</f>
        <v/>
      </c>
      <c r="F129" s="30" t="str">
        <f>IF(AND(Q129&lt;&gt;"",R129&lt;&gt;"",DATE(2026,3,0)&gt;=Q129,DATE(2026,2,1)&lt;=R129),"█","")</f>
        <v/>
      </c>
      <c r="G129" s="30" t="str">
        <f>IF(AND(Q129&lt;&gt;"",R129&lt;&gt;"",DATE(2026,4,0)&gt;=Q129,DATE(2026,3,1)&lt;=R129),"█","")</f>
        <v/>
      </c>
      <c r="H129" s="30" t="str">
        <f>IF(AND(Q129&lt;&gt;"",R129&lt;&gt;"",DATE(2026,5,0)&gt;=Q129,DATE(2026,4,1)&lt;=R129),"█","")</f>
        <v/>
      </c>
      <c r="I129" s="30" t="str">
        <f>IF(AND(Q129&lt;&gt;"",R129&lt;&gt;"",DATE(2026,6,0)&gt;=Q129,DATE(2026,5,1)&lt;=R129),"█","")</f>
        <v/>
      </c>
      <c r="J129" s="30" t="str">
        <f>IF(AND(Q129&lt;&gt;"",R129&lt;&gt;"",DATE(2026,7,0)&gt;=Q129,DATE(2026,6,1)&lt;=R129),"█","")</f>
        <v/>
      </c>
      <c r="K129" s="30" t="str">
        <f>IF(AND(Q129&lt;&gt;"",R129&lt;&gt;"",DATE(2026,8,0)&gt;=Q129,DATE(2026,7,1)&lt;=R129),"█","")</f>
        <v/>
      </c>
      <c r="L129" s="30" t="str">
        <f>IF(AND(Q129&lt;&gt;"",R129&lt;&gt;"",DATE(2026,9,0)&gt;=Q129,DATE(2026,8,1)&lt;=R129),"█","")</f>
        <v/>
      </c>
      <c r="M129" s="30" t="str">
        <f>IF(AND(Q129&lt;&gt;"",R129&lt;&gt;"",DATE(2026,10,0)&gt;=Q129,DATE(2026,9,1)&lt;=R129),"█","")</f>
        <v/>
      </c>
      <c r="N129" s="30" t="str">
        <f>IF(AND(Q129&lt;&gt;"",R129&lt;&gt;"",DATE(2026,11,0)&gt;=Q129,DATE(2026,10,1)&lt;=R129),"█","")</f>
        <v/>
      </c>
      <c r="O129" s="30" t="str">
        <f>IF(AND(Q129&lt;&gt;"",R129&lt;&gt;"",DATE(2026,12,0)&gt;=Q129,DATE(2026,11,1)&lt;=R129),"█","")</f>
        <v/>
      </c>
      <c r="P129" s="30" t="str">
        <f>IF(AND(Q129&lt;&gt;"",R129&lt;&gt;"",DATE(2026,12,31)&gt;=Q129,DATE(2026,12,1)&lt;=R129),"█","")</f>
        <v/>
      </c>
      <c r="Q129" s="7" t="str">
        <f>IF('Release Calendar'!I129&lt;&gt;"",'Release Calendar'!I129,"")</f>
        <v/>
      </c>
      <c r="R129" s="7" t="str">
        <f>IF('Release Calendar'!J129&lt;&gt;"",'Release Calendar'!J129,"")</f>
        <v/>
      </c>
    </row>
    <row r="130" spans="1:18" ht="20.100000000000001" customHeight="1">
      <c r="A130" s="31">
        <v>126</v>
      </c>
      <c r="B130" s="32" t="str">
        <f>IF('Release Calendar'!B130&lt;&gt;"",'Release Calendar'!B130,"")</f>
        <v/>
      </c>
      <c r="C130" s="33" t="str">
        <f>IF('Release Calendar'!K130&lt;&gt;"",'Release Calendar'!K130,"")</f>
        <v/>
      </c>
      <c r="D130" s="33" t="str">
        <f>IF('Release Calendar'!M130&lt;&gt;"",'Release Calendar'!M130,"")</f>
        <v/>
      </c>
      <c r="E130" s="34" t="str">
        <f>IF(AND(Q130&lt;&gt;"",R130&lt;&gt;"",DATE(2026,2,0)&gt;=Q130,DATE(2026,1,1)&lt;=R130),"█","")</f>
        <v/>
      </c>
      <c r="F130" s="34" t="str">
        <f>IF(AND(Q130&lt;&gt;"",R130&lt;&gt;"",DATE(2026,3,0)&gt;=Q130,DATE(2026,2,1)&lt;=R130),"█","")</f>
        <v/>
      </c>
      <c r="G130" s="34" t="str">
        <f>IF(AND(Q130&lt;&gt;"",R130&lt;&gt;"",DATE(2026,4,0)&gt;=Q130,DATE(2026,3,1)&lt;=R130),"█","")</f>
        <v/>
      </c>
      <c r="H130" s="34" t="str">
        <f>IF(AND(Q130&lt;&gt;"",R130&lt;&gt;"",DATE(2026,5,0)&gt;=Q130,DATE(2026,4,1)&lt;=R130),"█","")</f>
        <v/>
      </c>
      <c r="I130" s="34" t="str">
        <f>IF(AND(Q130&lt;&gt;"",R130&lt;&gt;"",DATE(2026,6,0)&gt;=Q130,DATE(2026,5,1)&lt;=R130),"█","")</f>
        <v/>
      </c>
      <c r="J130" s="34" t="str">
        <f>IF(AND(Q130&lt;&gt;"",R130&lt;&gt;"",DATE(2026,7,0)&gt;=Q130,DATE(2026,6,1)&lt;=R130),"█","")</f>
        <v/>
      </c>
      <c r="K130" s="34" t="str">
        <f>IF(AND(Q130&lt;&gt;"",R130&lt;&gt;"",DATE(2026,8,0)&gt;=Q130,DATE(2026,7,1)&lt;=R130),"█","")</f>
        <v/>
      </c>
      <c r="L130" s="34" t="str">
        <f>IF(AND(Q130&lt;&gt;"",R130&lt;&gt;"",DATE(2026,9,0)&gt;=Q130,DATE(2026,8,1)&lt;=R130),"█","")</f>
        <v/>
      </c>
      <c r="M130" s="34" t="str">
        <f>IF(AND(Q130&lt;&gt;"",R130&lt;&gt;"",DATE(2026,10,0)&gt;=Q130,DATE(2026,9,1)&lt;=R130),"█","")</f>
        <v/>
      </c>
      <c r="N130" s="34" t="str">
        <f>IF(AND(Q130&lt;&gt;"",R130&lt;&gt;"",DATE(2026,11,0)&gt;=Q130,DATE(2026,10,1)&lt;=R130),"█","")</f>
        <v/>
      </c>
      <c r="O130" s="34" t="str">
        <f>IF(AND(Q130&lt;&gt;"",R130&lt;&gt;"",DATE(2026,12,0)&gt;=Q130,DATE(2026,11,1)&lt;=R130),"█","")</f>
        <v/>
      </c>
      <c r="P130" s="34" t="str">
        <f>IF(AND(Q130&lt;&gt;"",R130&lt;&gt;"",DATE(2026,12,31)&gt;=Q130,DATE(2026,12,1)&lt;=R130),"█","")</f>
        <v/>
      </c>
      <c r="Q130" s="7" t="str">
        <f>IF('Release Calendar'!I130&lt;&gt;"",'Release Calendar'!I130,"")</f>
        <v/>
      </c>
      <c r="R130" s="7" t="str">
        <f>IF('Release Calendar'!J130&lt;&gt;"",'Release Calendar'!J130,"")</f>
        <v/>
      </c>
    </row>
    <row r="131" spans="1:18" ht="20.100000000000001" customHeight="1">
      <c r="A131" s="14">
        <v>127</v>
      </c>
      <c r="B131" s="28" t="str">
        <f>IF('Release Calendar'!B131&lt;&gt;"",'Release Calendar'!B131,"")</f>
        <v/>
      </c>
      <c r="C131" s="29" t="str">
        <f>IF('Release Calendar'!K131&lt;&gt;"",'Release Calendar'!K131,"")</f>
        <v/>
      </c>
      <c r="D131" s="29" t="str">
        <f>IF('Release Calendar'!M131&lt;&gt;"",'Release Calendar'!M131,"")</f>
        <v/>
      </c>
      <c r="E131" s="30" t="str">
        <f>IF(AND(Q131&lt;&gt;"",R131&lt;&gt;"",DATE(2026,2,0)&gt;=Q131,DATE(2026,1,1)&lt;=R131),"█","")</f>
        <v/>
      </c>
      <c r="F131" s="30" t="str">
        <f>IF(AND(Q131&lt;&gt;"",R131&lt;&gt;"",DATE(2026,3,0)&gt;=Q131,DATE(2026,2,1)&lt;=R131),"█","")</f>
        <v/>
      </c>
      <c r="G131" s="30" t="str">
        <f>IF(AND(Q131&lt;&gt;"",R131&lt;&gt;"",DATE(2026,4,0)&gt;=Q131,DATE(2026,3,1)&lt;=R131),"█","")</f>
        <v/>
      </c>
      <c r="H131" s="30" t="str">
        <f>IF(AND(Q131&lt;&gt;"",R131&lt;&gt;"",DATE(2026,5,0)&gt;=Q131,DATE(2026,4,1)&lt;=R131),"█","")</f>
        <v/>
      </c>
      <c r="I131" s="30" t="str">
        <f>IF(AND(Q131&lt;&gt;"",R131&lt;&gt;"",DATE(2026,6,0)&gt;=Q131,DATE(2026,5,1)&lt;=R131),"█","")</f>
        <v/>
      </c>
      <c r="J131" s="30" t="str">
        <f>IF(AND(Q131&lt;&gt;"",R131&lt;&gt;"",DATE(2026,7,0)&gt;=Q131,DATE(2026,6,1)&lt;=R131),"█","")</f>
        <v/>
      </c>
      <c r="K131" s="30" t="str">
        <f>IF(AND(Q131&lt;&gt;"",R131&lt;&gt;"",DATE(2026,8,0)&gt;=Q131,DATE(2026,7,1)&lt;=R131),"█","")</f>
        <v/>
      </c>
      <c r="L131" s="30" t="str">
        <f>IF(AND(Q131&lt;&gt;"",R131&lt;&gt;"",DATE(2026,9,0)&gt;=Q131,DATE(2026,8,1)&lt;=R131),"█","")</f>
        <v/>
      </c>
      <c r="M131" s="30" t="str">
        <f>IF(AND(Q131&lt;&gt;"",R131&lt;&gt;"",DATE(2026,10,0)&gt;=Q131,DATE(2026,9,1)&lt;=R131),"█","")</f>
        <v/>
      </c>
      <c r="N131" s="30" t="str">
        <f>IF(AND(Q131&lt;&gt;"",R131&lt;&gt;"",DATE(2026,11,0)&gt;=Q131,DATE(2026,10,1)&lt;=R131),"█","")</f>
        <v/>
      </c>
      <c r="O131" s="30" t="str">
        <f>IF(AND(Q131&lt;&gt;"",R131&lt;&gt;"",DATE(2026,12,0)&gt;=Q131,DATE(2026,11,1)&lt;=R131),"█","")</f>
        <v/>
      </c>
      <c r="P131" s="30" t="str">
        <f>IF(AND(Q131&lt;&gt;"",R131&lt;&gt;"",DATE(2026,12,31)&gt;=Q131,DATE(2026,12,1)&lt;=R131),"█","")</f>
        <v/>
      </c>
      <c r="Q131" s="7" t="str">
        <f>IF('Release Calendar'!I131&lt;&gt;"",'Release Calendar'!I131,"")</f>
        <v/>
      </c>
      <c r="R131" s="7" t="str">
        <f>IF('Release Calendar'!J131&lt;&gt;"",'Release Calendar'!J131,"")</f>
        <v/>
      </c>
    </row>
    <row r="132" spans="1:18" ht="20.100000000000001" customHeight="1">
      <c r="A132" s="31">
        <v>128</v>
      </c>
      <c r="B132" s="32" t="str">
        <f>IF('Release Calendar'!B132&lt;&gt;"",'Release Calendar'!B132,"")</f>
        <v/>
      </c>
      <c r="C132" s="33" t="str">
        <f>IF('Release Calendar'!K132&lt;&gt;"",'Release Calendar'!K132,"")</f>
        <v/>
      </c>
      <c r="D132" s="33" t="str">
        <f>IF('Release Calendar'!M132&lt;&gt;"",'Release Calendar'!M132,"")</f>
        <v/>
      </c>
      <c r="E132" s="34" t="str">
        <f>IF(AND(Q132&lt;&gt;"",R132&lt;&gt;"",DATE(2026,2,0)&gt;=Q132,DATE(2026,1,1)&lt;=R132),"█","")</f>
        <v/>
      </c>
      <c r="F132" s="34" t="str">
        <f>IF(AND(Q132&lt;&gt;"",R132&lt;&gt;"",DATE(2026,3,0)&gt;=Q132,DATE(2026,2,1)&lt;=R132),"█","")</f>
        <v/>
      </c>
      <c r="G132" s="34" t="str">
        <f>IF(AND(Q132&lt;&gt;"",R132&lt;&gt;"",DATE(2026,4,0)&gt;=Q132,DATE(2026,3,1)&lt;=R132),"█","")</f>
        <v/>
      </c>
      <c r="H132" s="34" t="str">
        <f>IF(AND(Q132&lt;&gt;"",R132&lt;&gt;"",DATE(2026,5,0)&gt;=Q132,DATE(2026,4,1)&lt;=R132),"█","")</f>
        <v/>
      </c>
      <c r="I132" s="34" t="str">
        <f>IF(AND(Q132&lt;&gt;"",R132&lt;&gt;"",DATE(2026,6,0)&gt;=Q132,DATE(2026,5,1)&lt;=R132),"█","")</f>
        <v/>
      </c>
      <c r="J132" s="34" t="str">
        <f>IF(AND(Q132&lt;&gt;"",R132&lt;&gt;"",DATE(2026,7,0)&gt;=Q132,DATE(2026,6,1)&lt;=R132),"█","")</f>
        <v/>
      </c>
      <c r="K132" s="34" t="str">
        <f>IF(AND(Q132&lt;&gt;"",R132&lt;&gt;"",DATE(2026,8,0)&gt;=Q132,DATE(2026,7,1)&lt;=R132),"█","")</f>
        <v/>
      </c>
      <c r="L132" s="34" t="str">
        <f>IF(AND(Q132&lt;&gt;"",R132&lt;&gt;"",DATE(2026,9,0)&gt;=Q132,DATE(2026,8,1)&lt;=R132),"█","")</f>
        <v/>
      </c>
      <c r="M132" s="34" t="str">
        <f>IF(AND(Q132&lt;&gt;"",R132&lt;&gt;"",DATE(2026,10,0)&gt;=Q132,DATE(2026,9,1)&lt;=R132),"█","")</f>
        <v/>
      </c>
      <c r="N132" s="34" t="str">
        <f>IF(AND(Q132&lt;&gt;"",R132&lt;&gt;"",DATE(2026,11,0)&gt;=Q132,DATE(2026,10,1)&lt;=R132),"█","")</f>
        <v/>
      </c>
      <c r="O132" s="34" t="str">
        <f>IF(AND(Q132&lt;&gt;"",R132&lt;&gt;"",DATE(2026,12,0)&gt;=Q132,DATE(2026,11,1)&lt;=R132),"█","")</f>
        <v/>
      </c>
      <c r="P132" s="34" t="str">
        <f>IF(AND(Q132&lt;&gt;"",R132&lt;&gt;"",DATE(2026,12,31)&gt;=Q132,DATE(2026,12,1)&lt;=R132),"█","")</f>
        <v/>
      </c>
      <c r="Q132" s="7" t="str">
        <f>IF('Release Calendar'!I132&lt;&gt;"",'Release Calendar'!I132,"")</f>
        <v/>
      </c>
      <c r="R132" s="7" t="str">
        <f>IF('Release Calendar'!J132&lt;&gt;"",'Release Calendar'!J132,"")</f>
        <v/>
      </c>
    </row>
    <row r="133" spans="1:18" ht="20.100000000000001" customHeight="1">
      <c r="A133" s="14">
        <v>129</v>
      </c>
      <c r="B133" s="28" t="str">
        <f>IF('Release Calendar'!B133&lt;&gt;"",'Release Calendar'!B133,"")</f>
        <v/>
      </c>
      <c r="C133" s="29" t="str">
        <f>IF('Release Calendar'!K133&lt;&gt;"",'Release Calendar'!K133,"")</f>
        <v/>
      </c>
      <c r="D133" s="29" t="str">
        <f>IF('Release Calendar'!M133&lt;&gt;"",'Release Calendar'!M133,"")</f>
        <v/>
      </c>
      <c r="E133" s="30" t="str">
        <f>IF(AND(Q133&lt;&gt;"",R133&lt;&gt;"",DATE(2026,2,0)&gt;=Q133,DATE(2026,1,1)&lt;=R133),"█","")</f>
        <v/>
      </c>
      <c r="F133" s="30" t="str">
        <f>IF(AND(Q133&lt;&gt;"",R133&lt;&gt;"",DATE(2026,3,0)&gt;=Q133,DATE(2026,2,1)&lt;=R133),"█","")</f>
        <v/>
      </c>
      <c r="G133" s="30" t="str">
        <f>IF(AND(Q133&lt;&gt;"",R133&lt;&gt;"",DATE(2026,4,0)&gt;=Q133,DATE(2026,3,1)&lt;=R133),"█","")</f>
        <v/>
      </c>
      <c r="H133" s="30" t="str">
        <f>IF(AND(Q133&lt;&gt;"",R133&lt;&gt;"",DATE(2026,5,0)&gt;=Q133,DATE(2026,4,1)&lt;=R133),"█","")</f>
        <v/>
      </c>
      <c r="I133" s="30" t="str">
        <f>IF(AND(Q133&lt;&gt;"",R133&lt;&gt;"",DATE(2026,6,0)&gt;=Q133,DATE(2026,5,1)&lt;=R133),"█","")</f>
        <v/>
      </c>
      <c r="J133" s="30" t="str">
        <f>IF(AND(Q133&lt;&gt;"",R133&lt;&gt;"",DATE(2026,7,0)&gt;=Q133,DATE(2026,6,1)&lt;=R133),"█","")</f>
        <v/>
      </c>
      <c r="K133" s="30" t="str">
        <f>IF(AND(Q133&lt;&gt;"",R133&lt;&gt;"",DATE(2026,8,0)&gt;=Q133,DATE(2026,7,1)&lt;=R133),"█","")</f>
        <v/>
      </c>
      <c r="L133" s="30" t="str">
        <f>IF(AND(Q133&lt;&gt;"",R133&lt;&gt;"",DATE(2026,9,0)&gt;=Q133,DATE(2026,8,1)&lt;=R133),"█","")</f>
        <v/>
      </c>
      <c r="M133" s="30" t="str">
        <f>IF(AND(Q133&lt;&gt;"",R133&lt;&gt;"",DATE(2026,10,0)&gt;=Q133,DATE(2026,9,1)&lt;=R133),"█","")</f>
        <v/>
      </c>
      <c r="N133" s="30" t="str">
        <f>IF(AND(Q133&lt;&gt;"",R133&lt;&gt;"",DATE(2026,11,0)&gt;=Q133,DATE(2026,10,1)&lt;=R133),"█","")</f>
        <v/>
      </c>
      <c r="O133" s="30" t="str">
        <f>IF(AND(Q133&lt;&gt;"",R133&lt;&gt;"",DATE(2026,12,0)&gt;=Q133,DATE(2026,11,1)&lt;=R133),"█","")</f>
        <v/>
      </c>
      <c r="P133" s="30" t="str">
        <f>IF(AND(Q133&lt;&gt;"",R133&lt;&gt;"",DATE(2026,12,31)&gt;=Q133,DATE(2026,12,1)&lt;=R133),"█","")</f>
        <v/>
      </c>
      <c r="Q133" s="7" t="str">
        <f>IF('Release Calendar'!I133&lt;&gt;"",'Release Calendar'!I133,"")</f>
        <v/>
      </c>
      <c r="R133" s="7" t="str">
        <f>IF('Release Calendar'!J133&lt;&gt;"",'Release Calendar'!J133,"")</f>
        <v/>
      </c>
    </row>
    <row r="134" spans="1:18" ht="20.100000000000001" customHeight="1">
      <c r="A134" s="31">
        <v>130</v>
      </c>
      <c r="B134" s="32" t="str">
        <f>IF('Release Calendar'!B134&lt;&gt;"",'Release Calendar'!B134,"")</f>
        <v/>
      </c>
      <c r="C134" s="33" t="str">
        <f>IF('Release Calendar'!K134&lt;&gt;"",'Release Calendar'!K134,"")</f>
        <v/>
      </c>
      <c r="D134" s="33" t="str">
        <f>IF('Release Calendar'!M134&lt;&gt;"",'Release Calendar'!M134,"")</f>
        <v/>
      </c>
      <c r="E134" s="34" t="str">
        <f>IF(AND(Q134&lt;&gt;"",R134&lt;&gt;"",DATE(2026,2,0)&gt;=Q134,DATE(2026,1,1)&lt;=R134),"█","")</f>
        <v/>
      </c>
      <c r="F134" s="34" t="str">
        <f>IF(AND(Q134&lt;&gt;"",R134&lt;&gt;"",DATE(2026,3,0)&gt;=Q134,DATE(2026,2,1)&lt;=R134),"█","")</f>
        <v/>
      </c>
      <c r="G134" s="34" t="str">
        <f>IF(AND(Q134&lt;&gt;"",R134&lt;&gt;"",DATE(2026,4,0)&gt;=Q134,DATE(2026,3,1)&lt;=R134),"█","")</f>
        <v/>
      </c>
      <c r="H134" s="34" t="str">
        <f>IF(AND(Q134&lt;&gt;"",R134&lt;&gt;"",DATE(2026,5,0)&gt;=Q134,DATE(2026,4,1)&lt;=R134),"█","")</f>
        <v/>
      </c>
      <c r="I134" s="34" t="str">
        <f>IF(AND(Q134&lt;&gt;"",R134&lt;&gt;"",DATE(2026,6,0)&gt;=Q134,DATE(2026,5,1)&lt;=R134),"█","")</f>
        <v/>
      </c>
      <c r="J134" s="34" t="str">
        <f>IF(AND(Q134&lt;&gt;"",R134&lt;&gt;"",DATE(2026,7,0)&gt;=Q134,DATE(2026,6,1)&lt;=R134),"█","")</f>
        <v/>
      </c>
      <c r="K134" s="34" t="str">
        <f>IF(AND(Q134&lt;&gt;"",R134&lt;&gt;"",DATE(2026,8,0)&gt;=Q134,DATE(2026,7,1)&lt;=R134),"█","")</f>
        <v/>
      </c>
      <c r="L134" s="34" t="str">
        <f>IF(AND(Q134&lt;&gt;"",R134&lt;&gt;"",DATE(2026,9,0)&gt;=Q134,DATE(2026,8,1)&lt;=R134),"█","")</f>
        <v/>
      </c>
      <c r="M134" s="34" t="str">
        <f>IF(AND(Q134&lt;&gt;"",R134&lt;&gt;"",DATE(2026,10,0)&gt;=Q134,DATE(2026,9,1)&lt;=R134),"█","")</f>
        <v/>
      </c>
      <c r="N134" s="34" t="str">
        <f>IF(AND(Q134&lt;&gt;"",R134&lt;&gt;"",DATE(2026,11,0)&gt;=Q134,DATE(2026,10,1)&lt;=R134),"█","")</f>
        <v/>
      </c>
      <c r="O134" s="34" t="str">
        <f>IF(AND(Q134&lt;&gt;"",R134&lt;&gt;"",DATE(2026,12,0)&gt;=Q134,DATE(2026,11,1)&lt;=R134),"█","")</f>
        <v/>
      </c>
      <c r="P134" s="34" t="str">
        <f>IF(AND(Q134&lt;&gt;"",R134&lt;&gt;"",DATE(2026,12,31)&gt;=Q134,DATE(2026,12,1)&lt;=R134),"█","")</f>
        <v/>
      </c>
      <c r="Q134" s="7" t="str">
        <f>IF('Release Calendar'!I134&lt;&gt;"",'Release Calendar'!I134,"")</f>
        <v/>
      </c>
      <c r="R134" s="7" t="str">
        <f>IF('Release Calendar'!J134&lt;&gt;"",'Release Calendar'!J134,"")</f>
        <v/>
      </c>
    </row>
    <row r="135" spans="1:18" ht="20.100000000000001" customHeight="1">
      <c r="A135" s="14">
        <v>131</v>
      </c>
      <c r="B135" s="28" t="str">
        <f>IF('Release Calendar'!B135&lt;&gt;"",'Release Calendar'!B135,"")</f>
        <v/>
      </c>
      <c r="C135" s="29" t="str">
        <f>IF('Release Calendar'!K135&lt;&gt;"",'Release Calendar'!K135,"")</f>
        <v/>
      </c>
      <c r="D135" s="29" t="str">
        <f>IF('Release Calendar'!M135&lt;&gt;"",'Release Calendar'!M135,"")</f>
        <v/>
      </c>
      <c r="E135" s="30" t="str">
        <f>IF(AND(Q135&lt;&gt;"",R135&lt;&gt;"",DATE(2026,2,0)&gt;=Q135,DATE(2026,1,1)&lt;=R135),"█","")</f>
        <v/>
      </c>
      <c r="F135" s="30" t="str">
        <f>IF(AND(Q135&lt;&gt;"",R135&lt;&gt;"",DATE(2026,3,0)&gt;=Q135,DATE(2026,2,1)&lt;=R135),"█","")</f>
        <v/>
      </c>
      <c r="G135" s="30" t="str">
        <f>IF(AND(Q135&lt;&gt;"",R135&lt;&gt;"",DATE(2026,4,0)&gt;=Q135,DATE(2026,3,1)&lt;=R135),"█","")</f>
        <v/>
      </c>
      <c r="H135" s="30" t="str">
        <f>IF(AND(Q135&lt;&gt;"",R135&lt;&gt;"",DATE(2026,5,0)&gt;=Q135,DATE(2026,4,1)&lt;=R135),"█","")</f>
        <v/>
      </c>
      <c r="I135" s="30" t="str">
        <f>IF(AND(Q135&lt;&gt;"",R135&lt;&gt;"",DATE(2026,6,0)&gt;=Q135,DATE(2026,5,1)&lt;=R135),"█","")</f>
        <v/>
      </c>
      <c r="J135" s="30" t="str">
        <f>IF(AND(Q135&lt;&gt;"",R135&lt;&gt;"",DATE(2026,7,0)&gt;=Q135,DATE(2026,6,1)&lt;=R135),"█","")</f>
        <v/>
      </c>
      <c r="K135" s="30" t="str">
        <f>IF(AND(Q135&lt;&gt;"",R135&lt;&gt;"",DATE(2026,8,0)&gt;=Q135,DATE(2026,7,1)&lt;=R135),"█","")</f>
        <v/>
      </c>
      <c r="L135" s="30" t="str">
        <f>IF(AND(Q135&lt;&gt;"",R135&lt;&gt;"",DATE(2026,9,0)&gt;=Q135,DATE(2026,8,1)&lt;=R135),"█","")</f>
        <v/>
      </c>
      <c r="M135" s="30" t="str">
        <f>IF(AND(Q135&lt;&gt;"",R135&lt;&gt;"",DATE(2026,10,0)&gt;=Q135,DATE(2026,9,1)&lt;=R135),"█","")</f>
        <v/>
      </c>
      <c r="N135" s="30" t="str">
        <f>IF(AND(Q135&lt;&gt;"",R135&lt;&gt;"",DATE(2026,11,0)&gt;=Q135,DATE(2026,10,1)&lt;=R135),"█","")</f>
        <v/>
      </c>
      <c r="O135" s="30" t="str">
        <f>IF(AND(Q135&lt;&gt;"",R135&lt;&gt;"",DATE(2026,12,0)&gt;=Q135,DATE(2026,11,1)&lt;=R135),"█","")</f>
        <v/>
      </c>
      <c r="P135" s="30" t="str">
        <f>IF(AND(Q135&lt;&gt;"",R135&lt;&gt;"",DATE(2026,12,31)&gt;=Q135,DATE(2026,12,1)&lt;=R135),"█","")</f>
        <v/>
      </c>
      <c r="Q135" s="7" t="str">
        <f>IF('Release Calendar'!I135&lt;&gt;"",'Release Calendar'!I135,"")</f>
        <v/>
      </c>
      <c r="R135" s="7" t="str">
        <f>IF('Release Calendar'!J135&lt;&gt;"",'Release Calendar'!J135,"")</f>
        <v/>
      </c>
    </row>
    <row r="136" spans="1:18" ht="20.100000000000001" customHeight="1">
      <c r="A136" s="31">
        <v>132</v>
      </c>
      <c r="B136" s="32" t="str">
        <f>IF('Release Calendar'!B136&lt;&gt;"",'Release Calendar'!B136,"")</f>
        <v/>
      </c>
      <c r="C136" s="33" t="str">
        <f>IF('Release Calendar'!K136&lt;&gt;"",'Release Calendar'!K136,"")</f>
        <v/>
      </c>
      <c r="D136" s="33" t="str">
        <f>IF('Release Calendar'!M136&lt;&gt;"",'Release Calendar'!M136,"")</f>
        <v/>
      </c>
      <c r="E136" s="34" t="str">
        <f>IF(AND(Q136&lt;&gt;"",R136&lt;&gt;"",DATE(2026,2,0)&gt;=Q136,DATE(2026,1,1)&lt;=R136),"█","")</f>
        <v/>
      </c>
      <c r="F136" s="34" t="str">
        <f>IF(AND(Q136&lt;&gt;"",R136&lt;&gt;"",DATE(2026,3,0)&gt;=Q136,DATE(2026,2,1)&lt;=R136),"█","")</f>
        <v/>
      </c>
      <c r="G136" s="34" t="str">
        <f>IF(AND(Q136&lt;&gt;"",R136&lt;&gt;"",DATE(2026,4,0)&gt;=Q136,DATE(2026,3,1)&lt;=R136),"█","")</f>
        <v/>
      </c>
      <c r="H136" s="34" t="str">
        <f>IF(AND(Q136&lt;&gt;"",R136&lt;&gt;"",DATE(2026,5,0)&gt;=Q136,DATE(2026,4,1)&lt;=R136),"█","")</f>
        <v/>
      </c>
      <c r="I136" s="34" t="str">
        <f>IF(AND(Q136&lt;&gt;"",R136&lt;&gt;"",DATE(2026,6,0)&gt;=Q136,DATE(2026,5,1)&lt;=R136),"█","")</f>
        <v/>
      </c>
      <c r="J136" s="34" t="str">
        <f>IF(AND(Q136&lt;&gt;"",R136&lt;&gt;"",DATE(2026,7,0)&gt;=Q136,DATE(2026,6,1)&lt;=R136),"█","")</f>
        <v/>
      </c>
      <c r="K136" s="34" t="str">
        <f>IF(AND(Q136&lt;&gt;"",R136&lt;&gt;"",DATE(2026,8,0)&gt;=Q136,DATE(2026,7,1)&lt;=R136),"█","")</f>
        <v/>
      </c>
      <c r="L136" s="34" t="str">
        <f>IF(AND(Q136&lt;&gt;"",R136&lt;&gt;"",DATE(2026,9,0)&gt;=Q136,DATE(2026,8,1)&lt;=R136),"█","")</f>
        <v/>
      </c>
      <c r="M136" s="34" t="str">
        <f>IF(AND(Q136&lt;&gt;"",R136&lt;&gt;"",DATE(2026,10,0)&gt;=Q136,DATE(2026,9,1)&lt;=R136),"█","")</f>
        <v/>
      </c>
      <c r="N136" s="34" t="str">
        <f>IF(AND(Q136&lt;&gt;"",R136&lt;&gt;"",DATE(2026,11,0)&gt;=Q136,DATE(2026,10,1)&lt;=R136),"█","")</f>
        <v/>
      </c>
      <c r="O136" s="34" t="str">
        <f>IF(AND(Q136&lt;&gt;"",R136&lt;&gt;"",DATE(2026,12,0)&gt;=Q136,DATE(2026,11,1)&lt;=R136),"█","")</f>
        <v/>
      </c>
      <c r="P136" s="34" t="str">
        <f>IF(AND(Q136&lt;&gt;"",R136&lt;&gt;"",DATE(2026,12,31)&gt;=Q136,DATE(2026,12,1)&lt;=R136),"█","")</f>
        <v/>
      </c>
      <c r="Q136" s="7" t="str">
        <f>IF('Release Calendar'!I136&lt;&gt;"",'Release Calendar'!I136,"")</f>
        <v/>
      </c>
      <c r="R136" s="7" t="str">
        <f>IF('Release Calendar'!J136&lt;&gt;"",'Release Calendar'!J136,"")</f>
        <v/>
      </c>
    </row>
    <row r="137" spans="1:18" ht="20.100000000000001" customHeight="1">
      <c r="A137" s="14">
        <v>133</v>
      </c>
      <c r="B137" s="28" t="str">
        <f>IF('Release Calendar'!B137&lt;&gt;"",'Release Calendar'!B137,"")</f>
        <v/>
      </c>
      <c r="C137" s="29" t="str">
        <f>IF('Release Calendar'!K137&lt;&gt;"",'Release Calendar'!K137,"")</f>
        <v/>
      </c>
      <c r="D137" s="29" t="str">
        <f>IF('Release Calendar'!M137&lt;&gt;"",'Release Calendar'!M137,"")</f>
        <v/>
      </c>
      <c r="E137" s="30" t="str">
        <f>IF(AND(Q137&lt;&gt;"",R137&lt;&gt;"",DATE(2026,2,0)&gt;=Q137,DATE(2026,1,1)&lt;=R137),"█","")</f>
        <v/>
      </c>
      <c r="F137" s="30" t="str">
        <f>IF(AND(Q137&lt;&gt;"",R137&lt;&gt;"",DATE(2026,3,0)&gt;=Q137,DATE(2026,2,1)&lt;=R137),"█","")</f>
        <v/>
      </c>
      <c r="G137" s="30" t="str">
        <f>IF(AND(Q137&lt;&gt;"",R137&lt;&gt;"",DATE(2026,4,0)&gt;=Q137,DATE(2026,3,1)&lt;=R137),"█","")</f>
        <v/>
      </c>
      <c r="H137" s="30" t="str">
        <f>IF(AND(Q137&lt;&gt;"",R137&lt;&gt;"",DATE(2026,5,0)&gt;=Q137,DATE(2026,4,1)&lt;=R137),"█","")</f>
        <v/>
      </c>
      <c r="I137" s="30" t="str">
        <f>IF(AND(Q137&lt;&gt;"",R137&lt;&gt;"",DATE(2026,6,0)&gt;=Q137,DATE(2026,5,1)&lt;=R137),"█","")</f>
        <v/>
      </c>
      <c r="J137" s="30" t="str">
        <f>IF(AND(Q137&lt;&gt;"",R137&lt;&gt;"",DATE(2026,7,0)&gt;=Q137,DATE(2026,6,1)&lt;=R137),"█","")</f>
        <v/>
      </c>
      <c r="K137" s="30" t="str">
        <f>IF(AND(Q137&lt;&gt;"",R137&lt;&gt;"",DATE(2026,8,0)&gt;=Q137,DATE(2026,7,1)&lt;=R137),"█","")</f>
        <v/>
      </c>
      <c r="L137" s="30" t="str">
        <f>IF(AND(Q137&lt;&gt;"",R137&lt;&gt;"",DATE(2026,9,0)&gt;=Q137,DATE(2026,8,1)&lt;=R137),"█","")</f>
        <v/>
      </c>
      <c r="M137" s="30" t="str">
        <f>IF(AND(Q137&lt;&gt;"",R137&lt;&gt;"",DATE(2026,10,0)&gt;=Q137,DATE(2026,9,1)&lt;=R137),"█","")</f>
        <v/>
      </c>
      <c r="N137" s="30" t="str">
        <f>IF(AND(Q137&lt;&gt;"",R137&lt;&gt;"",DATE(2026,11,0)&gt;=Q137,DATE(2026,10,1)&lt;=R137),"█","")</f>
        <v/>
      </c>
      <c r="O137" s="30" t="str">
        <f>IF(AND(Q137&lt;&gt;"",R137&lt;&gt;"",DATE(2026,12,0)&gt;=Q137,DATE(2026,11,1)&lt;=R137),"█","")</f>
        <v/>
      </c>
      <c r="P137" s="30" t="str">
        <f>IF(AND(Q137&lt;&gt;"",R137&lt;&gt;"",DATE(2026,12,31)&gt;=Q137,DATE(2026,12,1)&lt;=R137),"█","")</f>
        <v/>
      </c>
      <c r="Q137" s="7" t="str">
        <f>IF('Release Calendar'!I137&lt;&gt;"",'Release Calendar'!I137,"")</f>
        <v/>
      </c>
      <c r="R137" s="7" t="str">
        <f>IF('Release Calendar'!J137&lt;&gt;"",'Release Calendar'!J137,"")</f>
        <v/>
      </c>
    </row>
    <row r="138" spans="1:18" ht="20.100000000000001" customHeight="1">
      <c r="A138" s="31">
        <v>134</v>
      </c>
      <c r="B138" s="32" t="str">
        <f>IF('Release Calendar'!B138&lt;&gt;"",'Release Calendar'!B138,"")</f>
        <v/>
      </c>
      <c r="C138" s="33" t="str">
        <f>IF('Release Calendar'!K138&lt;&gt;"",'Release Calendar'!K138,"")</f>
        <v/>
      </c>
      <c r="D138" s="33" t="str">
        <f>IF('Release Calendar'!M138&lt;&gt;"",'Release Calendar'!M138,"")</f>
        <v/>
      </c>
      <c r="E138" s="34" t="str">
        <f>IF(AND(Q138&lt;&gt;"",R138&lt;&gt;"",DATE(2026,2,0)&gt;=Q138,DATE(2026,1,1)&lt;=R138),"█","")</f>
        <v/>
      </c>
      <c r="F138" s="34" t="str">
        <f>IF(AND(Q138&lt;&gt;"",R138&lt;&gt;"",DATE(2026,3,0)&gt;=Q138,DATE(2026,2,1)&lt;=R138),"█","")</f>
        <v/>
      </c>
      <c r="G138" s="34" t="str">
        <f>IF(AND(Q138&lt;&gt;"",R138&lt;&gt;"",DATE(2026,4,0)&gt;=Q138,DATE(2026,3,1)&lt;=R138),"█","")</f>
        <v/>
      </c>
      <c r="H138" s="34" t="str">
        <f>IF(AND(Q138&lt;&gt;"",R138&lt;&gt;"",DATE(2026,5,0)&gt;=Q138,DATE(2026,4,1)&lt;=R138),"█","")</f>
        <v/>
      </c>
      <c r="I138" s="34" t="str">
        <f>IF(AND(Q138&lt;&gt;"",R138&lt;&gt;"",DATE(2026,6,0)&gt;=Q138,DATE(2026,5,1)&lt;=R138),"█","")</f>
        <v/>
      </c>
      <c r="J138" s="34" t="str">
        <f>IF(AND(Q138&lt;&gt;"",R138&lt;&gt;"",DATE(2026,7,0)&gt;=Q138,DATE(2026,6,1)&lt;=R138),"█","")</f>
        <v/>
      </c>
      <c r="K138" s="34" t="str">
        <f>IF(AND(Q138&lt;&gt;"",R138&lt;&gt;"",DATE(2026,8,0)&gt;=Q138,DATE(2026,7,1)&lt;=R138),"█","")</f>
        <v/>
      </c>
      <c r="L138" s="34" t="str">
        <f>IF(AND(Q138&lt;&gt;"",R138&lt;&gt;"",DATE(2026,9,0)&gt;=Q138,DATE(2026,8,1)&lt;=R138),"█","")</f>
        <v/>
      </c>
      <c r="M138" s="34" t="str">
        <f>IF(AND(Q138&lt;&gt;"",R138&lt;&gt;"",DATE(2026,10,0)&gt;=Q138,DATE(2026,9,1)&lt;=R138),"█","")</f>
        <v/>
      </c>
      <c r="N138" s="34" t="str">
        <f>IF(AND(Q138&lt;&gt;"",R138&lt;&gt;"",DATE(2026,11,0)&gt;=Q138,DATE(2026,10,1)&lt;=R138),"█","")</f>
        <v/>
      </c>
      <c r="O138" s="34" t="str">
        <f>IF(AND(Q138&lt;&gt;"",R138&lt;&gt;"",DATE(2026,12,0)&gt;=Q138,DATE(2026,11,1)&lt;=R138),"█","")</f>
        <v/>
      </c>
      <c r="P138" s="34" t="str">
        <f>IF(AND(Q138&lt;&gt;"",R138&lt;&gt;"",DATE(2026,12,31)&gt;=Q138,DATE(2026,12,1)&lt;=R138),"█","")</f>
        <v/>
      </c>
      <c r="Q138" s="7" t="str">
        <f>IF('Release Calendar'!I138&lt;&gt;"",'Release Calendar'!I138,"")</f>
        <v/>
      </c>
      <c r="R138" s="7" t="str">
        <f>IF('Release Calendar'!J138&lt;&gt;"",'Release Calendar'!J138,"")</f>
        <v/>
      </c>
    </row>
    <row r="139" spans="1:18" ht="20.100000000000001" customHeight="1">
      <c r="A139" s="14">
        <v>135</v>
      </c>
      <c r="B139" s="28" t="str">
        <f>IF('Release Calendar'!B139&lt;&gt;"",'Release Calendar'!B139,"")</f>
        <v/>
      </c>
      <c r="C139" s="29" t="str">
        <f>IF('Release Calendar'!K139&lt;&gt;"",'Release Calendar'!K139,"")</f>
        <v/>
      </c>
      <c r="D139" s="29" t="str">
        <f>IF('Release Calendar'!M139&lt;&gt;"",'Release Calendar'!M139,"")</f>
        <v/>
      </c>
      <c r="E139" s="30" t="str">
        <f>IF(AND(Q139&lt;&gt;"",R139&lt;&gt;"",DATE(2026,2,0)&gt;=Q139,DATE(2026,1,1)&lt;=R139),"█","")</f>
        <v/>
      </c>
      <c r="F139" s="30" t="str">
        <f>IF(AND(Q139&lt;&gt;"",R139&lt;&gt;"",DATE(2026,3,0)&gt;=Q139,DATE(2026,2,1)&lt;=R139),"█","")</f>
        <v/>
      </c>
      <c r="G139" s="30" t="str">
        <f>IF(AND(Q139&lt;&gt;"",R139&lt;&gt;"",DATE(2026,4,0)&gt;=Q139,DATE(2026,3,1)&lt;=R139),"█","")</f>
        <v/>
      </c>
      <c r="H139" s="30" t="str">
        <f>IF(AND(Q139&lt;&gt;"",R139&lt;&gt;"",DATE(2026,5,0)&gt;=Q139,DATE(2026,4,1)&lt;=R139),"█","")</f>
        <v/>
      </c>
      <c r="I139" s="30" t="str">
        <f>IF(AND(Q139&lt;&gt;"",R139&lt;&gt;"",DATE(2026,6,0)&gt;=Q139,DATE(2026,5,1)&lt;=R139),"█","")</f>
        <v/>
      </c>
      <c r="J139" s="30" t="str">
        <f>IF(AND(Q139&lt;&gt;"",R139&lt;&gt;"",DATE(2026,7,0)&gt;=Q139,DATE(2026,6,1)&lt;=R139),"█","")</f>
        <v/>
      </c>
      <c r="K139" s="30" t="str">
        <f>IF(AND(Q139&lt;&gt;"",R139&lt;&gt;"",DATE(2026,8,0)&gt;=Q139,DATE(2026,7,1)&lt;=R139),"█","")</f>
        <v/>
      </c>
      <c r="L139" s="30" t="str">
        <f>IF(AND(Q139&lt;&gt;"",R139&lt;&gt;"",DATE(2026,9,0)&gt;=Q139,DATE(2026,8,1)&lt;=R139),"█","")</f>
        <v/>
      </c>
      <c r="M139" s="30" t="str">
        <f>IF(AND(Q139&lt;&gt;"",R139&lt;&gt;"",DATE(2026,10,0)&gt;=Q139,DATE(2026,9,1)&lt;=R139),"█","")</f>
        <v/>
      </c>
      <c r="N139" s="30" t="str">
        <f>IF(AND(Q139&lt;&gt;"",R139&lt;&gt;"",DATE(2026,11,0)&gt;=Q139,DATE(2026,10,1)&lt;=R139),"█","")</f>
        <v/>
      </c>
      <c r="O139" s="30" t="str">
        <f>IF(AND(Q139&lt;&gt;"",R139&lt;&gt;"",DATE(2026,12,0)&gt;=Q139,DATE(2026,11,1)&lt;=R139),"█","")</f>
        <v/>
      </c>
      <c r="P139" s="30" t="str">
        <f>IF(AND(Q139&lt;&gt;"",R139&lt;&gt;"",DATE(2026,12,31)&gt;=Q139,DATE(2026,12,1)&lt;=R139),"█","")</f>
        <v/>
      </c>
      <c r="Q139" s="7" t="str">
        <f>IF('Release Calendar'!I139&lt;&gt;"",'Release Calendar'!I139,"")</f>
        <v/>
      </c>
      <c r="R139" s="7" t="str">
        <f>IF('Release Calendar'!J139&lt;&gt;"",'Release Calendar'!J139,"")</f>
        <v/>
      </c>
    </row>
    <row r="140" spans="1:18" ht="20.100000000000001" customHeight="1">
      <c r="A140" s="31">
        <v>136</v>
      </c>
      <c r="B140" s="32" t="str">
        <f>IF('Release Calendar'!B140&lt;&gt;"",'Release Calendar'!B140,"")</f>
        <v/>
      </c>
      <c r="C140" s="33" t="str">
        <f>IF('Release Calendar'!K140&lt;&gt;"",'Release Calendar'!K140,"")</f>
        <v/>
      </c>
      <c r="D140" s="33" t="str">
        <f>IF('Release Calendar'!M140&lt;&gt;"",'Release Calendar'!M140,"")</f>
        <v/>
      </c>
      <c r="E140" s="34" t="str">
        <f>IF(AND(Q140&lt;&gt;"",R140&lt;&gt;"",DATE(2026,2,0)&gt;=Q140,DATE(2026,1,1)&lt;=R140),"█","")</f>
        <v/>
      </c>
      <c r="F140" s="34" t="str">
        <f>IF(AND(Q140&lt;&gt;"",R140&lt;&gt;"",DATE(2026,3,0)&gt;=Q140,DATE(2026,2,1)&lt;=R140),"█","")</f>
        <v/>
      </c>
      <c r="G140" s="34" t="str">
        <f>IF(AND(Q140&lt;&gt;"",R140&lt;&gt;"",DATE(2026,4,0)&gt;=Q140,DATE(2026,3,1)&lt;=R140),"█","")</f>
        <v/>
      </c>
      <c r="H140" s="34" t="str">
        <f>IF(AND(Q140&lt;&gt;"",R140&lt;&gt;"",DATE(2026,5,0)&gt;=Q140,DATE(2026,4,1)&lt;=R140),"█","")</f>
        <v/>
      </c>
      <c r="I140" s="34" t="str">
        <f>IF(AND(Q140&lt;&gt;"",R140&lt;&gt;"",DATE(2026,6,0)&gt;=Q140,DATE(2026,5,1)&lt;=R140),"█","")</f>
        <v/>
      </c>
      <c r="J140" s="34" t="str">
        <f>IF(AND(Q140&lt;&gt;"",R140&lt;&gt;"",DATE(2026,7,0)&gt;=Q140,DATE(2026,6,1)&lt;=R140),"█","")</f>
        <v/>
      </c>
      <c r="K140" s="34" t="str">
        <f>IF(AND(Q140&lt;&gt;"",R140&lt;&gt;"",DATE(2026,8,0)&gt;=Q140,DATE(2026,7,1)&lt;=R140),"█","")</f>
        <v/>
      </c>
      <c r="L140" s="34" t="str">
        <f>IF(AND(Q140&lt;&gt;"",R140&lt;&gt;"",DATE(2026,9,0)&gt;=Q140,DATE(2026,8,1)&lt;=R140),"█","")</f>
        <v/>
      </c>
      <c r="M140" s="34" t="str">
        <f>IF(AND(Q140&lt;&gt;"",R140&lt;&gt;"",DATE(2026,10,0)&gt;=Q140,DATE(2026,9,1)&lt;=R140),"█","")</f>
        <v/>
      </c>
      <c r="N140" s="34" t="str">
        <f>IF(AND(Q140&lt;&gt;"",R140&lt;&gt;"",DATE(2026,11,0)&gt;=Q140,DATE(2026,10,1)&lt;=R140),"█","")</f>
        <v/>
      </c>
      <c r="O140" s="34" t="str">
        <f>IF(AND(Q140&lt;&gt;"",R140&lt;&gt;"",DATE(2026,12,0)&gt;=Q140,DATE(2026,11,1)&lt;=R140),"█","")</f>
        <v/>
      </c>
      <c r="P140" s="34" t="str">
        <f>IF(AND(Q140&lt;&gt;"",R140&lt;&gt;"",DATE(2026,12,31)&gt;=Q140,DATE(2026,12,1)&lt;=R140),"█","")</f>
        <v/>
      </c>
      <c r="Q140" s="7" t="str">
        <f>IF('Release Calendar'!I140&lt;&gt;"",'Release Calendar'!I140,"")</f>
        <v/>
      </c>
      <c r="R140" s="7" t="str">
        <f>IF('Release Calendar'!J140&lt;&gt;"",'Release Calendar'!J140,"")</f>
        <v/>
      </c>
    </row>
    <row r="141" spans="1:18" ht="20.100000000000001" customHeight="1">
      <c r="A141" s="14">
        <v>137</v>
      </c>
      <c r="B141" s="28" t="str">
        <f>IF('Release Calendar'!B141&lt;&gt;"",'Release Calendar'!B141,"")</f>
        <v/>
      </c>
      <c r="C141" s="29" t="str">
        <f>IF('Release Calendar'!K141&lt;&gt;"",'Release Calendar'!K141,"")</f>
        <v/>
      </c>
      <c r="D141" s="29" t="str">
        <f>IF('Release Calendar'!M141&lt;&gt;"",'Release Calendar'!M141,"")</f>
        <v/>
      </c>
      <c r="E141" s="30" t="str">
        <f>IF(AND(Q141&lt;&gt;"",R141&lt;&gt;"",DATE(2026,2,0)&gt;=Q141,DATE(2026,1,1)&lt;=R141),"█","")</f>
        <v/>
      </c>
      <c r="F141" s="30" t="str">
        <f>IF(AND(Q141&lt;&gt;"",R141&lt;&gt;"",DATE(2026,3,0)&gt;=Q141,DATE(2026,2,1)&lt;=R141),"█","")</f>
        <v/>
      </c>
      <c r="G141" s="30" t="str">
        <f>IF(AND(Q141&lt;&gt;"",R141&lt;&gt;"",DATE(2026,4,0)&gt;=Q141,DATE(2026,3,1)&lt;=R141),"█","")</f>
        <v/>
      </c>
      <c r="H141" s="30" t="str">
        <f>IF(AND(Q141&lt;&gt;"",R141&lt;&gt;"",DATE(2026,5,0)&gt;=Q141,DATE(2026,4,1)&lt;=R141),"█","")</f>
        <v/>
      </c>
      <c r="I141" s="30" t="str">
        <f>IF(AND(Q141&lt;&gt;"",R141&lt;&gt;"",DATE(2026,6,0)&gt;=Q141,DATE(2026,5,1)&lt;=R141),"█","")</f>
        <v/>
      </c>
      <c r="J141" s="30" t="str">
        <f>IF(AND(Q141&lt;&gt;"",R141&lt;&gt;"",DATE(2026,7,0)&gt;=Q141,DATE(2026,6,1)&lt;=R141),"█","")</f>
        <v/>
      </c>
      <c r="K141" s="30" t="str">
        <f>IF(AND(Q141&lt;&gt;"",R141&lt;&gt;"",DATE(2026,8,0)&gt;=Q141,DATE(2026,7,1)&lt;=R141),"█","")</f>
        <v/>
      </c>
      <c r="L141" s="30" t="str">
        <f>IF(AND(Q141&lt;&gt;"",R141&lt;&gt;"",DATE(2026,9,0)&gt;=Q141,DATE(2026,8,1)&lt;=R141),"█","")</f>
        <v/>
      </c>
      <c r="M141" s="30" t="str">
        <f>IF(AND(Q141&lt;&gt;"",R141&lt;&gt;"",DATE(2026,10,0)&gt;=Q141,DATE(2026,9,1)&lt;=R141),"█","")</f>
        <v/>
      </c>
      <c r="N141" s="30" t="str">
        <f>IF(AND(Q141&lt;&gt;"",R141&lt;&gt;"",DATE(2026,11,0)&gt;=Q141,DATE(2026,10,1)&lt;=R141),"█","")</f>
        <v/>
      </c>
      <c r="O141" s="30" t="str">
        <f>IF(AND(Q141&lt;&gt;"",R141&lt;&gt;"",DATE(2026,12,0)&gt;=Q141,DATE(2026,11,1)&lt;=R141),"█","")</f>
        <v/>
      </c>
      <c r="P141" s="30" t="str">
        <f>IF(AND(Q141&lt;&gt;"",R141&lt;&gt;"",DATE(2026,12,31)&gt;=Q141,DATE(2026,12,1)&lt;=R141),"█","")</f>
        <v/>
      </c>
      <c r="Q141" s="7" t="str">
        <f>IF('Release Calendar'!I141&lt;&gt;"",'Release Calendar'!I141,"")</f>
        <v/>
      </c>
      <c r="R141" s="7" t="str">
        <f>IF('Release Calendar'!J141&lt;&gt;"",'Release Calendar'!J141,"")</f>
        <v/>
      </c>
    </row>
    <row r="142" spans="1:18" ht="20.100000000000001" customHeight="1">
      <c r="A142" s="31">
        <v>138</v>
      </c>
      <c r="B142" s="32" t="str">
        <f>IF('Release Calendar'!B142&lt;&gt;"",'Release Calendar'!B142,"")</f>
        <v/>
      </c>
      <c r="C142" s="33" t="str">
        <f>IF('Release Calendar'!K142&lt;&gt;"",'Release Calendar'!K142,"")</f>
        <v/>
      </c>
      <c r="D142" s="33" t="str">
        <f>IF('Release Calendar'!M142&lt;&gt;"",'Release Calendar'!M142,"")</f>
        <v/>
      </c>
      <c r="E142" s="34" t="str">
        <f>IF(AND(Q142&lt;&gt;"",R142&lt;&gt;"",DATE(2026,2,0)&gt;=Q142,DATE(2026,1,1)&lt;=R142),"█","")</f>
        <v/>
      </c>
      <c r="F142" s="34" t="str">
        <f>IF(AND(Q142&lt;&gt;"",R142&lt;&gt;"",DATE(2026,3,0)&gt;=Q142,DATE(2026,2,1)&lt;=R142),"█","")</f>
        <v/>
      </c>
      <c r="G142" s="34" t="str">
        <f>IF(AND(Q142&lt;&gt;"",R142&lt;&gt;"",DATE(2026,4,0)&gt;=Q142,DATE(2026,3,1)&lt;=R142),"█","")</f>
        <v/>
      </c>
      <c r="H142" s="34" t="str">
        <f>IF(AND(Q142&lt;&gt;"",R142&lt;&gt;"",DATE(2026,5,0)&gt;=Q142,DATE(2026,4,1)&lt;=R142),"█","")</f>
        <v/>
      </c>
      <c r="I142" s="34" t="str">
        <f>IF(AND(Q142&lt;&gt;"",R142&lt;&gt;"",DATE(2026,6,0)&gt;=Q142,DATE(2026,5,1)&lt;=R142),"█","")</f>
        <v/>
      </c>
      <c r="J142" s="34" t="str">
        <f>IF(AND(Q142&lt;&gt;"",R142&lt;&gt;"",DATE(2026,7,0)&gt;=Q142,DATE(2026,6,1)&lt;=R142),"█","")</f>
        <v/>
      </c>
      <c r="K142" s="34" t="str">
        <f>IF(AND(Q142&lt;&gt;"",R142&lt;&gt;"",DATE(2026,8,0)&gt;=Q142,DATE(2026,7,1)&lt;=R142),"█","")</f>
        <v/>
      </c>
      <c r="L142" s="34" t="str">
        <f>IF(AND(Q142&lt;&gt;"",R142&lt;&gt;"",DATE(2026,9,0)&gt;=Q142,DATE(2026,8,1)&lt;=R142),"█","")</f>
        <v/>
      </c>
      <c r="M142" s="34" t="str">
        <f>IF(AND(Q142&lt;&gt;"",R142&lt;&gt;"",DATE(2026,10,0)&gt;=Q142,DATE(2026,9,1)&lt;=R142),"█","")</f>
        <v/>
      </c>
      <c r="N142" s="34" t="str">
        <f>IF(AND(Q142&lt;&gt;"",R142&lt;&gt;"",DATE(2026,11,0)&gt;=Q142,DATE(2026,10,1)&lt;=R142),"█","")</f>
        <v/>
      </c>
      <c r="O142" s="34" t="str">
        <f>IF(AND(Q142&lt;&gt;"",R142&lt;&gt;"",DATE(2026,12,0)&gt;=Q142,DATE(2026,11,1)&lt;=R142),"█","")</f>
        <v/>
      </c>
      <c r="P142" s="34" t="str">
        <f>IF(AND(Q142&lt;&gt;"",R142&lt;&gt;"",DATE(2026,12,31)&gt;=Q142,DATE(2026,12,1)&lt;=R142),"█","")</f>
        <v/>
      </c>
      <c r="Q142" s="7" t="str">
        <f>IF('Release Calendar'!I142&lt;&gt;"",'Release Calendar'!I142,"")</f>
        <v/>
      </c>
      <c r="R142" s="7" t="str">
        <f>IF('Release Calendar'!J142&lt;&gt;"",'Release Calendar'!J142,"")</f>
        <v/>
      </c>
    </row>
    <row r="143" spans="1:18" ht="20.100000000000001" customHeight="1">
      <c r="A143" s="14">
        <v>139</v>
      </c>
      <c r="B143" s="28" t="str">
        <f>IF('Release Calendar'!B143&lt;&gt;"",'Release Calendar'!B143,"")</f>
        <v/>
      </c>
      <c r="C143" s="29" t="str">
        <f>IF('Release Calendar'!K143&lt;&gt;"",'Release Calendar'!K143,"")</f>
        <v/>
      </c>
      <c r="D143" s="29" t="str">
        <f>IF('Release Calendar'!M143&lt;&gt;"",'Release Calendar'!M143,"")</f>
        <v/>
      </c>
      <c r="E143" s="30" t="str">
        <f>IF(AND(Q143&lt;&gt;"",R143&lt;&gt;"",DATE(2026,2,0)&gt;=Q143,DATE(2026,1,1)&lt;=R143),"█","")</f>
        <v/>
      </c>
      <c r="F143" s="30" t="str">
        <f>IF(AND(Q143&lt;&gt;"",R143&lt;&gt;"",DATE(2026,3,0)&gt;=Q143,DATE(2026,2,1)&lt;=R143),"█","")</f>
        <v/>
      </c>
      <c r="G143" s="30" t="str">
        <f>IF(AND(Q143&lt;&gt;"",R143&lt;&gt;"",DATE(2026,4,0)&gt;=Q143,DATE(2026,3,1)&lt;=R143),"█","")</f>
        <v/>
      </c>
      <c r="H143" s="30" t="str">
        <f>IF(AND(Q143&lt;&gt;"",R143&lt;&gt;"",DATE(2026,5,0)&gt;=Q143,DATE(2026,4,1)&lt;=R143),"█","")</f>
        <v/>
      </c>
      <c r="I143" s="30" t="str">
        <f>IF(AND(Q143&lt;&gt;"",R143&lt;&gt;"",DATE(2026,6,0)&gt;=Q143,DATE(2026,5,1)&lt;=R143),"█","")</f>
        <v/>
      </c>
      <c r="J143" s="30" t="str">
        <f>IF(AND(Q143&lt;&gt;"",R143&lt;&gt;"",DATE(2026,7,0)&gt;=Q143,DATE(2026,6,1)&lt;=R143),"█","")</f>
        <v/>
      </c>
      <c r="K143" s="30" t="str">
        <f>IF(AND(Q143&lt;&gt;"",R143&lt;&gt;"",DATE(2026,8,0)&gt;=Q143,DATE(2026,7,1)&lt;=R143),"█","")</f>
        <v/>
      </c>
      <c r="L143" s="30" t="str">
        <f>IF(AND(Q143&lt;&gt;"",R143&lt;&gt;"",DATE(2026,9,0)&gt;=Q143,DATE(2026,8,1)&lt;=R143),"█","")</f>
        <v/>
      </c>
      <c r="M143" s="30" t="str">
        <f>IF(AND(Q143&lt;&gt;"",R143&lt;&gt;"",DATE(2026,10,0)&gt;=Q143,DATE(2026,9,1)&lt;=R143),"█","")</f>
        <v/>
      </c>
      <c r="N143" s="30" t="str">
        <f>IF(AND(Q143&lt;&gt;"",R143&lt;&gt;"",DATE(2026,11,0)&gt;=Q143,DATE(2026,10,1)&lt;=R143),"█","")</f>
        <v/>
      </c>
      <c r="O143" s="30" t="str">
        <f>IF(AND(Q143&lt;&gt;"",R143&lt;&gt;"",DATE(2026,12,0)&gt;=Q143,DATE(2026,11,1)&lt;=R143),"█","")</f>
        <v/>
      </c>
      <c r="P143" s="30" t="str">
        <f>IF(AND(Q143&lt;&gt;"",R143&lt;&gt;"",DATE(2026,12,31)&gt;=Q143,DATE(2026,12,1)&lt;=R143),"█","")</f>
        <v/>
      </c>
      <c r="Q143" s="7" t="str">
        <f>IF('Release Calendar'!I143&lt;&gt;"",'Release Calendar'!I143,"")</f>
        <v/>
      </c>
      <c r="R143" s="7" t="str">
        <f>IF('Release Calendar'!J143&lt;&gt;"",'Release Calendar'!J143,"")</f>
        <v/>
      </c>
    </row>
    <row r="144" spans="1:18" ht="20.100000000000001" customHeight="1">
      <c r="A144" s="31">
        <v>140</v>
      </c>
      <c r="B144" s="32" t="str">
        <f>IF('Release Calendar'!B144&lt;&gt;"",'Release Calendar'!B144,"")</f>
        <v/>
      </c>
      <c r="C144" s="33" t="str">
        <f>IF('Release Calendar'!K144&lt;&gt;"",'Release Calendar'!K144,"")</f>
        <v/>
      </c>
      <c r="D144" s="33" t="str">
        <f>IF('Release Calendar'!M144&lt;&gt;"",'Release Calendar'!M144,"")</f>
        <v/>
      </c>
      <c r="E144" s="34" t="str">
        <f>IF(AND(Q144&lt;&gt;"",R144&lt;&gt;"",DATE(2026,2,0)&gt;=Q144,DATE(2026,1,1)&lt;=R144),"█","")</f>
        <v/>
      </c>
      <c r="F144" s="34" t="str">
        <f>IF(AND(Q144&lt;&gt;"",R144&lt;&gt;"",DATE(2026,3,0)&gt;=Q144,DATE(2026,2,1)&lt;=R144),"█","")</f>
        <v/>
      </c>
      <c r="G144" s="34" t="str">
        <f>IF(AND(Q144&lt;&gt;"",R144&lt;&gt;"",DATE(2026,4,0)&gt;=Q144,DATE(2026,3,1)&lt;=R144),"█","")</f>
        <v/>
      </c>
      <c r="H144" s="34" t="str">
        <f>IF(AND(Q144&lt;&gt;"",R144&lt;&gt;"",DATE(2026,5,0)&gt;=Q144,DATE(2026,4,1)&lt;=R144),"█","")</f>
        <v/>
      </c>
      <c r="I144" s="34" t="str">
        <f>IF(AND(Q144&lt;&gt;"",R144&lt;&gt;"",DATE(2026,6,0)&gt;=Q144,DATE(2026,5,1)&lt;=R144),"█","")</f>
        <v/>
      </c>
      <c r="J144" s="34" t="str">
        <f>IF(AND(Q144&lt;&gt;"",R144&lt;&gt;"",DATE(2026,7,0)&gt;=Q144,DATE(2026,6,1)&lt;=R144),"█","")</f>
        <v/>
      </c>
      <c r="K144" s="34" t="str">
        <f>IF(AND(Q144&lt;&gt;"",R144&lt;&gt;"",DATE(2026,8,0)&gt;=Q144,DATE(2026,7,1)&lt;=R144),"█","")</f>
        <v/>
      </c>
      <c r="L144" s="34" t="str">
        <f>IF(AND(Q144&lt;&gt;"",R144&lt;&gt;"",DATE(2026,9,0)&gt;=Q144,DATE(2026,8,1)&lt;=R144),"█","")</f>
        <v/>
      </c>
      <c r="M144" s="34" t="str">
        <f>IF(AND(Q144&lt;&gt;"",R144&lt;&gt;"",DATE(2026,10,0)&gt;=Q144,DATE(2026,9,1)&lt;=R144),"█","")</f>
        <v/>
      </c>
      <c r="N144" s="34" t="str">
        <f>IF(AND(Q144&lt;&gt;"",R144&lt;&gt;"",DATE(2026,11,0)&gt;=Q144,DATE(2026,10,1)&lt;=R144),"█","")</f>
        <v/>
      </c>
      <c r="O144" s="34" t="str">
        <f>IF(AND(Q144&lt;&gt;"",R144&lt;&gt;"",DATE(2026,12,0)&gt;=Q144,DATE(2026,11,1)&lt;=R144),"█","")</f>
        <v/>
      </c>
      <c r="P144" s="34" t="str">
        <f>IF(AND(Q144&lt;&gt;"",R144&lt;&gt;"",DATE(2026,12,31)&gt;=Q144,DATE(2026,12,1)&lt;=R144),"█","")</f>
        <v/>
      </c>
      <c r="Q144" s="7" t="str">
        <f>IF('Release Calendar'!I144&lt;&gt;"",'Release Calendar'!I144,"")</f>
        <v/>
      </c>
      <c r="R144" s="7" t="str">
        <f>IF('Release Calendar'!J144&lt;&gt;"",'Release Calendar'!J144,"")</f>
        <v/>
      </c>
    </row>
    <row r="145" spans="1:18" ht="20.100000000000001" customHeight="1">
      <c r="A145" s="14">
        <v>141</v>
      </c>
      <c r="B145" s="28" t="str">
        <f>IF('Release Calendar'!B145&lt;&gt;"",'Release Calendar'!B145,"")</f>
        <v/>
      </c>
      <c r="C145" s="29" t="str">
        <f>IF('Release Calendar'!K145&lt;&gt;"",'Release Calendar'!K145,"")</f>
        <v/>
      </c>
      <c r="D145" s="29" t="str">
        <f>IF('Release Calendar'!M145&lt;&gt;"",'Release Calendar'!M145,"")</f>
        <v/>
      </c>
      <c r="E145" s="30" t="str">
        <f>IF(AND(Q145&lt;&gt;"",R145&lt;&gt;"",DATE(2026,2,0)&gt;=Q145,DATE(2026,1,1)&lt;=R145),"█","")</f>
        <v/>
      </c>
      <c r="F145" s="30" t="str">
        <f>IF(AND(Q145&lt;&gt;"",R145&lt;&gt;"",DATE(2026,3,0)&gt;=Q145,DATE(2026,2,1)&lt;=R145),"█","")</f>
        <v/>
      </c>
      <c r="G145" s="30" t="str">
        <f>IF(AND(Q145&lt;&gt;"",R145&lt;&gt;"",DATE(2026,4,0)&gt;=Q145,DATE(2026,3,1)&lt;=R145),"█","")</f>
        <v/>
      </c>
      <c r="H145" s="30" t="str">
        <f>IF(AND(Q145&lt;&gt;"",R145&lt;&gt;"",DATE(2026,5,0)&gt;=Q145,DATE(2026,4,1)&lt;=R145),"█","")</f>
        <v/>
      </c>
      <c r="I145" s="30" t="str">
        <f>IF(AND(Q145&lt;&gt;"",R145&lt;&gt;"",DATE(2026,6,0)&gt;=Q145,DATE(2026,5,1)&lt;=R145),"█","")</f>
        <v/>
      </c>
      <c r="J145" s="30" t="str">
        <f>IF(AND(Q145&lt;&gt;"",R145&lt;&gt;"",DATE(2026,7,0)&gt;=Q145,DATE(2026,6,1)&lt;=R145),"█","")</f>
        <v/>
      </c>
      <c r="K145" s="30" t="str">
        <f>IF(AND(Q145&lt;&gt;"",R145&lt;&gt;"",DATE(2026,8,0)&gt;=Q145,DATE(2026,7,1)&lt;=R145),"█","")</f>
        <v/>
      </c>
      <c r="L145" s="30" t="str">
        <f>IF(AND(Q145&lt;&gt;"",R145&lt;&gt;"",DATE(2026,9,0)&gt;=Q145,DATE(2026,8,1)&lt;=R145),"█","")</f>
        <v/>
      </c>
      <c r="M145" s="30" t="str">
        <f>IF(AND(Q145&lt;&gt;"",R145&lt;&gt;"",DATE(2026,10,0)&gt;=Q145,DATE(2026,9,1)&lt;=R145),"█","")</f>
        <v/>
      </c>
      <c r="N145" s="30" t="str">
        <f>IF(AND(Q145&lt;&gt;"",R145&lt;&gt;"",DATE(2026,11,0)&gt;=Q145,DATE(2026,10,1)&lt;=R145),"█","")</f>
        <v/>
      </c>
      <c r="O145" s="30" t="str">
        <f>IF(AND(Q145&lt;&gt;"",R145&lt;&gt;"",DATE(2026,12,0)&gt;=Q145,DATE(2026,11,1)&lt;=R145),"█","")</f>
        <v/>
      </c>
      <c r="P145" s="30" t="str">
        <f>IF(AND(Q145&lt;&gt;"",R145&lt;&gt;"",DATE(2026,12,31)&gt;=Q145,DATE(2026,12,1)&lt;=R145),"█","")</f>
        <v/>
      </c>
      <c r="Q145" s="7" t="str">
        <f>IF('Release Calendar'!I145&lt;&gt;"",'Release Calendar'!I145,"")</f>
        <v/>
      </c>
      <c r="R145" s="7" t="str">
        <f>IF('Release Calendar'!J145&lt;&gt;"",'Release Calendar'!J145,"")</f>
        <v/>
      </c>
    </row>
    <row r="146" spans="1:18" ht="20.100000000000001" customHeight="1">
      <c r="A146" s="31">
        <v>142</v>
      </c>
      <c r="B146" s="32" t="str">
        <f>IF('Release Calendar'!B146&lt;&gt;"",'Release Calendar'!B146,"")</f>
        <v/>
      </c>
      <c r="C146" s="33" t="str">
        <f>IF('Release Calendar'!K146&lt;&gt;"",'Release Calendar'!K146,"")</f>
        <v/>
      </c>
      <c r="D146" s="33" t="str">
        <f>IF('Release Calendar'!M146&lt;&gt;"",'Release Calendar'!M146,"")</f>
        <v/>
      </c>
      <c r="E146" s="34" t="str">
        <f>IF(AND(Q146&lt;&gt;"",R146&lt;&gt;"",DATE(2026,2,0)&gt;=Q146,DATE(2026,1,1)&lt;=R146),"█","")</f>
        <v/>
      </c>
      <c r="F146" s="34" t="str">
        <f>IF(AND(Q146&lt;&gt;"",R146&lt;&gt;"",DATE(2026,3,0)&gt;=Q146,DATE(2026,2,1)&lt;=R146),"█","")</f>
        <v/>
      </c>
      <c r="G146" s="34" t="str">
        <f>IF(AND(Q146&lt;&gt;"",R146&lt;&gt;"",DATE(2026,4,0)&gt;=Q146,DATE(2026,3,1)&lt;=R146),"█","")</f>
        <v/>
      </c>
      <c r="H146" s="34" t="str">
        <f>IF(AND(Q146&lt;&gt;"",R146&lt;&gt;"",DATE(2026,5,0)&gt;=Q146,DATE(2026,4,1)&lt;=R146),"█","")</f>
        <v/>
      </c>
      <c r="I146" s="34" t="str">
        <f>IF(AND(Q146&lt;&gt;"",R146&lt;&gt;"",DATE(2026,6,0)&gt;=Q146,DATE(2026,5,1)&lt;=R146),"█","")</f>
        <v/>
      </c>
      <c r="J146" s="34" t="str">
        <f>IF(AND(Q146&lt;&gt;"",R146&lt;&gt;"",DATE(2026,7,0)&gt;=Q146,DATE(2026,6,1)&lt;=R146),"█","")</f>
        <v/>
      </c>
      <c r="K146" s="34" t="str">
        <f>IF(AND(Q146&lt;&gt;"",R146&lt;&gt;"",DATE(2026,8,0)&gt;=Q146,DATE(2026,7,1)&lt;=R146),"█","")</f>
        <v/>
      </c>
      <c r="L146" s="34" t="str">
        <f>IF(AND(Q146&lt;&gt;"",R146&lt;&gt;"",DATE(2026,9,0)&gt;=Q146,DATE(2026,8,1)&lt;=R146),"█","")</f>
        <v/>
      </c>
      <c r="M146" s="34" t="str">
        <f>IF(AND(Q146&lt;&gt;"",R146&lt;&gt;"",DATE(2026,10,0)&gt;=Q146,DATE(2026,9,1)&lt;=R146),"█","")</f>
        <v/>
      </c>
      <c r="N146" s="34" t="str">
        <f>IF(AND(Q146&lt;&gt;"",R146&lt;&gt;"",DATE(2026,11,0)&gt;=Q146,DATE(2026,10,1)&lt;=R146),"█","")</f>
        <v/>
      </c>
      <c r="O146" s="34" t="str">
        <f>IF(AND(Q146&lt;&gt;"",R146&lt;&gt;"",DATE(2026,12,0)&gt;=Q146,DATE(2026,11,1)&lt;=R146),"█","")</f>
        <v/>
      </c>
      <c r="P146" s="34" t="str">
        <f>IF(AND(Q146&lt;&gt;"",R146&lt;&gt;"",DATE(2026,12,31)&gt;=Q146,DATE(2026,12,1)&lt;=R146),"█","")</f>
        <v/>
      </c>
      <c r="Q146" s="7" t="str">
        <f>IF('Release Calendar'!I146&lt;&gt;"",'Release Calendar'!I146,"")</f>
        <v/>
      </c>
      <c r="R146" s="7" t="str">
        <f>IF('Release Calendar'!J146&lt;&gt;"",'Release Calendar'!J146,"")</f>
        <v/>
      </c>
    </row>
    <row r="147" spans="1:18" ht="20.100000000000001" customHeight="1">
      <c r="A147" s="14">
        <v>143</v>
      </c>
      <c r="B147" s="28" t="str">
        <f>IF('Release Calendar'!B147&lt;&gt;"",'Release Calendar'!B147,"")</f>
        <v/>
      </c>
      <c r="C147" s="29" t="str">
        <f>IF('Release Calendar'!K147&lt;&gt;"",'Release Calendar'!K147,"")</f>
        <v/>
      </c>
      <c r="D147" s="29" t="str">
        <f>IF('Release Calendar'!M147&lt;&gt;"",'Release Calendar'!M147,"")</f>
        <v/>
      </c>
      <c r="E147" s="30" t="str">
        <f>IF(AND(Q147&lt;&gt;"",R147&lt;&gt;"",DATE(2026,2,0)&gt;=Q147,DATE(2026,1,1)&lt;=R147),"█","")</f>
        <v/>
      </c>
      <c r="F147" s="30" t="str">
        <f>IF(AND(Q147&lt;&gt;"",R147&lt;&gt;"",DATE(2026,3,0)&gt;=Q147,DATE(2026,2,1)&lt;=R147),"█","")</f>
        <v/>
      </c>
      <c r="G147" s="30" t="str">
        <f>IF(AND(Q147&lt;&gt;"",R147&lt;&gt;"",DATE(2026,4,0)&gt;=Q147,DATE(2026,3,1)&lt;=R147),"█","")</f>
        <v/>
      </c>
      <c r="H147" s="30" t="str">
        <f>IF(AND(Q147&lt;&gt;"",R147&lt;&gt;"",DATE(2026,5,0)&gt;=Q147,DATE(2026,4,1)&lt;=R147),"█","")</f>
        <v/>
      </c>
      <c r="I147" s="30" t="str">
        <f>IF(AND(Q147&lt;&gt;"",R147&lt;&gt;"",DATE(2026,6,0)&gt;=Q147,DATE(2026,5,1)&lt;=R147),"█","")</f>
        <v/>
      </c>
      <c r="J147" s="30" t="str">
        <f>IF(AND(Q147&lt;&gt;"",R147&lt;&gt;"",DATE(2026,7,0)&gt;=Q147,DATE(2026,6,1)&lt;=R147),"█","")</f>
        <v/>
      </c>
      <c r="K147" s="30" t="str">
        <f>IF(AND(Q147&lt;&gt;"",R147&lt;&gt;"",DATE(2026,8,0)&gt;=Q147,DATE(2026,7,1)&lt;=R147),"█","")</f>
        <v/>
      </c>
      <c r="L147" s="30" t="str">
        <f>IF(AND(Q147&lt;&gt;"",R147&lt;&gt;"",DATE(2026,9,0)&gt;=Q147,DATE(2026,8,1)&lt;=R147),"█","")</f>
        <v/>
      </c>
      <c r="M147" s="30" t="str">
        <f>IF(AND(Q147&lt;&gt;"",R147&lt;&gt;"",DATE(2026,10,0)&gt;=Q147,DATE(2026,9,1)&lt;=R147),"█","")</f>
        <v/>
      </c>
      <c r="N147" s="30" t="str">
        <f>IF(AND(Q147&lt;&gt;"",R147&lt;&gt;"",DATE(2026,11,0)&gt;=Q147,DATE(2026,10,1)&lt;=R147),"█","")</f>
        <v/>
      </c>
      <c r="O147" s="30" t="str">
        <f>IF(AND(Q147&lt;&gt;"",R147&lt;&gt;"",DATE(2026,12,0)&gt;=Q147,DATE(2026,11,1)&lt;=R147),"█","")</f>
        <v/>
      </c>
      <c r="P147" s="30" t="str">
        <f>IF(AND(Q147&lt;&gt;"",R147&lt;&gt;"",DATE(2026,12,31)&gt;=Q147,DATE(2026,12,1)&lt;=R147),"█","")</f>
        <v/>
      </c>
      <c r="Q147" s="7" t="str">
        <f>IF('Release Calendar'!I147&lt;&gt;"",'Release Calendar'!I147,"")</f>
        <v/>
      </c>
      <c r="R147" s="7" t="str">
        <f>IF('Release Calendar'!J147&lt;&gt;"",'Release Calendar'!J147,"")</f>
        <v/>
      </c>
    </row>
    <row r="148" spans="1:18" ht="20.100000000000001" customHeight="1">
      <c r="A148" s="31">
        <v>144</v>
      </c>
      <c r="B148" s="32" t="str">
        <f>IF('Release Calendar'!B148&lt;&gt;"",'Release Calendar'!B148,"")</f>
        <v/>
      </c>
      <c r="C148" s="33" t="str">
        <f>IF('Release Calendar'!K148&lt;&gt;"",'Release Calendar'!K148,"")</f>
        <v/>
      </c>
      <c r="D148" s="33" t="str">
        <f>IF('Release Calendar'!M148&lt;&gt;"",'Release Calendar'!M148,"")</f>
        <v/>
      </c>
      <c r="E148" s="34" t="str">
        <f>IF(AND(Q148&lt;&gt;"",R148&lt;&gt;"",DATE(2026,2,0)&gt;=Q148,DATE(2026,1,1)&lt;=R148),"█","")</f>
        <v/>
      </c>
      <c r="F148" s="34" t="str">
        <f>IF(AND(Q148&lt;&gt;"",R148&lt;&gt;"",DATE(2026,3,0)&gt;=Q148,DATE(2026,2,1)&lt;=R148),"█","")</f>
        <v/>
      </c>
      <c r="G148" s="34" t="str">
        <f>IF(AND(Q148&lt;&gt;"",R148&lt;&gt;"",DATE(2026,4,0)&gt;=Q148,DATE(2026,3,1)&lt;=R148),"█","")</f>
        <v/>
      </c>
      <c r="H148" s="34" t="str">
        <f>IF(AND(Q148&lt;&gt;"",R148&lt;&gt;"",DATE(2026,5,0)&gt;=Q148,DATE(2026,4,1)&lt;=R148),"█","")</f>
        <v/>
      </c>
      <c r="I148" s="34" t="str">
        <f>IF(AND(Q148&lt;&gt;"",R148&lt;&gt;"",DATE(2026,6,0)&gt;=Q148,DATE(2026,5,1)&lt;=R148),"█","")</f>
        <v/>
      </c>
      <c r="J148" s="34" t="str">
        <f>IF(AND(Q148&lt;&gt;"",R148&lt;&gt;"",DATE(2026,7,0)&gt;=Q148,DATE(2026,6,1)&lt;=R148),"█","")</f>
        <v/>
      </c>
      <c r="K148" s="34" t="str">
        <f>IF(AND(Q148&lt;&gt;"",R148&lt;&gt;"",DATE(2026,8,0)&gt;=Q148,DATE(2026,7,1)&lt;=R148),"█","")</f>
        <v/>
      </c>
      <c r="L148" s="34" t="str">
        <f>IF(AND(Q148&lt;&gt;"",R148&lt;&gt;"",DATE(2026,9,0)&gt;=Q148,DATE(2026,8,1)&lt;=R148),"█","")</f>
        <v/>
      </c>
      <c r="M148" s="34" t="str">
        <f>IF(AND(Q148&lt;&gt;"",R148&lt;&gt;"",DATE(2026,10,0)&gt;=Q148,DATE(2026,9,1)&lt;=R148),"█","")</f>
        <v/>
      </c>
      <c r="N148" s="34" t="str">
        <f>IF(AND(Q148&lt;&gt;"",R148&lt;&gt;"",DATE(2026,11,0)&gt;=Q148,DATE(2026,10,1)&lt;=R148),"█","")</f>
        <v/>
      </c>
      <c r="O148" s="34" t="str">
        <f>IF(AND(Q148&lt;&gt;"",R148&lt;&gt;"",DATE(2026,12,0)&gt;=Q148,DATE(2026,11,1)&lt;=R148),"█","")</f>
        <v/>
      </c>
      <c r="P148" s="34" t="str">
        <f>IF(AND(Q148&lt;&gt;"",R148&lt;&gt;"",DATE(2026,12,31)&gt;=Q148,DATE(2026,12,1)&lt;=R148),"█","")</f>
        <v/>
      </c>
      <c r="Q148" s="7" t="str">
        <f>IF('Release Calendar'!I148&lt;&gt;"",'Release Calendar'!I148,"")</f>
        <v/>
      </c>
      <c r="R148" s="7" t="str">
        <f>IF('Release Calendar'!J148&lt;&gt;"",'Release Calendar'!J148,"")</f>
        <v/>
      </c>
    </row>
    <row r="149" spans="1:18" ht="20.100000000000001" customHeight="1">
      <c r="A149" s="14">
        <v>145</v>
      </c>
      <c r="B149" s="28" t="str">
        <f>IF('Release Calendar'!B149&lt;&gt;"",'Release Calendar'!B149,"")</f>
        <v/>
      </c>
      <c r="C149" s="29" t="str">
        <f>IF('Release Calendar'!K149&lt;&gt;"",'Release Calendar'!K149,"")</f>
        <v/>
      </c>
      <c r="D149" s="29" t="str">
        <f>IF('Release Calendar'!M149&lt;&gt;"",'Release Calendar'!M149,"")</f>
        <v/>
      </c>
      <c r="E149" s="30" t="str">
        <f>IF(AND(Q149&lt;&gt;"",R149&lt;&gt;"",DATE(2026,2,0)&gt;=Q149,DATE(2026,1,1)&lt;=R149),"█","")</f>
        <v/>
      </c>
      <c r="F149" s="30" t="str">
        <f>IF(AND(Q149&lt;&gt;"",R149&lt;&gt;"",DATE(2026,3,0)&gt;=Q149,DATE(2026,2,1)&lt;=R149),"█","")</f>
        <v/>
      </c>
      <c r="G149" s="30" t="str">
        <f>IF(AND(Q149&lt;&gt;"",R149&lt;&gt;"",DATE(2026,4,0)&gt;=Q149,DATE(2026,3,1)&lt;=R149),"█","")</f>
        <v/>
      </c>
      <c r="H149" s="30" t="str">
        <f>IF(AND(Q149&lt;&gt;"",R149&lt;&gt;"",DATE(2026,5,0)&gt;=Q149,DATE(2026,4,1)&lt;=R149),"█","")</f>
        <v/>
      </c>
      <c r="I149" s="30" t="str">
        <f>IF(AND(Q149&lt;&gt;"",R149&lt;&gt;"",DATE(2026,6,0)&gt;=Q149,DATE(2026,5,1)&lt;=R149),"█","")</f>
        <v/>
      </c>
      <c r="J149" s="30" t="str">
        <f>IF(AND(Q149&lt;&gt;"",R149&lt;&gt;"",DATE(2026,7,0)&gt;=Q149,DATE(2026,6,1)&lt;=R149),"█","")</f>
        <v/>
      </c>
      <c r="K149" s="30" t="str">
        <f>IF(AND(Q149&lt;&gt;"",R149&lt;&gt;"",DATE(2026,8,0)&gt;=Q149,DATE(2026,7,1)&lt;=R149),"█","")</f>
        <v/>
      </c>
      <c r="L149" s="30" t="str">
        <f>IF(AND(Q149&lt;&gt;"",R149&lt;&gt;"",DATE(2026,9,0)&gt;=Q149,DATE(2026,8,1)&lt;=R149),"█","")</f>
        <v/>
      </c>
      <c r="M149" s="30" t="str">
        <f>IF(AND(Q149&lt;&gt;"",R149&lt;&gt;"",DATE(2026,10,0)&gt;=Q149,DATE(2026,9,1)&lt;=R149),"█","")</f>
        <v/>
      </c>
      <c r="N149" s="30" t="str">
        <f>IF(AND(Q149&lt;&gt;"",R149&lt;&gt;"",DATE(2026,11,0)&gt;=Q149,DATE(2026,10,1)&lt;=R149),"█","")</f>
        <v/>
      </c>
      <c r="O149" s="30" t="str">
        <f>IF(AND(Q149&lt;&gt;"",R149&lt;&gt;"",DATE(2026,12,0)&gt;=Q149,DATE(2026,11,1)&lt;=R149),"█","")</f>
        <v/>
      </c>
      <c r="P149" s="30" t="str">
        <f>IF(AND(Q149&lt;&gt;"",R149&lt;&gt;"",DATE(2026,12,31)&gt;=Q149,DATE(2026,12,1)&lt;=R149),"█","")</f>
        <v/>
      </c>
      <c r="Q149" s="7" t="str">
        <f>IF('Release Calendar'!I149&lt;&gt;"",'Release Calendar'!I149,"")</f>
        <v/>
      </c>
      <c r="R149" s="7" t="str">
        <f>IF('Release Calendar'!J149&lt;&gt;"",'Release Calendar'!J149,"")</f>
        <v/>
      </c>
    </row>
    <row r="150" spans="1:18" ht="20.100000000000001" customHeight="1">
      <c r="A150" s="31">
        <v>146</v>
      </c>
      <c r="B150" s="32" t="str">
        <f>IF('Release Calendar'!B150&lt;&gt;"",'Release Calendar'!B150,"")</f>
        <v/>
      </c>
      <c r="C150" s="33" t="str">
        <f>IF('Release Calendar'!K150&lt;&gt;"",'Release Calendar'!K150,"")</f>
        <v/>
      </c>
      <c r="D150" s="33" t="str">
        <f>IF('Release Calendar'!M150&lt;&gt;"",'Release Calendar'!M150,"")</f>
        <v/>
      </c>
      <c r="E150" s="34" t="str">
        <f>IF(AND(Q150&lt;&gt;"",R150&lt;&gt;"",DATE(2026,2,0)&gt;=Q150,DATE(2026,1,1)&lt;=R150),"█","")</f>
        <v/>
      </c>
      <c r="F150" s="34" t="str">
        <f>IF(AND(Q150&lt;&gt;"",R150&lt;&gt;"",DATE(2026,3,0)&gt;=Q150,DATE(2026,2,1)&lt;=R150),"█","")</f>
        <v/>
      </c>
      <c r="G150" s="34" t="str">
        <f>IF(AND(Q150&lt;&gt;"",R150&lt;&gt;"",DATE(2026,4,0)&gt;=Q150,DATE(2026,3,1)&lt;=R150),"█","")</f>
        <v/>
      </c>
      <c r="H150" s="34" t="str">
        <f>IF(AND(Q150&lt;&gt;"",R150&lt;&gt;"",DATE(2026,5,0)&gt;=Q150,DATE(2026,4,1)&lt;=R150),"█","")</f>
        <v/>
      </c>
      <c r="I150" s="34" t="str">
        <f>IF(AND(Q150&lt;&gt;"",R150&lt;&gt;"",DATE(2026,6,0)&gt;=Q150,DATE(2026,5,1)&lt;=R150),"█","")</f>
        <v/>
      </c>
      <c r="J150" s="34" t="str">
        <f>IF(AND(Q150&lt;&gt;"",R150&lt;&gt;"",DATE(2026,7,0)&gt;=Q150,DATE(2026,6,1)&lt;=R150),"█","")</f>
        <v/>
      </c>
      <c r="K150" s="34" t="str">
        <f>IF(AND(Q150&lt;&gt;"",R150&lt;&gt;"",DATE(2026,8,0)&gt;=Q150,DATE(2026,7,1)&lt;=R150),"█","")</f>
        <v/>
      </c>
      <c r="L150" s="34" t="str">
        <f>IF(AND(Q150&lt;&gt;"",R150&lt;&gt;"",DATE(2026,9,0)&gt;=Q150,DATE(2026,8,1)&lt;=R150),"█","")</f>
        <v/>
      </c>
      <c r="M150" s="34" t="str">
        <f>IF(AND(Q150&lt;&gt;"",R150&lt;&gt;"",DATE(2026,10,0)&gt;=Q150,DATE(2026,9,1)&lt;=R150),"█","")</f>
        <v/>
      </c>
      <c r="N150" s="34" t="str">
        <f>IF(AND(Q150&lt;&gt;"",R150&lt;&gt;"",DATE(2026,11,0)&gt;=Q150,DATE(2026,10,1)&lt;=R150),"█","")</f>
        <v/>
      </c>
      <c r="O150" s="34" t="str">
        <f>IF(AND(Q150&lt;&gt;"",R150&lt;&gt;"",DATE(2026,12,0)&gt;=Q150,DATE(2026,11,1)&lt;=R150),"█","")</f>
        <v/>
      </c>
      <c r="P150" s="34" t="str">
        <f>IF(AND(Q150&lt;&gt;"",R150&lt;&gt;"",DATE(2026,12,31)&gt;=Q150,DATE(2026,12,1)&lt;=R150),"█","")</f>
        <v/>
      </c>
      <c r="Q150" s="7" t="str">
        <f>IF('Release Calendar'!I150&lt;&gt;"",'Release Calendar'!I150,"")</f>
        <v/>
      </c>
      <c r="R150" s="7" t="str">
        <f>IF('Release Calendar'!J150&lt;&gt;"",'Release Calendar'!J150,"")</f>
        <v/>
      </c>
    </row>
    <row r="151" spans="1:18" ht="20.100000000000001" customHeight="1">
      <c r="A151" s="14">
        <v>147</v>
      </c>
      <c r="B151" s="28" t="str">
        <f>IF('Release Calendar'!B151&lt;&gt;"",'Release Calendar'!B151,"")</f>
        <v/>
      </c>
      <c r="C151" s="29" t="str">
        <f>IF('Release Calendar'!K151&lt;&gt;"",'Release Calendar'!K151,"")</f>
        <v/>
      </c>
      <c r="D151" s="29" t="str">
        <f>IF('Release Calendar'!M151&lt;&gt;"",'Release Calendar'!M151,"")</f>
        <v/>
      </c>
      <c r="E151" s="30" t="str">
        <f>IF(AND(Q151&lt;&gt;"",R151&lt;&gt;"",DATE(2026,2,0)&gt;=Q151,DATE(2026,1,1)&lt;=R151),"█","")</f>
        <v/>
      </c>
      <c r="F151" s="30" t="str">
        <f>IF(AND(Q151&lt;&gt;"",R151&lt;&gt;"",DATE(2026,3,0)&gt;=Q151,DATE(2026,2,1)&lt;=R151),"█","")</f>
        <v/>
      </c>
      <c r="G151" s="30" t="str">
        <f>IF(AND(Q151&lt;&gt;"",R151&lt;&gt;"",DATE(2026,4,0)&gt;=Q151,DATE(2026,3,1)&lt;=R151),"█","")</f>
        <v/>
      </c>
      <c r="H151" s="30" t="str">
        <f>IF(AND(Q151&lt;&gt;"",R151&lt;&gt;"",DATE(2026,5,0)&gt;=Q151,DATE(2026,4,1)&lt;=R151),"█","")</f>
        <v/>
      </c>
      <c r="I151" s="30" t="str">
        <f>IF(AND(Q151&lt;&gt;"",R151&lt;&gt;"",DATE(2026,6,0)&gt;=Q151,DATE(2026,5,1)&lt;=R151),"█","")</f>
        <v/>
      </c>
      <c r="J151" s="30" t="str">
        <f>IF(AND(Q151&lt;&gt;"",R151&lt;&gt;"",DATE(2026,7,0)&gt;=Q151,DATE(2026,6,1)&lt;=R151),"█","")</f>
        <v/>
      </c>
      <c r="K151" s="30" t="str">
        <f>IF(AND(Q151&lt;&gt;"",R151&lt;&gt;"",DATE(2026,8,0)&gt;=Q151,DATE(2026,7,1)&lt;=R151),"█","")</f>
        <v/>
      </c>
      <c r="L151" s="30" t="str">
        <f>IF(AND(Q151&lt;&gt;"",R151&lt;&gt;"",DATE(2026,9,0)&gt;=Q151,DATE(2026,8,1)&lt;=R151),"█","")</f>
        <v/>
      </c>
      <c r="M151" s="30" t="str">
        <f>IF(AND(Q151&lt;&gt;"",R151&lt;&gt;"",DATE(2026,10,0)&gt;=Q151,DATE(2026,9,1)&lt;=R151),"█","")</f>
        <v/>
      </c>
      <c r="N151" s="30" t="str">
        <f>IF(AND(Q151&lt;&gt;"",R151&lt;&gt;"",DATE(2026,11,0)&gt;=Q151,DATE(2026,10,1)&lt;=R151),"█","")</f>
        <v/>
      </c>
      <c r="O151" s="30" t="str">
        <f>IF(AND(Q151&lt;&gt;"",R151&lt;&gt;"",DATE(2026,12,0)&gt;=Q151,DATE(2026,11,1)&lt;=R151),"█","")</f>
        <v/>
      </c>
      <c r="P151" s="30" t="str">
        <f>IF(AND(Q151&lt;&gt;"",R151&lt;&gt;"",DATE(2026,12,31)&gt;=Q151,DATE(2026,12,1)&lt;=R151),"█","")</f>
        <v/>
      </c>
      <c r="Q151" s="7" t="str">
        <f>IF('Release Calendar'!I151&lt;&gt;"",'Release Calendar'!I151,"")</f>
        <v/>
      </c>
      <c r="R151" s="7" t="str">
        <f>IF('Release Calendar'!J151&lt;&gt;"",'Release Calendar'!J151,"")</f>
        <v/>
      </c>
    </row>
    <row r="152" spans="1:18" ht="20.100000000000001" customHeight="1">
      <c r="A152" s="31">
        <v>148</v>
      </c>
      <c r="B152" s="32" t="str">
        <f>IF('Release Calendar'!B152&lt;&gt;"",'Release Calendar'!B152,"")</f>
        <v/>
      </c>
      <c r="C152" s="33" t="str">
        <f>IF('Release Calendar'!K152&lt;&gt;"",'Release Calendar'!K152,"")</f>
        <v/>
      </c>
      <c r="D152" s="33" t="str">
        <f>IF('Release Calendar'!M152&lt;&gt;"",'Release Calendar'!M152,"")</f>
        <v/>
      </c>
      <c r="E152" s="34" t="str">
        <f>IF(AND(Q152&lt;&gt;"",R152&lt;&gt;"",DATE(2026,2,0)&gt;=Q152,DATE(2026,1,1)&lt;=R152),"█","")</f>
        <v/>
      </c>
      <c r="F152" s="34" t="str">
        <f>IF(AND(Q152&lt;&gt;"",R152&lt;&gt;"",DATE(2026,3,0)&gt;=Q152,DATE(2026,2,1)&lt;=R152),"█","")</f>
        <v/>
      </c>
      <c r="G152" s="34" t="str">
        <f>IF(AND(Q152&lt;&gt;"",R152&lt;&gt;"",DATE(2026,4,0)&gt;=Q152,DATE(2026,3,1)&lt;=R152),"█","")</f>
        <v/>
      </c>
      <c r="H152" s="34" t="str">
        <f>IF(AND(Q152&lt;&gt;"",R152&lt;&gt;"",DATE(2026,5,0)&gt;=Q152,DATE(2026,4,1)&lt;=R152),"█","")</f>
        <v/>
      </c>
      <c r="I152" s="34" t="str">
        <f>IF(AND(Q152&lt;&gt;"",R152&lt;&gt;"",DATE(2026,6,0)&gt;=Q152,DATE(2026,5,1)&lt;=R152),"█","")</f>
        <v/>
      </c>
      <c r="J152" s="34" t="str">
        <f>IF(AND(Q152&lt;&gt;"",R152&lt;&gt;"",DATE(2026,7,0)&gt;=Q152,DATE(2026,6,1)&lt;=R152),"█","")</f>
        <v/>
      </c>
      <c r="K152" s="34" t="str">
        <f>IF(AND(Q152&lt;&gt;"",R152&lt;&gt;"",DATE(2026,8,0)&gt;=Q152,DATE(2026,7,1)&lt;=R152),"█","")</f>
        <v/>
      </c>
      <c r="L152" s="34" t="str">
        <f>IF(AND(Q152&lt;&gt;"",R152&lt;&gt;"",DATE(2026,9,0)&gt;=Q152,DATE(2026,8,1)&lt;=R152),"█","")</f>
        <v/>
      </c>
      <c r="M152" s="34" t="str">
        <f>IF(AND(Q152&lt;&gt;"",R152&lt;&gt;"",DATE(2026,10,0)&gt;=Q152,DATE(2026,9,1)&lt;=R152),"█","")</f>
        <v/>
      </c>
      <c r="N152" s="34" t="str">
        <f>IF(AND(Q152&lt;&gt;"",R152&lt;&gt;"",DATE(2026,11,0)&gt;=Q152,DATE(2026,10,1)&lt;=R152),"█","")</f>
        <v/>
      </c>
      <c r="O152" s="34" t="str">
        <f>IF(AND(Q152&lt;&gt;"",R152&lt;&gt;"",DATE(2026,12,0)&gt;=Q152,DATE(2026,11,1)&lt;=R152),"█","")</f>
        <v/>
      </c>
      <c r="P152" s="34" t="str">
        <f>IF(AND(Q152&lt;&gt;"",R152&lt;&gt;"",DATE(2026,12,31)&gt;=Q152,DATE(2026,12,1)&lt;=R152),"█","")</f>
        <v/>
      </c>
      <c r="Q152" s="7" t="str">
        <f>IF('Release Calendar'!I152&lt;&gt;"",'Release Calendar'!I152,"")</f>
        <v/>
      </c>
      <c r="R152" s="7" t="str">
        <f>IF('Release Calendar'!J152&lt;&gt;"",'Release Calendar'!J152,"")</f>
        <v/>
      </c>
    </row>
    <row r="153" spans="1:18" ht="20.100000000000001" customHeight="1">
      <c r="A153" s="14">
        <v>149</v>
      </c>
      <c r="B153" s="28" t="str">
        <f>IF('Release Calendar'!B153&lt;&gt;"",'Release Calendar'!B153,"")</f>
        <v/>
      </c>
      <c r="C153" s="29" t="str">
        <f>IF('Release Calendar'!K153&lt;&gt;"",'Release Calendar'!K153,"")</f>
        <v/>
      </c>
      <c r="D153" s="29" t="str">
        <f>IF('Release Calendar'!M153&lt;&gt;"",'Release Calendar'!M153,"")</f>
        <v/>
      </c>
      <c r="E153" s="30" t="str">
        <f>IF(AND(Q153&lt;&gt;"",R153&lt;&gt;"",DATE(2026,2,0)&gt;=Q153,DATE(2026,1,1)&lt;=R153),"█","")</f>
        <v/>
      </c>
      <c r="F153" s="30" t="str">
        <f>IF(AND(Q153&lt;&gt;"",R153&lt;&gt;"",DATE(2026,3,0)&gt;=Q153,DATE(2026,2,1)&lt;=R153),"█","")</f>
        <v/>
      </c>
      <c r="G153" s="30" t="str">
        <f>IF(AND(Q153&lt;&gt;"",R153&lt;&gt;"",DATE(2026,4,0)&gt;=Q153,DATE(2026,3,1)&lt;=R153),"█","")</f>
        <v/>
      </c>
      <c r="H153" s="30" t="str">
        <f>IF(AND(Q153&lt;&gt;"",R153&lt;&gt;"",DATE(2026,5,0)&gt;=Q153,DATE(2026,4,1)&lt;=R153),"█","")</f>
        <v/>
      </c>
      <c r="I153" s="30" t="str">
        <f>IF(AND(Q153&lt;&gt;"",R153&lt;&gt;"",DATE(2026,6,0)&gt;=Q153,DATE(2026,5,1)&lt;=R153),"█","")</f>
        <v/>
      </c>
      <c r="J153" s="30" t="str">
        <f>IF(AND(Q153&lt;&gt;"",R153&lt;&gt;"",DATE(2026,7,0)&gt;=Q153,DATE(2026,6,1)&lt;=R153),"█","")</f>
        <v/>
      </c>
      <c r="K153" s="30" t="str">
        <f>IF(AND(Q153&lt;&gt;"",R153&lt;&gt;"",DATE(2026,8,0)&gt;=Q153,DATE(2026,7,1)&lt;=R153),"█","")</f>
        <v/>
      </c>
      <c r="L153" s="30" t="str">
        <f>IF(AND(Q153&lt;&gt;"",R153&lt;&gt;"",DATE(2026,9,0)&gt;=Q153,DATE(2026,8,1)&lt;=R153),"█","")</f>
        <v/>
      </c>
      <c r="M153" s="30" t="str">
        <f>IF(AND(Q153&lt;&gt;"",R153&lt;&gt;"",DATE(2026,10,0)&gt;=Q153,DATE(2026,9,1)&lt;=R153),"█","")</f>
        <v/>
      </c>
      <c r="N153" s="30" t="str">
        <f>IF(AND(Q153&lt;&gt;"",R153&lt;&gt;"",DATE(2026,11,0)&gt;=Q153,DATE(2026,10,1)&lt;=R153),"█","")</f>
        <v/>
      </c>
      <c r="O153" s="30" t="str">
        <f>IF(AND(Q153&lt;&gt;"",R153&lt;&gt;"",DATE(2026,12,0)&gt;=Q153,DATE(2026,11,1)&lt;=R153),"█","")</f>
        <v/>
      </c>
      <c r="P153" s="30" t="str">
        <f>IF(AND(Q153&lt;&gt;"",R153&lt;&gt;"",DATE(2026,12,31)&gt;=Q153,DATE(2026,12,1)&lt;=R153),"█","")</f>
        <v/>
      </c>
      <c r="Q153" s="7" t="str">
        <f>IF('Release Calendar'!I153&lt;&gt;"",'Release Calendar'!I153,"")</f>
        <v/>
      </c>
      <c r="R153" s="7" t="str">
        <f>IF('Release Calendar'!J153&lt;&gt;"",'Release Calendar'!J153,"")</f>
        <v/>
      </c>
    </row>
    <row r="154" spans="1:18" ht="20.100000000000001" customHeight="1">
      <c r="A154" s="31">
        <v>150</v>
      </c>
      <c r="B154" s="32" t="str">
        <f>IF('Release Calendar'!B154&lt;&gt;"",'Release Calendar'!B154,"")</f>
        <v/>
      </c>
      <c r="C154" s="33" t="str">
        <f>IF('Release Calendar'!K154&lt;&gt;"",'Release Calendar'!K154,"")</f>
        <v/>
      </c>
      <c r="D154" s="33" t="str">
        <f>IF('Release Calendar'!M154&lt;&gt;"",'Release Calendar'!M154,"")</f>
        <v/>
      </c>
      <c r="E154" s="34" t="str">
        <f>IF(AND(Q154&lt;&gt;"",R154&lt;&gt;"",DATE(2026,2,0)&gt;=Q154,DATE(2026,1,1)&lt;=R154),"█","")</f>
        <v/>
      </c>
      <c r="F154" s="34" t="str">
        <f>IF(AND(Q154&lt;&gt;"",R154&lt;&gt;"",DATE(2026,3,0)&gt;=Q154,DATE(2026,2,1)&lt;=R154),"█","")</f>
        <v/>
      </c>
      <c r="G154" s="34" t="str">
        <f>IF(AND(Q154&lt;&gt;"",R154&lt;&gt;"",DATE(2026,4,0)&gt;=Q154,DATE(2026,3,1)&lt;=R154),"█","")</f>
        <v/>
      </c>
      <c r="H154" s="34" t="str">
        <f>IF(AND(Q154&lt;&gt;"",R154&lt;&gt;"",DATE(2026,5,0)&gt;=Q154,DATE(2026,4,1)&lt;=R154),"█","")</f>
        <v/>
      </c>
      <c r="I154" s="34" t="str">
        <f>IF(AND(Q154&lt;&gt;"",R154&lt;&gt;"",DATE(2026,6,0)&gt;=Q154,DATE(2026,5,1)&lt;=R154),"█","")</f>
        <v/>
      </c>
      <c r="J154" s="34" t="str">
        <f>IF(AND(Q154&lt;&gt;"",R154&lt;&gt;"",DATE(2026,7,0)&gt;=Q154,DATE(2026,6,1)&lt;=R154),"█","")</f>
        <v/>
      </c>
      <c r="K154" s="34" t="str">
        <f>IF(AND(Q154&lt;&gt;"",R154&lt;&gt;"",DATE(2026,8,0)&gt;=Q154,DATE(2026,7,1)&lt;=R154),"█","")</f>
        <v/>
      </c>
      <c r="L154" s="34" t="str">
        <f>IF(AND(Q154&lt;&gt;"",R154&lt;&gt;"",DATE(2026,9,0)&gt;=Q154,DATE(2026,8,1)&lt;=R154),"█","")</f>
        <v/>
      </c>
      <c r="M154" s="34" t="str">
        <f>IF(AND(Q154&lt;&gt;"",R154&lt;&gt;"",DATE(2026,10,0)&gt;=Q154,DATE(2026,9,1)&lt;=R154),"█","")</f>
        <v/>
      </c>
      <c r="N154" s="34" t="str">
        <f>IF(AND(Q154&lt;&gt;"",R154&lt;&gt;"",DATE(2026,11,0)&gt;=Q154,DATE(2026,10,1)&lt;=R154),"█","")</f>
        <v/>
      </c>
      <c r="O154" s="34" t="str">
        <f>IF(AND(Q154&lt;&gt;"",R154&lt;&gt;"",DATE(2026,12,0)&gt;=Q154,DATE(2026,11,1)&lt;=R154),"█","")</f>
        <v/>
      </c>
      <c r="P154" s="34" t="str">
        <f>IF(AND(Q154&lt;&gt;"",R154&lt;&gt;"",DATE(2026,12,31)&gt;=Q154,DATE(2026,12,1)&lt;=R154),"█","")</f>
        <v/>
      </c>
      <c r="Q154" s="7" t="str">
        <f>IF('Release Calendar'!I154&lt;&gt;"",'Release Calendar'!I154,"")</f>
        <v/>
      </c>
      <c r="R154" s="7" t="str">
        <f>IF('Release Calendar'!J154&lt;&gt;"",'Release Calendar'!J154,"")</f>
        <v/>
      </c>
    </row>
    <row r="155" spans="1:18" ht="20.100000000000001" customHeight="1">
      <c r="A155" s="14">
        <v>151</v>
      </c>
      <c r="B155" s="28" t="str">
        <f>IF('Release Calendar'!B155&lt;&gt;"",'Release Calendar'!B155,"")</f>
        <v/>
      </c>
      <c r="C155" s="29" t="str">
        <f>IF('Release Calendar'!K155&lt;&gt;"",'Release Calendar'!K155,"")</f>
        <v/>
      </c>
      <c r="D155" s="29" t="str">
        <f>IF('Release Calendar'!M155&lt;&gt;"",'Release Calendar'!M155,"")</f>
        <v/>
      </c>
      <c r="E155" s="30" t="str">
        <f>IF(AND(Q155&lt;&gt;"",R155&lt;&gt;"",DATE(2026,2,0)&gt;=Q155,DATE(2026,1,1)&lt;=R155),"█","")</f>
        <v/>
      </c>
      <c r="F155" s="30" t="str">
        <f>IF(AND(Q155&lt;&gt;"",R155&lt;&gt;"",DATE(2026,3,0)&gt;=Q155,DATE(2026,2,1)&lt;=R155),"█","")</f>
        <v/>
      </c>
      <c r="G155" s="30" t="str">
        <f>IF(AND(Q155&lt;&gt;"",R155&lt;&gt;"",DATE(2026,4,0)&gt;=Q155,DATE(2026,3,1)&lt;=R155),"█","")</f>
        <v/>
      </c>
      <c r="H155" s="30" t="str">
        <f>IF(AND(Q155&lt;&gt;"",R155&lt;&gt;"",DATE(2026,5,0)&gt;=Q155,DATE(2026,4,1)&lt;=R155),"█","")</f>
        <v/>
      </c>
      <c r="I155" s="30" t="str">
        <f>IF(AND(Q155&lt;&gt;"",R155&lt;&gt;"",DATE(2026,6,0)&gt;=Q155,DATE(2026,5,1)&lt;=R155),"█","")</f>
        <v/>
      </c>
      <c r="J155" s="30" t="str">
        <f>IF(AND(Q155&lt;&gt;"",R155&lt;&gt;"",DATE(2026,7,0)&gt;=Q155,DATE(2026,6,1)&lt;=R155),"█","")</f>
        <v/>
      </c>
      <c r="K155" s="30" t="str">
        <f>IF(AND(Q155&lt;&gt;"",R155&lt;&gt;"",DATE(2026,8,0)&gt;=Q155,DATE(2026,7,1)&lt;=R155),"█","")</f>
        <v/>
      </c>
      <c r="L155" s="30" t="str">
        <f>IF(AND(Q155&lt;&gt;"",R155&lt;&gt;"",DATE(2026,9,0)&gt;=Q155,DATE(2026,8,1)&lt;=R155),"█","")</f>
        <v/>
      </c>
      <c r="M155" s="30" t="str">
        <f>IF(AND(Q155&lt;&gt;"",R155&lt;&gt;"",DATE(2026,10,0)&gt;=Q155,DATE(2026,9,1)&lt;=R155),"█","")</f>
        <v/>
      </c>
      <c r="N155" s="30" t="str">
        <f>IF(AND(Q155&lt;&gt;"",R155&lt;&gt;"",DATE(2026,11,0)&gt;=Q155,DATE(2026,10,1)&lt;=R155),"█","")</f>
        <v/>
      </c>
      <c r="O155" s="30" t="str">
        <f>IF(AND(Q155&lt;&gt;"",R155&lt;&gt;"",DATE(2026,12,0)&gt;=Q155,DATE(2026,11,1)&lt;=R155),"█","")</f>
        <v/>
      </c>
      <c r="P155" s="30" t="str">
        <f>IF(AND(Q155&lt;&gt;"",R155&lt;&gt;"",DATE(2026,12,31)&gt;=Q155,DATE(2026,12,1)&lt;=R155),"█","")</f>
        <v/>
      </c>
      <c r="Q155" s="7" t="str">
        <f>IF('Release Calendar'!I155&lt;&gt;"",'Release Calendar'!I155,"")</f>
        <v/>
      </c>
      <c r="R155" s="7" t="str">
        <f>IF('Release Calendar'!J155&lt;&gt;"",'Release Calendar'!J155,"")</f>
        <v/>
      </c>
    </row>
    <row r="156" spans="1:18" ht="20.100000000000001" customHeight="1">
      <c r="A156" s="31">
        <v>152</v>
      </c>
      <c r="B156" s="32" t="str">
        <f>IF('Release Calendar'!B156&lt;&gt;"",'Release Calendar'!B156,"")</f>
        <v/>
      </c>
      <c r="C156" s="33" t="str">
        <f>IF('Release Calendar'!K156&lt;&gt;"",'Release Calendar'!K156,"")</f>
        <v/>
      </c>
      <c r="D156" s="33" t="str">
        <f>IF('Release Calendar'!M156&lt;&gt;"",'Release Calendar'!M156,"")</f>
        <v/>
      </c>
      <c r="E156" s="34" t="str">
        <f>IF(AND(Q156&lt;&gt;"",R156&lt;&gt;"",DATE(2026,2,0)&gt;=Q156,DATE(2026,1,1)&lt;=R156),"█","")</f>
        <v/>
      </c>
      <c r="F156" s="34" t="str">
        <f>IF(AND(Q156&lt;&gt;"",R156&lt;&gt;"",DATE(2026,3,0)&gt;=Q156,DATE(2026,2,1)&lt;=R156),"█","")</f>
        <v/>
      </c>
      <c r="G156" s="34" t="str">
        <f>IF(AND(Q156&lt;&gt;"",R156&lt;&gt;"",DATE(2026,4,0)&gt;=Q156,DATE(2026,3,1)&lt;=R156),"█","")</f>
        <v/>
      </c>
      <c r="H156" s="34" t="str">
        <f>IF(AND(Q156&lt;&gt;"",R156&lt;&gt;"",DATE(2026,5,0)&gt;=Q156,DATE(2026,4,1)&lt;=R156),"█","")</f>
        <v/>
      </c>
      <c r="I156" s="34" t="str">
        <f>IF(AND(Q156&lt;&gt;"",R156&lt;&gt;"",DATE(2026,6,0)&gt;=Q156,DATE(2026,5,1)&lt;=R156),"█","")</f>
        <v/>
      </c>
      <c r="J156" s="34" t="str">
        <f>IF(AND(Q156&lt;&gt;"",R156&lt;&gt;"",DATE(2026,7,0)&gt;=Q156,DATE(2026,6,1)&lt;=R156),"█","")</f>
        <v/>
      </c>
      <c r="K156" s="34" t="str">
        <f>IF(AND(Q156&lt;&gt;"",R156&lt;&gt;"",DATE(2026,8,0)&gt;=Q156,DATE(2026,7,1)&lt;=R156),"█","")</f>
        <v/>
      </c>
      <c r="L156" s="34" t="str">
        <f>IF(AND(Q156&lt;&gt;"",R156&lt;&gt;"",DATE(2026,9,0)&gt;=Q156,DATE(2026,8,1)&lt;=R156),"█","")</f>
        <v/>
      </c>
      <c r="M156" s="34" t="str">
        <f>IF(AND(Q156&lt;&gt;"",R156&lt;&gt;"",DATE(2026,10,0)&gt;=Q156,DATE(2026,9,1)&lt;=R156),"█","")</f>
        <v/>
      </c>
      <c r="N156" s="34" t="str">
        <f>IF(AND(Q156&lt;&gt;"",R156&lt;&gt;"",DATE(2026,11,0)&gt;=Q156,DATE(2026,10,1)&lt;=R156),"█","")</f>
        <v/>
      </c>
      <c r="O156" s="34" t="str">
        <f>IF(AND(Q156&lt;&gt;"",R156&lt;&gt;"",DATE(2026,12,0)&gt;=Q156,DATE(2026,11,1)&lt;=R156),"█","")</f>
        <v/>
      </c>
      <c r="P156" s="34" t="str">
        <f>IF(AND(Q156&lt;&gt;"",R156&lt;&gt;"",DATE(2026,12,31)&gt;=Q156,DATE(2026,12,1)&lt;=R156),"█","")</f>
        <v/>
      </c>
      <c r="Q156" s="7" t="str">
        <f>IF('Release Calendar'!I156&lt;&gt;"",'Release Calendar'!I156,"")</f>
        <v/>
      </c>
      <c r="R156" s="7" t="str">
        <f>IF('Release Calendar'!J156&lt;&gt;"",'Release Calendar'!J156,"")</f>
        <v/>
      </c>
    </row>
    <row r="157" spans="1:18" ht="20.100000000000001" customHeight="1">
      <c r="A157" s="14">
        <v>153</v>
      </c>
      <c r="B157" s="28" t="str">
        <f>IF('Release Calendar'!B157&lt;&gt;"",'Release Calendar'!B157,"")</f>
        <v/>
      </c>
      <c r="C157" s="29" t="str">
        <f>IF('Release Calendar'!K157&lt;&gt;"",'Release Calendar'!K157,"")</f>
        <v/>
      </c>
      <c r="D157" s="29" t="str">
        <f>IF('Release Calendar'!M157&lt;&gt;"",'Release Calendar'!M157,"")</f>
        <v/>
      </c>
      <c r="E157" s="30" t="str">
        <f>IF(AND(Q157&lt;&gt;"",R157&lt;&gt;"",DATE(2026,2,0)&gt;=Q157,DATE(2026,1,1)&lt;=R157),"█","")</f>
        <v/>
      </c>
      <c r="F157" s="30" t="str">
        <f>IF(AND(Q157&lt;&gt;"",R157&lt;&gt;"",DATE(2026,3,0)&gt;=Q157,DATE(2026,2,1)&lt;=R157),"█","")</f>
        <v/>
      </c>
      <c r="G157" s="30" t="str">
        <f>IF(AND(Q157&lt;&gt;"",R157&lt;&gt;"",DATE(2026,4,0)&gt;=Q157,DATE(2026,3,1)&lt;=R157),"█","")</f>
        <v/>
      </c>
      <c r="H157" s="30" t="str">
        <f>IF(AND(Q157&lt;&gt;"",R157&lt;&gt;"",DATE(2026,5,0)&gt;=Q157,DATE(2026,4,1)&lt;=R157),"█","")</f>
        <v/>
      </c>
      <c r="I157" s="30" t="str">
        <f>IF(AND(Q157&lt;&gt;"",R157&lt;&gt;"",DATE(2026,6,0)&gt;=Q157,DATE(2026,5,1)&lt;=R157),"█","")</f>
        <v/>
      </c>
      <c r="J157" s="30" t="str">
        <f>IF(AND(Q157&lt;&gt;"",R157&lt;&gt;"",DATE(2026,7,0)&gt;=Q157,DATE(2026,6,1)&lt;=R157),"█","")</f>
        <v/>
      </c>
      <c r="K157" s="30" t="str">
        <f>IF(AND(Q157&lt;&gt;"",R157&lt;&gt;"",DATE(2026,8,0)&gt;=Q157,DATE(2026,7,1)&lt;=R157),"█","")</f>
        <v/>
      </c>
      <c r="L157" s="30" t="str">
        <f>IF(AND(Q157&lt;&gt;"",R157&lt;&gt;"",DATE(2026,9,0)&gt;=Q157,DATE(2026,8,1)&lt;=R157),"█","")</f>
        <v/>
      </c>
      <c r="M157" s="30" t="str">
        <f>IF(AND(Q157&lt;&gt;"",R157&lt;&gt;"",DATE(2026,10,0)&gt;=Q157,DATE(2026,9,1)&lt;=R157),"█","")</f>
        <v/>
      </c>
      <c r="N157" s="30" t="str">
        <f>IF(AND(Q157&lt;&gt;"",R157&lt;&gt;"",DATE(2026,11,0)&gt;=Q157,DATE(2026,10,1)&lt;=R157),"█","")</f>
        <v/>
      </c>
      <c r="O157" s="30" t="str">
        <f>IF(AND(Q157&lt;&gt;"",R157&lt;&gt;"",DATE(2026,12,0)&gt;=Q157,DATE(2026,11,1)&lt;=R157),"█","")</f>
        <v/>
      </c>
      <c r="P157" s="30" t="str">
        <f>IF(AND(Q157&lt;&gt;"",R157&lt;&gt;"",DATE(2026,12,31)&gt;=Q157,DATE(2026,12,1)&lt;=R157),"█","")</f>
        <v/>
      </c>
      <c r="Q157" s="7" t="str">
        <f>IF('Release Calendar'!I157&lt;&gt;"",'Release Calendar'!I157,"")</f>
        <v/>
      </c>
      <c r="R157" s="7" t="str">
        <f>IF('Release Calendar'!J157&lt;&gt;"",'Release Calendar'!J157,"")</f>
        <v/>
      </c>
    </row>
    <row r="158" spans="1:18" ht="20.100000000000001" customHeight="1">
      <c r="A158" s="31">
        <v>154</v>
      </c>
      <c r="B158" s="32" t="str">
        <f>IF('Release Calendar'!B158&lt;&gt;"",'Release Calendar'!B158,"")</f>
        <v/>
      </c>
      <c r="C158" s="33" t="str">
        <f>IF('Release Calendar'!K158&lt;&gt;"",'Release Calendar'!K158,"")</f>
        <v/>
      </c>
      <c r="D158" s="33" t="str">
        <f>IF('Release Calendar'!M158&lt;&gt;"",'Release Calendar'!M158,"")</f>
        <v/>
      </c>
      <c r="E158" s="34" t="str">
        <f>IF(AND(Q158&lt;&gt;"",R158&lt;&gt;"",DATE(2026,2,0)&gt;=Q158,DATE(2026,1,1)&lt;=R158),"█","")</f>
        <v/>
      </c>
      <c r="F158" s="34" t="str">
        <f>IF(AND(Q158&lt;&gt;"",R158&lt;&gt;"",DATE(2026,3,0)&gt;=Q158,DATE(2026,2,1)&lt;=R158),"█","")</f>
        <v/>
      </c>
      <c r="G158" s="34" t="str">
        <f>IF(AND(Q158&lt;&gt;"",R158&lt;&gt;"",DATE(2026,4,0)&gt;=Q158,DATE(2026,3,1)&lt;=R158),"█","")</f>
        <v/>
      </c>
      <c r="H158" s="34" t="str">
        <f>IF(AND(Q158&lt;&gt;"",R158&lt;&gt;"",DATE(2026,5,0)&gt;=Q158,DATE(2026,4,1)&lt;=R158),"█","")</f>
        <v/>
      </c>
      <c r="I158" s="34" t="str">
        <f>IF(AND(Q158&lt;&gt;"",R158&lt;&gt;"",DATE(2026,6,0)&gt;=Q158,DATE(2026,5,1)&lt;=R158),"█","")</f>
        <v/>
      </c>
      <c r="J158" s="34" t="str">
        <f>IF(AND(Q158&lt;&gt;"",R158&lt;&gt;"",DATE(2026,7,0)&gt;=Q158,DATE(2026,6,1)&lt;=R158),"█","")</f>
        <v/>
      </c>
      <c r="K158" s="34" t="str">
        <f>IF(AND(Q158&lt;&gt;"",R158&lt;&gt;"",DATE(2026,8,0)&gt;=Q158,DATE(2026,7,1)&lt;=R158),"█","")</f>
        <v/>
      </c>
      <c r="L158" s="34" t="str">
        <f>IF(AND(Q158&lt;&gt;"",R158&lt;&gt;"",DATE(2026,9,0)&gt;=Q158,DATE(2026,8,1)&lt;=R158),"█","")</f>
        <v/>
      </c>
      <c r="M158" s="34" t="str">
        <f>IF(AND(Q158&lt;&gt;"",R158&lt;&gt;"",DATE(2026,10,0)&gt;=Q158,DATE(2026,9,1)&lt;=R158),"█","")</f>
        <v/>
      </c>
      <c r="N158" s="34" t="str">
        <f>IF(AND(Q158&lt;&gt;"",R158&lt;&gt;"",DATE(2026,11,0)&gt;=Q158,DATE(2026,10,1)&lt;=R158),"█","")</f>
        <v/>
      </c>
      <c r="O158" s="34" t="str">
        <f>IF(AND(Q158&lt;&gt;"",R158&lt;&gt;"",DATE(2026,12,0)&gt;=Q158,DATE(2026,11,1)&lt;=R158),"█","")</f>
        <v/>
      </c>
      <c r="P158" s="34" t="str">
        <f>IF(AND(Q158&lt;&gt;"",R158&lt;&gt;"",DATE(2026,12,31)&gt;=Q158,DATE(2026,12,1)&lt;=R158),"█","")</f>
        <v/>
      </c>
      <c r="Q158" s="7" t="str">
        <f>IF('Release Calendar'!I158&lt;&gt;"",'Release Calendar'!I158,"")</f>
        <v/>
      </c>
      <c r="R158" s="7" t="str">
        <f>IF('Release Calendar'!J158&lt;&gt;"",'Release Calendar'!J158,"")</f>
        <v/>
      </c>
    </row>
    <row r="159" spans="1:18" ht="20.100000000000001" customHeight="1">
      <c r="A159" s="14">
        <v>155</v>
      </c>
      <c r="B159" s="28" t="str">
        <f>IF('Release Calendar'!B159&lt;&gt;"",'Release Calendar'!B159,"")</f>
        <v/>
      </c>
      <c r="C159" s="29" t="str">
        <f>IF('Release Calendar'!K159&lt;&gt;"",'Release Calendar'!K159,"")</f>
        <v/>
      </c>
      <c r="D159" s="29" t="str">
        <f>IF('Release Calendar'!M159&lt;&gt;"",'Release Calendar'!M159,"")</f>
        <v/>
      </c>
      <c r="E159" s="30" t="str">
        <f>IF(AND(Q159&lt;&gt;"",R159&lt;&gt;"",DATE(2026,2,0)&gt;=Q159,DATE(2026,1,1)&lt;=R159),"█","")</f>
        <v/>
      </c>
      <c r="F159" s="30" t="str">
        <f>IF(AND(Q159&lt;&gt;"",R159&lt;&gt;"",DATE(2026,3,0)&gt;=Q159,DATE(2026,2,1)&lt;=R159),"█","")</f>
        <v/>
      </c>
      <c r="G159" s="30" t="str">
        <f>IF(AND(Q159&lt;&gt;"",R159&lt;&gt;"",DATE(2026,4,0)&gt;=Q159,DATE(2026,3,1)&lt;=R159),"█","")</f>
        <v/>
      </c>
      <c r="H159" s="30" t="str">
        <f>IF(AND(Q159&lt;&gt;"",R159&lt;&gt;"",DATE(2026,5,0)&gt;=Q159,DATE(2026,4,1)&lt;=R159),"█","")</f>
        <v/>
      </c>
      <c r="I159" s="30" t="str">
        <f>IF(AND(Q159&lt;&gt;"",R159&lt;&gt;"",DATE(2026,6,0)&gt;=Q159,DATE(2026,5,1)&lt;=R159),"█","")</f>
        <v/>
      </c>
      <c r="J159" s="30" t="str">
        <f>IF(AND(Q159&lt;&gt;"",R159&lt;&gt;"",DATE(2026,7,0)&gt;=Q159,DATE(2026,6,1)&lt;=R159),"█","")</f>
        <v/>
      </c>
      <c r="K159" s="30" t="str">
        <f>IF(AND(Q159&lt;&gt;"",R159&lt;&gt;"",DATE(2026,8,0)&gt;=Q159,DATE(2026,7,1)&lt;=R159),"█","")</f>
        <v/>
      </c>
      <c r="L159" s="30" t="str">
        <f>IF(AND(Q159&lt;&gt;"",R159&lt;&gt;"",DATE(2026,9,0)&gt;=Q159,DATE(2026,8,1)&lt;=R159),"█","")</f>
        <v/>
      </c>
      <c r="M159" s="30" t="str">
        <f>IF(AND(Q159&lt;&gt;"",R159&lt;&gt;"",DATE(2026,10,0)&gt;=Q159,DATE(2026,9,1)&lt;=R159),"█","")</f>
        <v/>
      </c>
      <c r="N159" s="30" t="str">
        <f>IF(AND(Q159&lt;&gt;"",R159&lt;&gt;"",DATE(2026,11,0)&gt;=Q159,DATE(2026,10,1)&lt;=R159),"█","")</f>
        <v/>
      </c>
      <c r="O159" s="30" t="str">
        <f>IF(AND(Q159&lt;&gt;"",R159&lt;&gt;"",DATE(2026,12,0)&gt;=Q159,DATE(2026,11,1)&lt;=R159),"█","")</f>
        <v/>
      </c>
      <c r="P159" s="30" t="str">
        <f>IF(AND(Q159&lt;&gt;"",R159&lt;&gt;"",DATE(2026,12,31)&gt;=Q159,DATE(2026,12,1)&lt;=R159),"█","")</f>
        <v/>
      </c>
      <c r="Q159" s="7" t="str">
        <f>IF('Release Calendar'!I159&lt;&gt;"",'Release Calendar'!I159,"")</f>
        <v/>
      </c>
      <c r="R159" s="7" t="str">
        <f>IF('Release Calendar'!J159&lt;&gt;"",'Release Calendar'!J159,"")</f>
        <v/>
      </c>
    </row>
    <row r="160" spans="1:18" ht="20.100000000000001" customHeight="1">
      <c r="A160" s="31">
        <v>156</v>
      </c>
      <c r="B160" s="32" t="str">
        <f>IF('Release Calendar'!B160&lt;&gt;"",'Release Calendar'!B160,"")</f>
        <v/>
      </c>
      <c r="C160" s="33" t="str">
        <f>IF('Release Calendar'!K160&lt;&gt;"",'Release Calendar'!K160,"")</f>
        <v/>
      </c>
      <c r="D160" s="33" t="str">
        <f>IF('Release Calendar'!M160&lt;&gt;"",'Release Calendar'!M160,"")</f>
        <v/>
      </c>
      <c r="E160" s="34" t="str">
        <f>IF(AND(Q160&lt;&gt;"",R160&lt;&gt;"",DATE(2026,2,0)&gt;=Q160,DATE(2026,1,1)&lt;=R160),"█","")</f>
        <v/>
      </c>
      <c r="F160" s="34" t="str">
        <f>IF(AND(Q160&lt;&gt;"",R160&lt;&gt;"",DATE(2026,3,0)&gt;=Q160,DATE(2026,2,1)&lt;=R160),"█","")</f>
        <v/>
      </c>
      <c r="G160" s="34" t="str">
        <f>IF(AND(Q160&lt;&gt;"",R160&lt;&gt;"",DATE(2026,4,0)&gt;=Q160,DATE(2026,3,1)&lt;=R160),"█","")</f>
        <v/>
      </c>
      <c r="H160" s="34" t="str">
        <f>IF(AND(Q160&lt;&gt;"",R160&lt;&gt;"",DATE(2026,5,0)&gt;=Q160,DATE(2026,4,1)&lt;=R160),"█","")</f>
        <v/>
      </c>
      <c r="I160" s="34" t="str">
        <f>IF(AND(Q160&lt;&gt;"",R160&lt;&gt;"",DATE(2026,6,0)&gt;=Q160,DATE(2026,5,1)&lt;=R160),"█","")</f>
        <v/>
      </c>
      <c r="J160" s="34" t="str">
        <f>IF(AND(Q160&lt;&gt;"",R160&lt;&gt;"",DATE(2026,7,0)&gt;=Q160,DATE(2026,6,1)&lt;=R160),"█","")</f>
        <v/>
      </c>
      <c r="K160" s="34" t="str">
        <f>IF(AND(Q160&lt;&gt;"",R160&lt;&gt;"",DATE(2026,8,0)&gt;=Q160,DATE(2026,7,1)&lt;=R160),"█","")</f>
        <v/>
      </c>
      <c r="L160" s="34" t="str">
        <f>IF(AND(Q160&lt;&gt;"",R160&lt;&gt;"",DATE(2026,9,0)&gt;=Q160,DATE(2026,8,1)&lt;=R160),"█","")</f>
        <v/>
      </c>
      <c r="M160" s="34" t="str">
        <f>IF(AND(Q160&lt;&gt;"",R160&lt;&gt;"",DATE(2026,10,0)&gt;=Q160,DATE(2026,9,1)&lt;=R160),"█","")</f>
        <v/>
      </c>
      <c r="N160" s="34" t="str">
        <f>IF(AND(Q160&lt;&gt;"",R160&lt;&gt;"",DATE(2026,11,0)&gt;=Q160,DATE(2026,10,1)&lt;=R160),"█","")</f>
        <v/>
      </c>
      <c r="O160" s="34" t="str">
        <f>IF(AND(Q160&lt;&gt;"",R160&lt;&gt;"",DATE(2026,12,0)&gt;=Q160,DATE(2026,11,1)&lt;=R160),"█","")</f>
        <v/>
      </c>
      <c r="P160" s="34" t="str">
        <f>IF(AND(Q160&lt;&gt;"",R160&lt;&gt;"",DATE(2026,12,31)&gt;=Q160,DATE(2026,12,1)&lt;=R160),"█","")</f>
        <v/>
      </c>
      <c r="Q160" s="7" t="str">
        <f>IF('Release Calendar'!I160&lt;&gt;"",'Release Calendar'!I160,"")</f>
        <v/>
      </c>
      <c r="R160" s="7" t="str">
        <f>IF('Release Calendar'!J160&lt;&gt;"",'Release Calendar'!J160,"")</f>
        <v/>
      </c>
    </row>
    <row r="161" spans="1:18" ht="20.100000000000001" customHeight="1">
      <c r="A161" s="14">
        <v>157</v>
      </c>
      <c r="B161" s="28" t="str">
        <f>IF('Release Calendar'!B161&lt;&gt;"",'Release Calendar'!B161,"")</f>
        <v/>
      </c>
      <c r="C161" s="29" t="str">
        <f>IF('Release Calendar'!K161&lt;&gt;"",'Release Calendar'!K161,"")</f>
        <v/>
      </c>
      <c r="D161" s="29" t="str">
        <f>IF('Release Calendar'!M161&lt;&gt;"",'Release Calendar'!M161,"")</f>
        <v/>
      </c>
      <c r="E161" s="30" t="str">
        <f>IF(AND(Q161&lt;&gt;"",R161&lt;&gt;"",DATE(2026,2,0)&gt;=Q161,DATE(2026,1,1)&lt;=R161),"█","")</f>
        <v/>
      </c>
      <c r="F161" s="30" t="str">
        <f>IF(AND(Q161&lt;&gt;"",R161&lt;&gt;"",DATE(2026,3,0)&gt;=Q161,DATE(2026,2,1)&lt;=R161),"█","")</f>
        <v/>
      </c>
      <c r="G161" s="30" t="str">
        <f>IF(AND(Q161&lt;&gt;"",R161&lt;&gt;"",DATE(2026,4,0)&gt;=Q161,DATE(2026,3,1)&lt;=R161),"█","")</f>
        <v/>
      </c>
      <c r="H161" s="30" t="str">
        <f>IF(AND(Q161&lt;&gt;"",R161&lt;&gt;"",DATE(2026,5,0)&gt;=Q161,DATE(2026,4,1)&lt;=R161),"█","")</f>
        <v/>
      </c>
      <c r="I161" s="30" t="str">
        <f>IF(AND(Q161&lt;&gt;"",R161&lt;&gt;"",DATE(2026,6,0)&gt;=Q161,DATE(2026,5,1)&lt;=R161),"█","")</f>
        <v/>
      </c>
      <c r="J161" s="30" t="str">
        <f>IF(AND(Q161&lt;&gt;"",R161&lt;&gt;"",DATE(2026,7,0)&gt;=Q161,DATE(2026,6,1)&lt;=R161),"█","")</f>
        <v/>
      </c>
      <c r="K161" s="30" t="str">
        <f>IF(AND(Q161&lt;&gt;"",R161&lt;&gt;"",DATE(2026,8,0)&gt;=Q161,DATE(2026,7,1)&lt;=R161),"█","")</f>
        <v/>
      </c>
      <c r="L161" s="30" t="str">
        <f>IF(AND(Q161&lt;&gt;"",R161&lt;&gt;"",DATE(2026,9,0)&gt;=Q161,DATE(2026,8,1)&lt;=R161),"█","")</f>
        <v/>
      </c>
      <c r="M161" s="30" t="str">
        <f>IF(AND(Q161&lt;&gt;"",R161&lt;&gt;"",DATE(2026,10,0)&gt;=Q161,DATE(2026,9,1)&lt;=R161),"█","")</f>
        <v/>
      </c>
      <c r="N161" s="30" t="str">
        <f>IF(AND(Q161&lt;&gt;"",R161&lt;&gt;"",DATE(2026,11,0)&gt;=Q161,DATE(2026,10,1)&lt;=R161),"█","")</f>
        <v/>
      </c>
      <c r="O161" s="30" t="str">
        <f>IF(AND(Q161&lt;&gt;"",R161&lt;&gt;"",DATE(2026,12,0)&gt;=Q161,DATE(2026,11,1)&lt;=R161),"█","")</f>
        <v/>
      </c>
      <c r="P161" s="30" t="str">
        <f>IF(AND(Q161&lt;&gt;"",R161&lt;&gt;"",DATE(2026,12,31)&gt;=Q161,DATE(2026,12,1)&lt;=R161),"█","")</f>
        <v/>
      </c>
      <c r="Q161" s="7" t="str">
        <f>IF('Release Calendar'!I161&lt;&gt;"",'Release Calendar'!I161,"")</f>
        <v/>
      </c>
      <c r="R161" s="7" t="str">
        <f>IF('Release Calendar'!J161&lt;&gt;"",'Release Calendar'!J161,"")</f>
        <v/>
      </c>
    </row>
    <row r="162" spans="1:18" ht="20.100000000000001" customHeight="1">
      <c r="A162" s="31">
        <v>158</v>
      </c>
      <c r="B162" s="32" t="str">
        <f>IF('Release Calendar'!B162&lt;&gt;"",'Release Calendar'!B162,"")</f>
        <v/>
      </c>
      <c r="C162" s="33" t="str">
        <f>IF('Release Calendar'!K162&lt;&gt;"",'Release Calendar'!K162,"")</f>
        <v/>
      </c>
      <c r="D162" s="33" t="str">
        <f>IF('Release Calendar'!M162&lt;&gt;"",'Release Calendar'!M162,"")</f>
        <v/>
      </c>
      <c r="E162" s="34" t="str">
        <f>IF(AND(Q162&lt;&gt;"",R162&lt;&gt;"",DATE(2026,2,0)&gt;=Q162,DATE(2026,1,1)&lt;=R162),"█","")</f>
        <v/>
      </c>
      <c r="F162" s="34" t="str">
        <f>IF(AND(Q162&lt;&gt;"",R162&lt;&gt;"",DATE(2026,3,0)&gt;=Q162,DATE(2026,2,1)&lt;=R162),"█","")</f>
        <v/>
      </c>
      <c r="G162" s="34" t="str">
        <f>IF(AND(Q162&lt;&gt;"",R162&lt;&gt;"",DATE(2026,4,0)&gt;=Q162,DATE(2026,3,1)&lt;=R162),"█","")</f>
        <v/>
      </c>
      <c r="H162" s="34" t="str">
        <f>IF(AND(Q162&lt;&gt;"",R162&lt;&gt;"",DATE(2026,5,0)&gt;=Q162,DATE(2026,4,1)&lt;=R162),"█","")</f>
        <v/>
      </c>
      <c r="I162" s="34" t="str">
        <f>IF(AND(Q162&lt;&gt;"",R162&lt;&gt;"",DATE(2026,6,0)&gt;=Q162,DATE(2026,5,1)&lt;=R162),"█","")</f>
        <v/>
      </c>
      <c r="J162" s="34" t="str">
        <f>IF(AND(Q162&lt;&gt;"",R162&lt;&gt;"",DATE(2026,7,0)&gt;=Q162,DATE(2026,6,1)&lt;=R162),"█","")</f>
        <v/>
      </c>
      <c r="K162" s="34" t="str">
        <f>IF(AND(Q162&lt;&gt;"",R162&lt;&gt;"",DATE(2026,8,0)&gt;=Q162,DATE(2026,7,1)&lt;=R162),"█","")</f>
        <v/>
      </c>
      <c r="L162" s="34" t="str">
        <f>IF(AND(Q162&lt;&gt;"",R162&lt;&gt;"",DATE(2026,9,0)&gt;=Q162,DATE(2026,8,1)&lt;=R162),"█","")</f>
        <v/>
      </c>
      <c r="M162" s="34" t="str">
        <f>IF(AND(Q162&lt;&gt;"",R162&lt;&gt;"",DATE(2026,10,0)&gt;=Q162,DATE(2026,9,1)&lt;=R162),"█","")</f>
        <v/>
      </c>
      <c r="N162" s="34" t="str">
        <f>IF(AND(Q162&lt;&gt;"",R162&lt;&gt;"",DATE(2026,11,0)&gt;=Q162,DATE(2026,10,1)&lt;=R162),"█","")</f>
        <v/>
      </c>
      <c r="O162" s="34" t="str">
        <f>IF(AND(Q162&lt;&gt;"",R162&lt;&gt;"",DATE(2026,12,0)&gt;=Q162,DATE(2026,11,1)&lt;=R162),"█","")</f>
        <v/>
      </c>
      <c r="P162" s="34" t="str">
        <f>IF(AND(Q162&lt;&gt;"",R162&lt;&gt;"",DATE(2026,12,31)&gt;=Q162,DATE(2026,12,1)&lt;=R162),"█","")</f>
        <v/>
      </c>
      <c r="Q162" s="7" t="str">
        <f>IF('Release Calendar'!I162&lt;&gt;"",'Release Calendar'!I162,"")</f>
        <v/>
      </c>
      <c r="R162" s="7" t="str">
        <f>IF('Release Calendar'!J162&lt;&gt;"",'Release Calendar'!J162,"")</f>
        <v/>
      </c>
    </row>
    <row r="163" spans="1:18" ht="20.100000000000001" customHeight="1">
      <c r="A163" s="14">
        <v>159</v>
      </c>
      <c r="B163" s="28" t="str">
        <f>IF('Release Calendar'!B163&lt;&gt;"",'Release Calendar'!B163,"")</f>
        <v/>
      </c>
      <c r="C163" s="29" t="str">
        <f>IF('Release Calendar'!K163&lt;&gt;"",'Release Calendar'!K163,"")</f>
        <v/>
      </c>
      <c r="D163" s="29" t="str">
        <f>IF('Release Calendar'!M163&lt;&gt;"",'Release Calendar'!M163,"")</f>
        <v/>
      </c>
      <c r="E163" s="30" t="str">
        <f>IF(AND(Q163&lt;&gt;"",R163&lt;&gt;"",DATE(2026,2,0)&gt;=Q163,DATE(2026,1,1)&lt;=R163),"█","")</f>
        <v/>
      </c>
      <c r="F163" s="30" t="str">
        <f>IF(AND(Q163&lt;&gt;"",R163&lt;&gt;"",DATE(2026,3,0)&gt;=Q163,DATE(2026,2,1)&lt;=R163),"█","")</f>
        <v/>
      </c>
      <c r="G163" s="30" t="str">
        <f>IF(AND(Q163&lt;&gt;"",R163&lt;&gt;"",DATE(2026,4,0)&gt;=Q163,DATE(2026,3,1)&lt;=R163),"█","")</f>
        <v/>
      </c>
      <c r="H163" s="30" t="str">
        <f>IF(AND(Q163&lt;&gt;"",R163&lt;&gt;"",DATE(2026,5,0)&gt;=Q163,DATE(2026,4,1)&lt;=R163),"█","")</f>
        <v/>
      </c>
      <c r="I163" s="30" t="str">
        <f>IF(AND(Q163&lt;&gt;"",R163&lt;&gt;"",DATE(2026,6,0)&gt;=Q163,DATE(2026,5,1)&lt;=R163),"█","")</f>
        <v/>
      </c>
      <c r="J163" s="30" t="str">
        <f>IF(AND(Q163&lt;&gt;"",R163&lt;&gt;"",DATE(2026,7,0)&gt;=Q163,DATE(2026,6,1)&lt;=R163),"█","")</f>
        <v/>
      </c>
      <c r="K163" s="30" t="str">
        <f>IF(AND(Q163&lt;&gt;"",R163&lt;&gt;"",DATE(2026,8,0)&gt;=Q163,DATE(2026,7,1)&lt;=R163),"█","")</f>
        <v/>
      </c>
      <c r="L163" s="30" t="str">
        <f>IF(AND(Q163&lt;&gt;"",R163&lt;&gt;"",DATE(2026,9,0)&gt;=Q163,DATE(2026,8,1)&lt;=R163),"█","")</f>
        <v/>
      </c>
      <c r="M163" s="30" t="str">
        <f>IF(AND(Q163&lt;&gt;"",R163&lt;&gt;"",DATE(2026,10,0)&gt;=Q163,DATE(2026,9,1)&lt;=R163),"█","")</f>
        <v/>
      </c>
      <c r="N163" s="30" t="str">
        <f>IF(AND(Q163&lt;&gt;"",R163&lt;&gt;"",DATE(2026,11,0)&gt;=Q163,DATE(2026,10,1)&lt;=R163),"█","")</f>
        <v/>
      </c>
      <c r="O163" s="30" t="str">
        <f>IF(AND(Q163&lt;&gt;"",R163&lt;&gt;"",DATE(2026,12,0)&gt;=Q163,DATE(2026,11,1)&lt;=R163),"█","")</f>
        <v/>
      </c>
      <c r="P163" s="30" t="str">
        <f>IF(AND(Q163&lt;&gt;"",R163&lt;&gt;"",DATE(2026,12,31)&gt;=Q163,DATE(2026,12,1)&lt;=R163),"█","")</f>
        <v/>
      </c>
      <c r="Q163" s="7" t="str">
        <f>IF('Release Calendar'!I163&lt;&gt;"",'Release Calendar'!I163,"")</f>
        <v/>
      </c>
      <c r="R163" s="7" t="str">
        <f>IF('Release Calendar'!J163&lt;&gt;"",'Release Calendar'!J163,"")</f>
        <v/>
      </c>
    </row>
    <row r="164" spans="1:18" ht="20.100000000000001" customHeight="1">
      <c r="A164" s="31">
        <v>160</v>
      </c>
      <c r="B164" s="32" t="str">
        <f>IF('Release Calendar'!B164&lt;&gt;"",'Release Calendar'!B164,"")</f>
        <v/>
      </c>
      <c r="C164" s="33" t="str">
        <f>IF('Release Calendar'!K164&lt;&gt;"",'Release Calendar'!K164,"")</f>
        <v/>
      </c>
      <c r="D164" s="33" t="str">
        <f>IF('Release Calendar'!M164&lt;&gt;"",'Release Calendar'!M164,"")</f>
        <v/>
      </c>
      <c r="E164" s="34" t="str">
        <f>IF(AND(Q164&lt;&gt;"",R164&lt;&gt;"",DATE(2026,2,0)&gt;=Q164,DATE(2026,1,1)&lt;=R164),"█","")</f>
        <v/>
      </c>
      <c r="F164" s="34" t="str">
        <f>IF(AND(Q164&lt;&gt;"",R164&lt;&gt;"",DATE(2026,3,0)&gt;=Q164,DATE(2026,2,1)&lt;=R164),"█","")</f>
        <v/>
      </c>
      <c r="G164" s="34" t="str">
        <f>IF(AND(Q164&lt;&gt;"",R164&lt;&gt;"",DATE(2026,4,0)&gt;=Q164,DATE(2026,3,1)&lt;=R164),"█","")</f>
        <v/>
      </c>
      <c r="H164" s="34" t="str">
        <f>IF(AND(Q164&lt;&gt;"",R164&lt;&gt;"",DATE(2026,5,0)&gt;=Q164,DATE(2026,4,1)&lt;=R164),"█","")</f>
        <v/>
      </c>
      <c r="I164" s="34" t="str">
        <f>IF(AND(Q164&lt;&gt;"",R164&lt;&gt;"",DATE(2026,6,0)&gt;=Q164,DATE(2026,5,1)&lt;=R164),"█","")</f>
        <v/>
      </c>
      <c r="J164" s="34" t="str">
        <f>IF(AND(Q164&lt;&gt;"",R164&lt;&gt;"",DATE(2026,7,0)&gt;=Q164,DATE(2026,6,1)&lt;=R164),"█","")</f>
        <v/>
      </c>
      <c r="K164" s="34" t="str">
        <f>IF(AND(Q164&lt;&gt;"",R164&lt;&gt;"",DATE(2026,8,0)&gt;=Q164,DATE(2026,7,1)&lt;=R164),"█","")</f>
        <v/>
      </c>
      <c r="L164" s="34" t="str">
        <f>IF(AND(Q164&lt;&gt;"",R164&lt;&gt;"",DATE(2026,9,0)&gt;=Q164,DATE(2026,8,1)&lt;=R164),"█","")</f>
        <v/>
      </c>
      <c r="M164" s="34" t="str">
        <f>IF(AND(Q164&lt;&gt;"",R164&lt;&gt;"",DATE(2026,10,0)&gt;=Q164,DATE(2026,9,1)&lt;=R164),"█","")</f>
        <v/>
      </c>
      <c r="N164" s="34" t="str">
        <f>IF(AND(Q164&lt;&gt;"",R164&lt;&gt;"",DATE(2026,11,0)&gt;=Q164,DATE(2026,10,1)&lt;=R164),"█","")</f>
        <v/>
      </c>
      <c r="O164" s="34" t="str">
        <f>IF(AND(Q164&lt;&gt;"",R164&lt;&gt;"",DATE(2026,12,0)&gt;=Q164,DATE(2026,11,1)&lt;=R164),"█","")</f>
        <v/>
      </c>
      <c r="P164" s="34" t="str">
        <f>IF(AND(Q164&lt;&gt;"",R164&lt;&gt;"",DATE(2026,12,31)&gt;=Q164,DATE(2026,12,1)&lt;=R164),"█","")</f>
        <v/>
      </c>
      <c r="Q164" s="7" t="str">
        <f>IF('Release Calendar'!I164&lt;&gt;"",'Release Calendar'!I164,"")</f>
        <v/>
      </c>
      <c r="R164" s="7" t="str">
        <f>IF('Release Calendar'!J164&lt;&gt;"",'Release Calendar'!J164,"")</f>
        <v/>
      </c>
    </row>
    <row r="165" spans="1:18" ht="20.100000000000001" customHeight="1">
      <c r="A165" s="14">
        <v>161</v>
      </c>
      <c r="B165" s="28" t="str">
        <f>IF('Release Calendar'!B165&lt;&gt;"",'Release Calendar'!B165,"")</f>
        <v/>
      </c>
      <c r="C165" s="29" t="str">
        <f>IF('Release Calendar'!K165&lt;&gt;"",'Release Calendar'!K165,"")</f>
        <v/>
      </c>
      <c r="D165" s="29" t="str">
        <f>IF('Release Calendar'!M165&lt;&gt;"",'Release Calendar'!M165,"")</f>
        <v/>
      </c>
      <c r="E165" s="30" t="str">
        <f>IF(AND(Q165&lt;&gt;"",R165&lt;&gt;"",DATE(2026,2,0)&gt;=Q165,DATE(2026,1,1)&lt;=R165),"█","")</f>
        <v/>
      </c>
      <c r="F165" s="30" t="str">
        <f>IF(AND(Q165&lt;&gt;"",R165&lt;&gt;"",DATE(2026,3,0)&gt;=Q165,DATE(2026,2,1)&lt;=R165),"█","")</f>
        <v/>
      </c>
      <c r="G165" s="30" t="str">
        <f>IF(AND(Q165&lt;&gt;"",R165&lt;&gt;"",DATE(2026,4,0)&gt;=Q165,DATE(2026,3,1)&lt;=R165),"█","")</f>
        <v/>
      </c>
      <c r="H165" s="30" t="str">
        <f>IF(AND(Q165&lt;&gt;"",R165&lt;&gt;"",DATE(2026,5,0)&gt;=Q165,DATE(2026,4,1)&lt;=R165),"█","")</f>
        <v/>
      </c>
      <c r="I165" s="30" t="str">
        <f>IF(AND(Q165&lt;&gt;"",R165&lt;&gt;"",DATE(2026,6,0)&gt;=Q165,DATE(2026,5,1)&lt;=R165),"█","")</f>
        <v/>
      </c>
      <c r="J165" s="30" t="str">
        <f>IF(AND(Q165&lt;&gt;"",R165&lt;&gt;"",DATE(2026,7,0)&gt;=Q165,DATE(2026,6,1)&lt;=R165),"█","")</f>
        <v/>
      </c>
      <c r="K165" s="30" t="str">
        <f>IF(AND(Q165&lt;&gt;"",R165&lt;&gt;"",DATE(2026,8,0)&gt;=Q165,DATE(2026,7,1)&lt;=R165),"█","")</f>
        <v/>
      </c>
      <c r="L165" s="30" t="str">
        <f>IF(AND(Q165&lt;&gt;"",R165&lt;&gt;"",DATE(2026,9,0)&gt;=Q165,DATE(2026,8,1)&lt;=R165),"█","")</f>
        <v/>
      </c>
      <c r="M165" s="30" t="str">
        <f>IF(AND(Q165&lt;&gt;"",R165&lt;&gt;"",DATE(2026,10,0)&gt;=Q165,DATE(2026,9,1)&lt;=R165),"█","")</f>
        <v/>
      </c>
      <c r="N165" s="30" t="str">
        <f>IF(AND(Q165&lt;&gt;"",R165&lt;&gt;"",DATE(2026,11,0)&gt;=Q165,DATE(2026,10,1)&lt;=R165),"█","")</f>
        <v/>
      </c>
      <c r="O165" s="30" t="str">
        <f>IF(AND(Q165&lt;&gt;"",R165&lt;&gt;"",DATE(2026,12,0)&gt;=Q165,DATE(2026,11,1)&lt;=R165),"█","")</f>
        <v/>
      </c>
      <c r="P165" s="30" t="str">
        <f>IF(AND(Q165&lt;&gt;"",R165&lt;&gt;"",DATE(2026,12,31)&gt;=Q165,DATE(2026,12,1)&lt;=R165),"█","")</f>
        <v/>
      </c>
      <c r="Q165" s="7" t="str">
        <f>IF('Release Calendar'!I165&lt;&gt;"",'Release Calendar'!I165,"")</f>
        <v/>
      </c>
      <c r="R165" s="7" t="str">
        <f>IF('Release Calendar'!J165&lt;&gt;"",'Release Calendar'!J165,"")</f>
        <v/>
      </c>
    </row>
    <row r="166" spans="1:18" ht="20.100000000000001" customHeight="1">
      <c r="A166" s="31">
        <v>162</v>
      </c>
      <c r="B166" s="32" t="str">
        <f>IF('Release Calendar'!B166&lt;&gt;"",'Release Calendar'!B166,"")</f>
        <v/>
      </c>
      <c r="C166" s="33" t="str">
        <f>IF('Release Calendar'!K166&lt;&gt;"",'Release Calendar'!K166,"")</f>
        <v/>
      </c>
      <c r="D166" s="33" t="str">
        <f>IF('Release Calendar'!M166&lt;&gt;"",'Release Calendar'!M166,"")</f>
        <v/>
      </c>
      <c r="E166" s="34" t="str">
        <f>IF(AND(Q166&lt;&gt;"",R166&lt;&gt;"",DATE(2026,2,0)&gt;=Q166,DATE(2026,1,1)&lt;=R166),"█","")</f>
        <v/>
      </c>
      <c r="F166" s="34" t="str">
        <f>IF(AND(Q166&lt;&gt;"",R166&lt;&gt;"",DATE(2026,3,0)&gt;=Q166,DATE(2026,2,1)&lt;=R166),"█","")</f>
        <v/>
      </c>
      <c r="G166" s="34" t="str">
        <f>IF(AND(Q166&lt;&gt;"",R166&lt;&gt;"",DATE(2026,4,0)&gt;=Q166,DATE(2026,3,1)&lt;=R166),"█","")</f>
        <v/>
      </c>
      <c r="H166" s="34" t="str">
        <f>IF(AND(Q166&lt;&gt;"",R166&lt;&gt;"",DATE(2026,5,0)&gt;=Q166,DATE(2026,4,1)&lt;=R166),"█","")</f>
        <v/>
      </c>
      <c r="I166" s="34" t="str">
        <f>IF(AND(Q166&lt;&gt;"",R166&lt;&gt;"",DATE(2026,6,0)&gt;=Q166,DATE(2026,5,1)&lt;=R166),"█","")</f>
        <v/>
      </c>
      <c r="J166" s="34" t="str">
        <f>IF(AND(Q166&lt;&gt;"",R166&lt;&gt;"",DATE(2026,7,0)&gt;=Q166,DATE(2026,6,1)&lt;=R166),"█","")</f>
        <v/>
      </c>
      <c r="K166" s="34" t="str">
        <f>IF(AND(Q166&lt;&gt;"",R166&lt;&gt;"",DATE(2026,8,0)&gt;=Q166,DATE(2026,7,1)&lt;=R166),"█","")</f>
        <v/>
      </c>
      <c r="L166" s="34" t="str">
        <f>IF(AND(Q166&lt;&gt;"",R166&lt;&gt;"",DATE(2026,9,0)&gt;=Q166,DATE(2026,8,1)&lt;=R166),"█","")</f>
        <v/>
      </c>
      <c r="M166" s="34" t="str">
        <f>IF(AND(Q166&lt;&gt;"",R166&lt;&gt;"",DATE(2026,10,0)&gt;=Q166,DATE(2026,9,1)&lt;=R166),"█","")</f>
        <v/>
      </c>
      <c r="N166" s="34" t="str">
        <f>IF(AND(Q166&lt;&gt;"",R166&lt;&gt;"",DATE(2026,11,0)&gt;=Q166,DATE(2026,10,1)&lt;=R166),"█","")</f>
        <v/>
      </c>
      <c r="O166" s="34" t="str">
        <f>IF(AND(Q166&lt;&gt;"",R166&lt;&gt;"",DATE(2026,12,0)&gt;=Q166,DATE(2026,11,1)&lt;=R166),"█","")</f>
        <v/>
      </c>
      <c r="P166" s="34" t="str">
        <f>IF(AND(Q166&lt;&gt;"",R166&lt;&gt;"",DATE(2026,12,31)&gt;=Q166,DATE(2026,12,1)&lt;=R166),"█","")</f>
        <v/>
      </c>
      <c r="Q166" s="7" t="str">
        <f>IF('Release Calendar'!I166&lt;&gt;"",'Release Calendar'!I166,"")</f>
        <v/>
      </c>
      <c r="R166" s="7" t="str">
        <f>IF('Release Calendar'!J166&lt;&gt;"",'Release Calendar'!J166,"")</f>
        <v/>
      </c>
    </row>
    <row r="167" spans="1:18" ht="20.100000000000001" customHeight="1">
      <c r="A167" s="14">
        <v>163</v>
      </c>
      <c r="B167" s="28" t="str">
        <f>IF('Release Calendar'!B167&lt;&gt;"",'Release Calendar'!B167,"")</f>
        <v/>
      </c>
      <c r="C167" s="29" t="str">
        <f>IF('Release Calendar'!K167&lt;&gt;"",'Release Calendar'!K167,"")</f>
        <v/>
      </c>
      <c r="D167" s="29" t="str">
        <f>IF('Release Calendar'!M167&lt;&gt;"",'Release Calendar'!M167,"")</f>
        <v/>
      </c>
      <c r="E167" s="30" t="str">
        <f>IF(AND(Q167&lt;&gt;"",R167&lt;&gt;"",DATE(2026,2,0)&gt;=Q167,DATE(2026,1,1)&lt;=R167),"█","")</f>
        <v/>
      </c>
      <c r="F167" s="30" t="str">
        <f>IF(AND(Q167&lt;&gt;"",R167&lt;&gt;"",DATE(2026,3,0)&gt;=Q167,DATE(2026,2,1)&lt;=R167),"█","")</f>
        <v/>
      </c>
      <c r="G167" s="30" t="str">
        <f>IF(AND(Q167&lt;&gt;"",R167&lt;&gt;"",DATE(2026,4,0)&gt;=Q167,DATE(2026,3,1)&lt;=R167),"█","")</f>
        <v/>
      </c>
      <c r="H167" s="30" t="str">
        <f>IF(AND(Q167&lt;&gt;"",R167&lt;&gt;"",DATE(2026,5,0)&gt;=Q167,DATE(2026,4,1)&lt;=R167),"█","")</f>
        <v/>
      </c>
      <c r="I167" s="30" t="str">
        <f>IF(AND(Q167&lt;&gt;"",R167&lt;&gt;"",DATE(2026,6,0)&gt;=Q167,DATE(2026,5,1)&lt;=R167),"█","")</f>
        <v/>
      </c>
      <c r="J167" s="30" t="str">
        <f>IF(AND(Q167&lt;&gt;"",R167&lt;&gt;"",DATE(2026,7,0)&gt;=Q167,DATE(2026,6,1)&lt;=R167),"█","")</f>
        <v/>
      </c>
      <c r="K167" s="30" t="str">
        <f>IF(AND(Q167&lt;&gt;"",R167&lt;&gt;"",DATE(2026,8,0)&gt;=Q167,DATE(2026,7,1)&lt;=R167),"█","")</f>
        <v/>
      </c>
      <c r="L167" s="30" t="str">
        <f>IF(AND(Q167&lt;&gt;"",R167&lt;&gt;"",DATE(2026,9,0)&gt;=Q167,DATE(2026,8,1)&lt;=R167),"█","")</f>
        <v/>
      </c>
      <c r="M167" s="30" t="str">
        <f>IF(AND(Q167&lt;&gt;"",R167&lt;&gt;"",DATE(2026,10,0)&gt;=Q167,DATE(2026,9,1)&lt;=R167),"█","")</f>
        <v/>
      </c>
      <c r="N167" s="30" t="str">
        <f>IF(AND(Q167&lt;&gt;"",R167&lt;&gt;"",DATE(2026,11,0)&gt;=Q167,DATE(2026,10,1)&lt;=R167),"█","")</f>
        <v/>
      </c>
      <c r="O167" s="30" t="str">
        <f>IF(AND(Q167&lt;&gt;"",R167&lt;&gt;"",DATE(2026,12,0)&gt;=Q167,DATE(2026,11,1)&lt;=R167),"█","")</f>
        <v/>
      </c>
      <c r="P167" s="30" t="str">
        <f>IF(AND(Q167&lt;&gt;"",R167&lt;&gt;"",DATE(2026,12,31)&gt;=Q167,DATE(2026,12,1)&lt;=R167),"█","")</f>
        <v/>
      </c>
      <c r="Q167" s="7" t="str">
        <f>IF('Release Calendar'!I167&lt;&gt;"",'Release Calendar'!I167,"")</f>
        <v/>
      </c>
      <c r="R167" s="7" t="str">
        <f>IF('Release Calendar'!J167&lt;&gt;"",'Release Calendar'!J167,"")</f>
        <v/>
      </c>
    </row>
    <row r="168" spans="1:18" ht="20.100000000000001" customHeight="1">
      <c r="A168" s="31">
        <v>164</v>
      </c>
      <c r="B168" s="32" t="str">
        <f>IF('Release Calendar'!B168&lt;&gt;"",'Release Calendar'!B168,"")</f>
        <v/>
      </c>
      <c r="C168" s="33" t="str">
        <f>IF('Release Calendar'!K168&lt;&gt;"",'Release Calendar'!K168,"")</f>
        <v/>
      </c>
      <c r="D168" s="33" t="str">
        <f>IF('Release Calendar'!M168&lt;&gt;"",'Release Calendar'!M168,"")</f>
        <v/>
      </c>
      <c r="E168" s="34" t="str">
        <f>IF(AND(Q168&lt;&gt;"",R168&lt;&gt;"",DATE(2026,2,0)&gt;=Q168,DATE(2026,1,1)&lt;=R168),"█","")</f>
        <v/>
      </c>
      <c r="F168" s="34" t="str">
        <f>IF(AND(Q168&lt;&gt;"",R168&lt;&gt;"",DATE(2026,3,0)&gt;=Q168,DATE(2026,2,1)&lt;=R168),"█","")</f>
        <v/>
      </c>
      <c r="G168" s="34" t="str">
        <f>IF(AND(Q168&lt;&gt;"",R168&lt;&gt;"",DATE(2026,4,0)&gt;=Q168,DATE(2026,3,1)&lt;=R168),"█","")</f>
        <v/>
      </c>
      <c r="H168" s="34" t="str">
        <f>IF(AND(Q168&lt;&gt;"",R168&lt;&gt;"",DATE(2026,5,0)&gt;=Q168,DATE(2026,4,1)&lt;=R168),"█","")</f>
        <v/>
      </c>
      <c r="I168" s="34" t="str">
        <f>IF(AND(Q168&lt;&gt;"",R168&lt;&gt;"",DATE(2026,6,0)&gt;=Q168,DATE(2026,5,1)&lt;=R168),"█","")</f>
        <v/>
      </c>
      <c r="J168" s="34" t="str">
        <f>IF(AND(Q168&lt;&gt;"",R168&lt;&gt;"",DATE(2026,7,0)&gt;=Q168,DATE(2026,6,1)&lt;=R168),"█","")</f>
        <v/>
      </c>
      <c r="K168" s="34" t="str">
        <f>IF(AND(Q168&lt;&gt;"",R168&lt;&gt;"",DATE(2026,8,0)&gt;=Q168,DATE(2026,7,1)&lt;=R168),"█","")</f>
        <v/>
      </c>
      <c r="L168" s="34" t="str">
        <f>IF(AND(Q168&lt;&gt;"",R168&lt;&gt;"",DATE(2026,9,0)&gt;=Q168,DATE(2026,8,1)&lt;=R168),"█","")</f>
        <v/>
      </c>
      <c r="M168" s="34" t="str">
        <f>IF(AND(Q168&lt;&gt;"",R168&lt;&gt;"",DATE(2026,10,0)&gt;=Q168,DATE(2026,9,1)&lt;=R168),"█","")</f>
        <v/>
      </c>
      <c r="N168" s="34" t="str">
        <f>IF(AND(Q168&lt;&gt;"",R168&lt;&gt;"",DATE(2026,11,0)&gt;=Q168,DATE(2026,10,1)&lt;=R168),"█","")</f>
        <v/>
      </c>
      <c r="O168" s="34" t="str">
        <f>IF(AND(Q168&lt;&gt;"",R168&lt;&gt;"",DATE(2026,12,0)&gt;=Q168,DATE(2026,11,1)&lt;=R168),"█","")</f>
        <v/>
      </c>
      <c r="P168" s="34" t="str">
        <f>IF(AND(Q168&lt;&gt;"",R168&lt;&gt;"",DATE(2026,12,31)&gt;=Q168,DATE(2026,12,1)&lt;=R168),"█","")</f>
        <v/>
      </c>
      <c r="Q168" s="7" t="str">
        <f>IF('Release Calendar'!I168&lt;&gt;"",'Release Calendar'!I168,"")</f>
        <v/>
      </c>
      <c r="R168" s="7" t="str">
        <f>IF('Release Calendar'!J168&lt;&gt;"",'Release Calendar'!J168,"")</f>
        <v/>
      </c>
    </row>
    <row r="169" spans="1:18" ht="20.100000000000001" customHeight="1">
      <c r="A169" s="14">
        <v>165</v>
      </c>
      <c r="B169" s="28" t="str">
        <f>IF('Release Calendar'!B169&lt;&gt;"",'Release Calendar'!B169,"")</f>
        <v/>
      </c>
      <c r="C169" s="29" t="str">
        <f>IF('Release Calendar'!K169&lt;&gt;"",'Release Calendar'!K169,"")</f>
        <v/>
      </c>
      <c r="D169" s="29" t="str">
        <f>IF('Release Calendar'!M169&lt;&gt;"",'Release Calendar'!M169,"")</f>
        <v/>
      </c>
      <c r="E169" s="30" t="str">
        <f>IF(AND(Q169&lt;&gt;"",R169&lt;&gt;"",DATE(2026,2,0)&gt;=Q169,DATE(2026,1,1)&lt;=R169),"█","")</f>
        <v/>
      </c>
      <c r="F169" s="30" t="str">
        <f>IF(AND(Q169&lt;&gt;"",R169&lt;&gt;"",DATE(2026,3,0)&gt;=Q169,DATE(2026,2,1)&lt;=R169),"█","")</f>
        <v/>
      </c>
      <c r="G169" s="30" t="str">
        <f>IF(AND(Q169&lt;&gt;"",R169&lt;&gt;"",DATE(2026,4,0)&gt;=Q169,DATE(2026,3,1)&lt;=R169),"█","")</f>
        <v/>
      </c>
      <c r="H169" s="30" t="str">
        <f>IF(AND(Q169&lt;&gt;"",R169&lt;&gt;"",DATE(2026,5,0)&gt;=Q169,DATE(2026,4,1)&lt;=R169),"█","")</f>
        <v/>
      </c>
      <c r="I169" s="30" t="str">
        <f>IF(AND(Q169&lt;&gt;"",R169&lt;&gt;"",DATE(2026,6,0)&gt;=Q169,DATE(2026,5,1)&lt;=R169),"█","")</f>
        <v/>
      </c>
      <c r="J169" s="30" t="str">
        <f>IF(AND(Q169&lt;&gt;"",R169&lt;&gt;"",DATE(2026,7,0)&gt;=Q169,DATE(2026,6,1)&lt;=R169),"█","")</f>
        <v/>
      </c>
      <c r="K169" s="30" t="str">
        <f>IF(AND(Q169&lt;&gt;"",R169&lt;&gt;"",DATE(2026,8,0)&gt;=Q169,DATE(2026,7,1)&lt;=R169),"█","")</f>
        <v/>
      </c>
      <c r="L169" s="30" t="str">
        <f>IF(AND(Q169&lt;&gt;"",R169&lt;&gt;"",DATE(2026,9,0)&gt;=Q169,DATE(2026,8,1)&lt;=R169),"█","")</f>
        <v/>
      </c>
      <c r="M169" s="30" t="str">
        <f>IF(AND(Q169&lt;&gt;"",R169&lt;&gt;"",DATE(2026,10,0)&gt;=Q169,DATE(2026,9,1)&lt;=R169),"█","")</f>
        <v/>
      </c>
      <c r="N169" s="30" t="str">
        <f>IF(AND(Q169&lt;&gt;"",R169&lt;&gt;"",DATE(2026,11,0)&gt;=Q169,DATE(2026,10,1)&lt;=R169),"█","")</f>
        <v/>
      </c>
      <c r="O169" s="30" t="str">
        <f>IF(AND(Q169&lt;&gt;"",R169&lt;&gt;"",DATE(2026,12,0)&gt;=Q169,DATE(2026,11,1)&lt;=R169),"█","")</f>
        <v/>
      </c>
      <c r="P169" s="30" t="str">
        <f>IF(AND(Q169&lt;&gt;"",R169&lt;&gt;"",DATE(2026,12,31)&gt;=Q169,DATE(2026,12,1)&lt;=R169),"█","")</f>
        <v/>
      </c>
      <c r="Q169" s="7" t="str">
        <f>IF('Release Calendar'!I169&lt;&gt;"",'Release Calendar'!I169,"")</f>
        <v/>
      </c>
      <c r="R169" s="7" t="str">
        <f>IF('Release Calendar'!J169&lt;&gt;"",'Release Calendar'!J169,"")</f>
        <v/>
      </c>
    </row>
    <row r="170" spans="1:18" ht="20.100000000000001" customHeight="1">
      <c r="A170" s="31">
        <v>166</v>
      </c>
      <c r="B170" s="32" t="str">
        <f>IF('Release Calendar'!B170&lt;&gt;"",'Release Calendar'!B170,"")</f>
        <v/>
      </c>
      <c r="C170" s="33" t="str">
        <f>IF('Release Calendar'!K170&lt;&gt;"",'Release Calendar'!K170,"")</f>
        <v/>
      </c>
      <c r="D170" s="33" t="str">
        <f>IF('Release Calendar'!M170&lt;&gt;"",'Release Calendar'!M170,"")</f>
        <v/>
      </c>
      <c r="E170" s="34" t="str">
        <f>IF(AND(Q170&lt;&gt;"",R170&lt;&gt;"",DATE(2026,2,0)&gt;=Q170,DATE(2026,1,1)&lt;=R170),"█","")</f>
        <v/>
      </c>
      <c r="F170" s="34" t="str">
        <f>IF(AND(Q170&lt;&gt;"",R170&lt;&gt;"",DATE(2026,3,0)&gt;=Q170,DATE(2026,2,1)&lt;=R170),"█","")</f>
        <v/>
      </c>
      <c r="G170" s="34" t="str">
        <f>IF(AND(Q170&lt;&gt;"",R170&lt;&gt;"",DATE(2026,4,0)&gt;=Q170,DATE(2026,3,1)&lt;=R170),"█","")</f>
        <v/>
      </c>
      <c r="H170" s="34" t="str">
        <f>IF(AND(Q170&lt;&gt;"",R170&lt;&gt;"",DATE(2026,5,0)&gt;=Q170,DATE(2026,4,1)&lt;=R170),"█","")</f>
        <v/>
      </c>
      <c r="I170" s="34" t="str">
        <f>IF(AND(Q170&lt;&gt;"",R170&lt;&gt;"",DATE(2026,6,0)&gt;=Q170,DATE(2026,5,1)&lt;=R170),"█","")</f>
        <v/>
      </c>
      <c r="J170" s="34" t="str">
        <f>IF(AND(Q170&lt;&gt;"",R170&lt;&gt;"",DATE(2026,7,0)&gt;=Q170,DATE(2026,6,1)&lt;=R170),"█","")</f>
        <v/>
      </c>
      <c r="K170" s="34" t="str">
        <f>IF(AND(Q170&lt;&gt;"",R170&lt;&gt;"",DATE(2026,8,0)&gt;=Q170,DATE(2026,7,1)&lt;=R170),"█","")</f>
        <v/>
      </c>
      <c r="L170" s="34" t="str">
        <f>IF(AND(Q170&lt;&gt;"",R170&lt;&gt;"",DATE(2026,9,0)&gt;=Q170,DATE(2026,8,1)&lt;=R170),"█","")</f>
        <v/>
      </c>
      <c r="M170" s="34" t="str">
        <f>IF(AND(Q170&lt;&gt;"",R170&lt;&gt;"",DATE(2026,10,0)&gt;=Q170,DATE(2026,9,1)&lt;=R170),"█","")</f>
        <v/>
      </c>
      <c r="N170" s="34" t="str">
        <f>IF(AND(Q170&lt;&gt;"",R170&lt;&gt;"",DATE(2026,11,0)&gt;=Q170,DATE(2026,10,1)&lt;=R170),"█","")</f>
        <v/>
      </c>
      <c r="O170" s="34" t="str">
        <f>IF(AND(Q170&lt;&gt;"",R170&lt;&gt;"",DATE(2026,12,0)&gt;=Q170,DATE(2026,11,1)&lt;=R170),"█","")</f>
        <v/>
      </c>
      <c r="P170" s="34" t="str">
        <f>IF(AND(Q170&lt;&gt;"",R170&lt;&gt;"",DATE(2026,12,31)&gt;=Q170,DATE(2026,12,1)&lt;=R170),"█","")</f>
        <v/>
      </c>
      <c r="Q170" s="7" t="str">
        <f>IF('Release Calendar'!I170&lt;&gt;"",'Release Calendar'!I170,"")</f>
        <v/>
      </c>
      <c r="R170" s="7" t="str">
        <f>IF('Release Calendar'!J170&lt;&gt;"",'Release Calendar'!J170,"")</f>
        <v/>
      </c>
    </row>
    <row r="171" spans="1:18" ht="20.100000000000001" customHeight="1">
      <c r="A171" s="14">
        <v>167</v>
      </c>
      <c r="B171" s="28" t="str">
        <f>IF('Release Calendar'!B171&lt;&gt;"",'Release Calendar'!B171,"")</f>
        <v/>
      </c>
      <c r="C171" s="29" t="str">
        <f>IF('Release Calendar'!K171&lt;&gt;"",'Release Calendar'!K171,"")</f>
        <v/>
      </c>
      <c r="D171" s="29" t="str">
        <f>IF('Release Calendar'!M171&lt;&gt;"",'Release Calendar'!M171,"")</f>
        <v/>
      </c>
      <c r="E171" s="30" t="str">
        <f>IF(AND(Q171&lt;&gt;"",R171&lt;&gt;"",DATE(2026,2,0)&gt;=Q171,DATE(2026,1,1)&lt;=R171),"█","")</f>
        <v/>
      </c>
      <c r="F171" s="30" t="str">
        <f>IF(AND(Q171&lt;&gt;"",R171&lt;&gt;"",DATE(2026,3,0)&gt;=Q171,DATE(2026,2,1)&lt;=R171),"█","")</f>
        <v/>
      </c>
      <c r="G171" s="30" t="str">
        <f>IF(AND(Q171&lt;&gt;"",R171&lt;&gt;"",DATE(2026,4,0)&gt;=Q171,DATE(2026,3,1)&lt;=R171),"█","")</f>
        <v/>
      </c>
      <c r="H171" s="30" t="str">
        <f>IF(AND(Q171&lt;&gt;"",R171&lt;&gt;"",DATE(2026,5,0)&gt;=Q171,DATE(2026,4,1)&lt;=R171),"█","")</f>
        <v/>
      </c>
      <c r="I171" s="30" t="str">
        <f>IF(AND(Q171&lt;&gt;"",R171&lt;&gt;"",DATE(2026,6,0)&gt;=Q171,DATE(2026,5,1)&lt;=R171),"█","")</f>
        <v/>
      </c>
      <c r="J171" s="30" t="str">
        <f>IF(AND(Q171&lt;&gt;"",R171&lt;&gt;"",DATE(2026,7,0)&gt;=Q171,DATE(2026,6,1)&lt;=R171),"█","")</f>
        <v/>
      </c>
      <c r="K171" s="30" t="str">
        <f>IF(AND(Q171&lt;&gt;"",R171&lt;&gt;"",DATE(2026,8,0)&gt;=Q171,DATE(2026,7,1)&lt;=R171),"█","")</f>
        <v/>
      </c>
      <c r="L171" s="30" t="str">
        <f>IF(AND(Q171&lt;&gt;"",R171&lt;&gt;"",DATE(2026,9,0)&gt;=Q171,DATE(2026,8,1)&lt;=R171),"█","")</f>
        <v/>
      </c>
      <c r="M171" s="30" t="str">
        <f>IF(AND(Q171&lt;&gt;"",R171&lt;&gt;"",DATE(2026,10,0)&gt;=Q171,DATE(2026,9,1)&lt;=R171),"█","")</f>
        <v/>
      </c>
      <c r="N171" s="30" t="str">
        <f>IF(AND(Q171&lt;&gt;"",R171&lt;&gt;"",DATE(2026,11,0)&gt;=Q171,DATE(2026,10,1)&lt;=R171),"█","")</f>
        <v/>
      </c>
      <c r="O171" s="30" t="str">
        <f>IF(AND(Q171&lt;&gt;"",R171&lt;&gt;"",DATE(2026,12,0)&gt;=Q171,DATE(2026,11,1)&lt;=R171),"█","")</f>
        <v/>
      </c>
      <c r="P171" s="30" t="str">
        <f>IF(AND(Q171&lt;&gt;"",R171&lt;&gt;"",DATE(2026,12,31)&gt;=Q171,DATE(2026,12,1)&lt;=R171),"█","")</f>
        <v/>
      </c>
      <c r="Q171" s="7" t="str">
        <f>IF('Release Calendar'!I171&lt;&gt;"",'Release Calendar'!I171,"")</f>
        <v/>
      </c>
      <c r="R171" s="7" t="str">
        <f>IF('Release Calendar'!J171&lt;&gt;"",'Release Calendar'!J171,"")</f>
        <v/>
      </c>
    </row>
    <row r="172" spans="1:18" ht="20.100000000000001" customHeight="1">
      <c r="A172" s="31">
        <v>168</v>
      </c>
      <c r="B172" s="32" t="str">
        <f>IF('Release Calendar'!B172&lt;&gt;"",'Release Calendar'!B172,"")</f>
        <v/>
      </c>
      <c r="C172" s="33" t="str">
        <f>IF('Release Calendar'!K172&lt;&gt;"",'Release Calendar'!K172,"")</f>
        <v/>
      </c>
      <c r="D172" s="33" t="str">
        <f>IF('Release Calendar'!M172&lt;&gt;"",'Release Calendar'!M172,"")</f>
        <v/>
      </c>
      <c r="E172" s="34" t="str">
        <f>IF(AND(Q172&lt;&gt;"",R172&lt;&gt;"",DATE(2026,2,0)&gt;=Q172,DATE(2026,1,1)&lt;=R172),"█","")</f>
        <v/>
      </c>
      <c r="F172" s="34" t="str">
        <f>IF(AND(Q172&lt;&gt;"",R172&lt;&gt;"",DATE(2026,3,0)&gt;=Q172,DATE(2026,2,1)&lt;=R172),"█","")</f>
        <v/>
      </c>
      <c r="G172" s="34" t="str">
        <f>IF(AND(Q172&lt;&gt;"",R172&lt;&gt;"",DATE(2026,4,0)&gt;=Q172,DATE(2026,3,1)&lt;=R172),"█","")</f>
        <v/>
      </c>
      <c r="H172" s="34" t="str">
        <f>IF(AND(Q172&lt;&gt;"",R172&lt;&gt;"",DATE(2026,5,0)&gt;=Q172,DATE(2026,4,1)&lt;=R172),"█","")</f>
        <v/>
      </c>
      <c r="I172" s="34" t="str">
        <f>IF(AND(Q172&lt;&gt;"",R172&lt;&gt;"",DATE(2026,6,0)&gt;=Q172,DATE(2026,5,1)&lt;=R172),"█","")</f>
        <v/>
      </c>
      <c r="J172" s="34" t="str">
        <f>IF(AND(Q172&lt;&gt;"",R172&lt;&gt;"",DATE(2026,7,0)&gt;=Q172,DATE(2026,6,1)&lt;=R172),"█","")</f>
        <v/>
      </c>
      <c r="K172" s="34" t="str">
        <f>IF(AND(Q172&lt;&gt;"",R172&lt;&gt;"",DATE(2026,8,0)&gt;=Q172,DATE(2026,7,1)&lt;=R172),"█","")</f>
        <v/>
      </c>
      <c r="L172" s="34" t="str">
        <f>IF(AND(Q172&lt;&gt;"",R172&lt;&gt;"",DATE(2026,9,0)&gt;=Q172,DATE(2026,8,1)&lt;=R172),"█","")</f>
        <v/>
      </c>
      <c r="M172" s="34" t="str">
        <f>IF(AND(Q172&lt;&gt;"",R172&lt;&gt;"",DATE(2026,10,0)&gt;=Q172,DATE(2026,9,1)&lt;=R172),"█","")</f>
        <v/>
      </c>
      <c r="N172" s="34" t="str">
        <f>IF(AND(Q172&lt;&gt;"",R172&lt;&gt;"",DATE(2026,11,0)&gt;=Q172,DATE(2026,10,1)&lt;=R172),"█","")</f>
        <v/>
      </c>
      <c r="O172" s="34" t="str">
        <f>IF(AND(Q172&lt;&gt;"",R172&lt;&gt;"",DATE(2026,12,0)&gt;=Q172,DATE(2026,11,1)&lt;=R172),"█","")</f>
        <v/>
      </c>
      <c r="P172" s="34" t="str">
        <f>IF(AND(Q172&lt;&gt;"",R172&lt;&gt;"",DATE(2026,12,31)&gt;=Q172,DATE(2026,12,1)&lt;=R172),"█","")</f>
        <v/>
      </c>
      <c r="Q172" s="7" t="str">
        <f>IF('Release Calendar'!I172&lt;&gt;"",'Release Calendar'!I172,"")</f>
        <v/>
      </c>
      <c r="R172" s="7" t="str">
        <f>IF('Release Calendar'!J172&lt;&gt;"",'Release Calendar'!J172,"")</f>
        <v/>
      </c>
    </row>
    <row r="173" spans="1:18" ht="20.100000000000001" customHeight="1">
      <c r="A173" s="14">
        <v>169</v>
      </c>
      <c r="B173" s="28" t="str">
        <f>IF('Release Calendar'!B173&lt;&gt;"",'Release Calendar'!B173,"")</f>
        <v/>
      </c>
      <c r="C173" s="29" t="str">
        <f>IF('Release Calendar'!K173&lt;&gt;"",'Release Calendar'!K173,"")</f>
        <v/>
      </c>
      <c r="D173" s="29" t="str">
        <f>IF('Release Calendar'!M173&lt;&gt;"",'Release Calendar'!M173,"")</f>
        <v/>
      </c>
      <c r="E173" s="30" t="str">
        <f>IF(AND(Q173&lt;&gt;"",R173&lt;&gt;"",DATE(2026,2,0)&gt;=Q173,DATE(2026,1,1)&lt;=R173),"█","")</f>
        <v/>
      </c>
      <c r="F173" s="30" t="str">
        <f>IF(AND(Q173&lt;&gt;"",R173&lt;&gt;"",DATE(2026,3,0)&gt;=Q173,DATE(2026,2,1)&lt;=R173),"█","")</f>
        <v/>
      </c>
      <c r="G173" s="30" t="str">
        <f>IF(AND(Q173&lt;&gt;"",R173&lt;&gt;"",DATE(2026,4,0)&gt;=Q173,DATE(2026,3,1)&lt;=R173),"█","")</f>
        <v/>
      </c>
      <c r="H173" s="30" t="str">
        <f>IF(AND(Q173&lt;&gt;"",R173&lt;&gt;"",DATE(2026,5,0)&gt;=Q173,DATE(2026,4,1)&lt;=R173),"█","")</f>
        <v/>
      </c>
      <c r="I173" s="30" t="str">
        <f>IF(AND(Q173&lt;&gt;"",R173&lt;&gt;"",DATE(2026,6,0)&gt;=Q173,DATE(2026,5,1)&lt;=R173),"█","")</f>
        <v/>
      </c>
      <c r="J173" s="30" t="str">
        <f>IF(AND(Q173&lt;&gt;"",R173&lt;&gt;"",DATE(2026,7,0)&gt;=Q173,DATE(2026,6,1)&lt;=R173),"█","")</f>
        <v/>
      </c>
      <c r="K173" s="30" t="str">
        <f>IF(AND(Q173&lt;&gt;"",R173&lt;&gt;"",DATE(2026,8,0)&gt;=Q173,DATE(2026,7,1)&lt;=R173),"█","")</f>
        <v/>
      </c>
      <c r="L173" s="30" t="str">
        <f>IF(AND(Q173&lt;&gt;"",R173&lt;&gt;"",DATE(2026,9,0)&gt;=Q173,DATE(2026,8,1)&lt;=R173),"█","")</f>
        <v/>
      </c>
      <c r="M173" s="30" t="str">
        <f>IF(AND(Q173&lt;&gt;"",R173&lt;&gt;"",DATE(2026,10,0)&gt;=Q173,DATE(2026,9,1)&lt;=R173),"█","")</f>
        <v/>
      </c>
      <c r="N173" s="30" t="str">
        <f>IF(AND(Q173&lt;&gt;"",R173&lt;&gt;"",DATE(2026,11,0)&gt;=Q173,DATE(2026,10,1)&lt;=R173),"█","")</f>
        <v/>
      </c>
      <c r="O173" s="30" t="str">
        <f>IF(AND(Q173&lt;&gt;"",R173&lt;&gt;"",DATE(2026,12,0)&gt;=Q173,DATE(2026,11,1)&lt;=R173),"█","")</f>
        <v/>
      </c>
      <c r="P173" s="30" t="str">
        <f>IF(AND(Q173&lt;&gt;"",R173&lt;&gt;"",DATE(2026,12,31)&gt;=Q173,DATE(2026,12,1)&lt;=R173),"█","")</f>
        <v/>
      </c>
      <c r="Q173" s="7" t="str">
        <f>IF('Release Calendar'!I173&lt;&gt;"",'Release Calendar'!I173,"")</f>
        <v/>
      </c>
      <c r="R173" s="7" t="str">
        <f>IF('Release Calendar'!J173&lt;&gt;"",'Release Calendar'!J173,"")</f>
        <v/>
      </c>
    </row>
    <row r="174" spans="1:18" ht="20.100000000000001" customHeight="1">
      <c r="A174" s="31">
        <v>170</v>
      </c>
      <c r="B174" s="32" t="str">
        <f>IF('Release Calendar'!B174&lt;&gt;"",'Release Calendar'!B174,"")</f>
        <v/>
      </c>
      <c r="C174" s="33" t="str">
        <f>IF('Release Calendar'!K174&lt;&gt;"",'Release Calendar'!K174,"")</f>
        <v/>
      </c>
      <c r="D174" s="33" t="str">
        <f>IF('Release Calendar'!M174&lt;&gt;"",'Release Calendar'!M174,"")</f>
        <v/>
      </c>
      <c r="E174" s="34" t="str">
        <f>IF(AND(Q174&lt;&gt;"",R174&lt;&gt;"",DATE(2026,2,0)&gt;=Q174,DATE(2026,1,1)&lt;=R174),"█","")</f>
        <v/>
      </c>
      <c r="F174" s="34" t="str">
        <f>IF(AND(Q174&lt;&gt;"",R174&lt;&gt;"",DATE(2026,3,0)&gt;=Q174,DATE(2026,2,1)&lt;=R174),"█","")</f>
        <v/>
      </c>
      <c r="G174" s="34" t="str">
        <f>IF(AND(Q174&lt;&gt;"",R174&lt;&gt;"",DATE(2026,4,0)&gt;=Q174,DATE(2026,3,1)&lt;=R174),"█","")</f>
        <v/>
      </c>
      <c r="H174" s="34" t="str">
        <f>IF(AND(Q174&lt;&gt;"",R174&lt;&gt;"",DATE(2026,5,0)&gt;=Q174,DATE(2026,4,1)&lt;=R174),"█","")</f>
        <v/>
      </c>
      <c r="I174" s="34" t="str">
        <f>IF(AND(Q174&lt;&gt;"",R174&lt;&gt;"",DATE(2026,6,0)&gt;=Q174,DATE(2026,5,1)&lt;=R174),"█","")</f>
        <v/>
      </c>
      <c r="J174" s="34" t="str">
        <f>IF(AND(Q174&lt;&gt;"",R174&lt;&gt;"",DATE(2026,7,0)&gt;=Q174,DATE(2026,6,1)&lt;=R174),"█","")</f>
        <v/>
      </c>
      <c r="K174" s="34" t="str">
        <f>IF(AND(Q174&lt;&gt;"",R174&lt;&gt;"",DATE(2026,8,0)&gt;=Q174,DATE(2026,7,1)&lt;=R174),"█","")</f>
        <v/>
      </c>
      <c r="L174" s="34" t="str">
        <f>IF(AND(Q174&lt;&gt;"",R174&lt;&gt;"",DATE(2026,9,0)&gt;=Q174,DATE(2026,8,1)&lt;=R174),"█","")</f>
        <v/>
      </c>
      <c r="M174" s="34" t="str">
        <f>IF(AND(Q174&lt;&gt;"",R174&lt;&gt;"",DATE(2026,10,0)&gt;=Q174,DATE(2026,9,1)&lt;=R174),"█","")</f>
        <v/>
      </c>
      <c r="N174" s="34" t="str">
        <f>IF(AND(Q174&lt;&gt;"",R174&lt;&gt;"",DATE(2026,11,0)&gt;=Q174,DATE(2026,10,1)&lt;=R174),"█","")</f>
        <v/>
      </c>
      <c r="O174" s="34" t="str">
        <f>IF(AND(Q174&lt;&gt;"",R174&lt;&gt;"",DATE(2026,12,0)&gt;=Q174,DATE(2026,11,1)&lt;=R174),"█","")</f>
        <v/>
      </c>
      <c r="P174" s="34" t="str">
        <f>IF(AND(Q174&lt;&gt;"",R174&lt;&gt;"",DATE(2026,12,31)&gt;=Q174,DATE(2026,12,1)&lt;=R174),"█","")</f>
        <v/>
      </c>
      <c r="Q174" s="7" t="str">
        <f>IF('Release Calendar'!I174&lt;&gt;"",'Release Calendar'!I174,"")</f>
        <v/>
      </c>
      <c r="R174" s="7" t="str">
        <f>IF('Release Calendar'!J174&lt;&gt;"",'Release Calendar'!J174,"")</f>
        <v/>
      </c>
    </row>
    <row r="175" spans="1:18" ht="20.100000000000001" customHeight="1">
      <c r="A175" s="14">
        <v>171</v>
      </c>
      <c r="B175" s="28" t="str">
        <f>IF('Release Calendar'!B175&lt;&gt;"",'Release Calendar'!B175,"")</f>
        <v/>
      </c>
      <c r="C175" s="29" t="str">
        <f>IF('Release Calendar'!K175&lt;&gt;"",'Release Calendar'!K175,"")</f>
        <v/>
      </c>
      <c r="D175" s="29" t="str">
        <f>IF('Release Calendar'!M175&lt;&gt;"",'Release Calendar'!M175,"")</f>
        <v/>
      </c>
      <c r="E175" s="30" t="str">
        <f>IF(AND(Q175&lt;&gt;"",R175&lt;&gt;"",DATE(2026,2,0)&gt;=Q175,DATE(2026,1,1)&lt;=R175),"█","")</f>
        <v/>
      </c>
      <c r="F175" s="30" t="str">
        <f>IF(AND(Q175&lt;&gt;"",R175&lt;&gt;"",DATE(2026,3,0)&gt;=Q175,DATE(2026,2,1)&lt;=R175),"█","")</f>
        <v/>
      </c>
      <c r="G175" s="30" t="str">
        <f>IF(AND(Q175&lt;&gt;"",R175&lt;&gt;"",DATE(2026,4,0)&gt;=Q175,DATE(2026,3,1)&lt;=R175),"█","")</f>
        <v/>
      </c>
      <c r="H175" s="30" t="str">
        <f>IF(AND(Q175&lt;&gt;"",R175&lt;&gt;"",DATE(2026,5,0)&gt;=Q175,DATE(2026,4,1)&lt;=R175),"█","")</f>
        <v/>
      </c>
      <c r="I175" s="30" t="str">
        <f>IF(AND(Q175&lt;&gt;"",R175&lt;&gt;"",DATE(2026,6,0)&gt;=Q175,DATE(2026,5,1)&lt;=R175),"█","")</f>
        <v/>
      </c>
      <c r="J175" s="30" t="str">
        <f>IF(AND(Q175&lt;&gt;"",R175&lt;&gt;"",DATE(2026,7,0)&gt;=Q175,DATE(2026,6,1)&lt;=R175),"█","")</f>
        <v/>
      </c>
      <c r="K175" s="30" t="str">
        <f>IF(AND(Q175&lt;&gt;"",R175&lt;&gt;"",DATE(2026,8,0)&gt;=Q175,DATE(2026,7,1)&lt;=R175),"█","")</f>
        <v/>
      </c>
      <c r="L175" s="30" t="str">
        <f>IF(AND(Q175&lt;&gt;"",R175&lt;&gt;"",DATE(2026,9,0)&gt;=Q175,DATE(2026,8,1)&lt;=R175),"█","")</f>
        <v/>
      </c>
      <c r="M175" s="30" t="str">
        <f>IF(AND(Q175&lt;&gt;"",R175&lt;&gt;"",DATE(2026,10,0)&gt;=Q175,DATE(2026,9,1)&lt;=R175),"█","")</f>
        <v/>
      </c>
      <c r="N175" s="30" t="str">
        <f>IF(AND(Q175&lt;&gt;"",R175&lt;&gt;"",DATE(2026,11,0)&gt;=Q175,DATE(2026,10,1)&lt;=R175),"█","")</f>
        <v/>
      </c>
      <c r="O175" s="30" t="str">
        <f>IF(AND(Q175&lt;&gt;"",R175&lt;&gt;"",DATE(2026,12,0)&gt;=Q175,DATE(2026,11,1)&lt;=R175),"█","")</f>
        <v/>
      </c>
      <c r="P175" s="30" t="str">
        <f>IF(AND(Q175&lt;&gt;"",R175&lt;&gt;"",DATE(2026,12,31)&gt;=Q175,DATE(2026,12,1)&lt;=R175),"█","")</f>
        <v/>
      </c>
      <c r="Q175" s="7" t="str">
        <f>IF('Release Calendar'!I175&lt;&gt;"",'Release Calendar'!I175,"")</f>
        <v/>
      </c>
      <c r="R175" s="7" t="str">
        <f>IF('Release Calendar'!J175&lt;&gt;"",'Release Calendar'!J175,"")</f>
        <v/>
      </c>
    </row>
    <row r="176" spans="1:18" ht="20.100000000000001" customHeight="1">
      <c r="A176" s="31">
        <v>172</v>
      </c>
      <c r="B176" s="32" t="str">
        <f>IF('Release Calendar'!B176&lt;&gt;"",'Release Calendar'!B176,"")</f>
        <v/>
      </c>
      <c r="C176" s="33" t="str">
        <f>IF('Release Calendar'!K176&lt;&gt;"",'Release Calendar'!K176,"")</f>
        <v/>
      </c>
      <c r="D176" s="33" t="str">
        <f>IF('Release Calendar'!M176&lt;&gt;"",'Release Calendar'!M176,"")</f>
        <v/>
      </c>
      <c r="E176" s="34" t="str">
        <f>IF(AND(Q176&lt;&gt;"",R176&lt;&gt;"",DATE(2026,2,0)&gt;=Q176,DATE(2026,1,1)&lt;=R176),"█","")</f>
        <v/>
      </c>
      <c r="F176" s="34" t="str">
        <f>IF(AND(Q176&lt;&gt;"",R176&lt;&gt;"",DATE(2026,3,0)&gt;=Q176,DATE(2026,2,1)&lt;=R176),"█","")</f>
        <v/>
      </c>
      <c r="G176" s="34" t="str">
        <f>IF(AND(Q176&lt;&gt;"",R176&lt;&gt;"",DATE(2026,4,0)&gt;=Q176,DATE(2026,3,1)&lt;=R176),"█","")</f>
        <v/>
      </c>
      <c r="H176" s="34" t="str">
        <f>IF(AND(Q176&lt;&gt;"",R176&lt;&gt;"",DATE(2026,5,0)&gt;=Q176,DATE(2026,4,1)&lt;=R176),"█","")</f>
        <v/>
      </c>
      <c r="I176" s="34" t="str">
        <f>IF(AND(Q176&lt;&gt;"",R176&lt;&gt;"",DATE(2026,6,0)&gt;=Q176,DATE(2026,5,1)&lt;=R176),"█","")</f>
        <v/>
      </c>
      <c r="J176" s="34" t="str">
        <f>IF(AND(Q176&lt;&gt;"",R176&lt;&gt;"",DATE(2026,7,0)&gt;=Q176,DATE(2026,6,1)&lt;=R176),"█","")</f>
        <v/>
      </c>
      <c r="K176" s="34" t="str">
        <f>IF(AND(Q176&lt;&gt;"",R176&lt;&gt;"",DATE(2026,8,0)&gt;=Q176,DATE(2026,7,1)&lt;=R176),"█","")</f>
        <v/>
      </c>
      <c r="L176" s="34" t="str">
        <f>IF(AND(Q176&lt;&gt;"",R176&lt;&gt;"",DATE(2026,9,0)&gt;=Q176,DATE(2026,8,1)&lt;=R176),"█","")</f>
        <v/>
      </c>
      <c r="M176" s="34" t="str">
        <f>IF(AND(Q176&lt;&gt;"",R176&lt;&gt;"",DATE(2026,10,0)&gt;=Q176,DATE(2026,9,1)&lt;=R176),"█","")</f>
        <v/>
      </c>
      <c r="N176" s="34" t="str">
        <f>IF(AND(Q176&lt;&gt;"",R176&lt;&gt;"",DATE(2026,11,0)&gt;=Q176,DATE(2026,10,1)&lt;=R176),"█","")</f>
        <v/>
      </c>
      <c r="O176" s="34" t="str">
        <f>IF(AND(Q176&lt;&gt;"",R176&lt;&gt;"",DATE(2026,12,0)&gt;=Q176,DATE(2026,11,1)&lt;=R176),"█","")</f>
        <v/>
      </c>
      <c r="P176" s="34" t="str">
        <f>IF(AND(Q176&lt;&gt;"",R176&lt;&gt;"",DATE(2026,12,31)&gt;=Q176,DATE(2026,12,1)&lt;=R176),"█","")</f>
        <v/>
      </c>
      <c r="Q176" s="7" t="str">
        <f>IF('Release Calendar'!I176&lt;&gt;"",'Release Calendar'!I176,"")</f>
        <v/>
      </c>
      <c r="R176" s="7" t="str">
        <f>IF('Release Calendar'!J176&lt;&gt;"",'Release Calendar'!J176,"")</f>
        <v/>
      </c>
    </row>
    <row r="177" spans="1:18" ht="20.100000000000001" customHeight="1">
      <c r="A177" s="14">
        <v>173</v>
      </c>
      <c r="B177" s="28" t="str">
        <f>IF('Release Calendar'!B177&lt;&gt;"",'Release Calendar'!B177,"")</f>
        <v/>
      </c>
      <c r="C177" s="29" t="str">
        <f>IF('Release Calendar'!K177&lt;&gt;"",'Release Calendar'!K177,"")</f>
        <v/>
      </c>
      <c r="D177" s="29" t="str">
        <f>IF('Release Calendar'!M177&lt;&gt;"",'Release Calendar'!M177,"")</f>
        <v/>
      </c>
      <c r="E177" s="30" t="str">
        <f>IF(AND(Q177&lt;&gt;"",R177&lt;&gt;"",DATE(2026,2,0)&gt;=Q177,DATE(2026,1,1)&lt;=R177),"█","")</f>
        <v/>
      </c>
      <c r="F177" s="30" t="str">
        <f>IF(AND(Q177&lt;&gt;"",R177&lt;&gt;"",DATE(2026,3,0)&gt;=Q177,DATE(2026,2,1)&lt;=R177),"█","")</f>
        <v/>
      </c>
      <c r="G177" s="30" t="str">
        <f>IF(AND(Q177&lt;&gt;"",R177&lt;&gt;"",DATE(2026,4,0)&gt;=Q177,DATE(2026,3,1)&lt;=R177),"█","")</f>
        <v/>
      </c>
      <c r="H177" s="30" t="str">
        <f>IF(AND(Q177&lt;&gt;"",R177&lt;&gt;"",DATE(2026,5,0)&gt;=Q177,DATE(2026,4,1)&lt;=R177),"█","")</f>
        <v/>
      </c>
      <c r="I177" s="30" t="str">
        <f>IF(AND(Q177&lt;&gt;"",R177&lt;&gt;"",DATE(2026,6,0)&gt;=Q177,DATE(2026,5,1)&lt;=R177),"█","")</f>
        <v/>
      </c>
      <c r="J177" s="30" t="str">
        <f>IF(AND(Q177&lt;&gt;"",R177&lt;&gt;"",DATE(2026,7,0)&gt;=Q177,DATE(2026,6,1)&lt;=R177),"█","")</f>
        <v/>
      </c>
      <c r="K177" s="30" t="str">
        <f>IF(AND(Q177&lt;&gt;"",R177&lt;&gt;"",DATE(2026,8,0)&gt;=Q177,DATE(2026,7,1)&lt;=R177),"█","")</f>
        <v/>
      </c>
      <c r="L177" s="30" t="str">
        <f>IF(AND(Q177&lt;&gt;"",R177&lt;&gt;"",DATE(2026,9,0)&gt;=Q177,DATE(2026,8,1)&lt;=R177),"█","")</f>
        <v/>
      </c>
      <c r="M177" s="30" t="str">
        <f>IF(AND(Q177&lt;&gt;"",R177&lt;&gt;"",DATE(2026,10,0)&gt;=Q177,DATE(2026,9,1)&lt;=R177),"█","")</f>
        <v/>
      </c>
      <c r="N177" s="30" t="str">
        <f>IF(AND(Q177&lt;&gt;"",R177&lt;&gt;"",DATE(2026,11,0)&gt;=Q177,DATE(2026,10,1)&lt;=R177),"█","")</f>
        <v/>
      </c>
      <c r="O177" s="30" t="str">
        <f>IF(AND(Q177&lt;&gt;"",R177&lt;&gt;"",DATE(2026,12,0)&gt;=Q177,DATE(2026,11,1)&lt;=R177),"█","")</f>
        <v/>
      </c>
      <c r="P177" s="30" t="str">
        <f>IF(AND(Q177&lt;&gt;"",R177&lt;&gt;"",DATE(2026,12,31)&gt;=Q177,DATE(2026,12,1)&lt;=R177),"█","")</f>
        <v/>
      </c>
      <c r="Q177" s="7" t="str">
        <f>IF('Release Calendar'!I177&lt;&gt;"",'Release Calendar'!I177,"")</f>
        <v/>
      </c>
      <c r="R177" s="7" t="str">
        <f>IF('Release Calendar'!J177&lt;&gt;"",'Release Calendar'!J177,"")</f>
        <v/>
      </c>
    </row>
    <row r="178" spans="1:18" ht="20.100000000000001" customHeight="1">
      <c r="A178" s="31">
        <v>174</v>
      </c>
      <c r="B178" s="32" t="str">
        <f>IF('Release Calendar'!B178&lt;&gt;"",'Release Calendar'!B178,"")</f>
        <v/>
      </c>
      <c r="C178" s="33" t="str">
        <f>IF('Release Calendar'!K178&lt;&gt;"",'Release Calendar'!K178,"")</f>
        <v/>
      </c>
      <c r="D178" s="33" t="str">
        <f>IF('Release Calendar'!M178&lt;&gt;"",'Release Calendar'!M178,"")</f>
        <v/>
      </c>
      <c r="E178" s="34" t="str">
        <f>IF(AND(Q178&lt;&gt;"",R178&lt;&gt;"",DATE(2026,2,0)&gt;=Q178,DATE(2026,1,1)&lt;=R178),"█","")</f>
        <v/>
      </c>
      <c r="F178" s="34" t="str">
        <f>IF(AND(Q178&lt;&gt;"",R178&lt;&gt;"",DATE(2026,3,0)&gt;=Q178,DATE(2026,2,1)&lt;=R178),"█","")</f>
        <v/>
      </c>
      <c r="G178" s="34" t="str">
        <f>IF(AND(Q178&lt;&gt;"",R178&lt;&gt;"",DATE(2026,4,0)&gt;=Q178,DATE(2026,3,1)&lt;=R178),"█","")</f>
        <v/>
      </c>
      <c r="H178" s="34" t="str">
        <f>IF(AND(Q178&lt;&gt;"",R178&lt;&gt;"",DATE(2026,5,0)&gt;=Q178,DATE(2026,4,1)&lt;=R178),"█","")</f>
        <v/>
      </c>
      <c r="I178" s="34" t="str">
        <f>IF(AND(Q178&lt;&gt;"",R178&lt;&gt;"",DATE(2026,6,0)&gt;=Q178,DATE(2026,5,1)&lt;=R178),"█","")</f>
        <v/>
      </c>
      <c r="J178" s="34" t="str">
        <f>IF(AND(Q178&lt;&gt;"",R178&lt;&gt;"",DATE(2026,7,0)&gt;=Q178,DATE(2026,6,1)&lt;=R178),"█","")</f>
        <v/>
      </c>
      <c r="K178" s="34" t="str">
        <f>IF(AND(Q178&lt;&gt;"",R178&lt;&gt;"",DATE(2026,8,0)&gt;=Q178,DATE(2026,7,1)&lt;=R178),"█","")</f>
        <v/>
      </c>
      <c r="L178" s="34" t="str">
        <f>IF(AND(Q178&lt;&gt;"",R178&lt;&gt;"",DATE(2026,9,0)&gt;=Q178,DATE(2026,8,1)&lt;=R178),"█","")</f>
        <v/>
      </c>
      <c r="M178" s="34" t="str">
        <f>IF(AND(Q178&lt;&gt;"",R178&lt;&gt;"",DATE(2026,10,0)&gt;=Q178,DATE(2026,9,1)&lt;=R178),"█","")</f>
        <v/>
      </c>
      <c r="N178" s="34" t="str">
        <f>IF(AND(Q178&lt;&gt;"",R178&lt;&gt;"",DATE(2026,11,0)&gt;=Q178,DATE(2026,10,1)&lt;=R178),"█","")</f>
        <v/>
      </c>
      <c r="O178" s="34" t="str">
        <f>IF(AND(Q178&lt;&gt;"",R178&lt;&gt;"",DATE(2026,12,0)&gt;=Q178,DATE(2026,11,1)&lt;=R178),"█","")</f>
        <v/>
      </c>
      <c r="P178" s="34" t="str">
        <f>IF(AND(Q178&lt;&gt;"",R178&lt;&gt;"",DATE(2026,12,31)&gt;=Q178,DATE(2026,12,1)&lt;=R178),"█","")</f>
        <v/>
      </c>
      <c r="Q178" s="7" t="str">
        <f>IF('Release Calendar'!I178&lt;&gt;"",'Release Calendar'!I178,"")</f>
        <v/>
      </c>
      <c r="R178" s="7" t="str">
        <f>IF('Release Calendar'!J178&lt;&gt;"",'Release Calendar'!J178,"")</f>
        <v/>
      </c>
    </row>
    <row r="179" spans="1:18" ht="20.100000000000001" customHeight="1">
      <c r="A179" s="14">
        <v>175</v>
      </c>
      <c r="B179" s="28" t="str">
        <f>IF('Release Calendar'!B179&lt;&gt;"",'Release Calendar'!B179,"")</f>
        <v/>
      </c>
      <c r="C179" s="29" t="str">
        <f>IF('Release Calendar'!K179&lt;&gt;"",'Release Calendar'!K179,"")</f>
        <v/>
      </c>
      <c r="D179" s="29" t="str">
        <f>IF('Release Calendar'!M179&lt;&gt;"",'Release Calendar'!M179,"")</f>
        <v/>
      </c>
      <c r="E179" s="30" t="str">
        <f>IF(AND(Q179&lt;&gt;"",R179&lt;&gt;"",DATE(2026,2,0)&gt;=Q179,DATE(2026,1,1)&lt;=R179),"█","")</f>
        <v/>
      </c>
      <c r="F179" s="30" t="str">
        <f>IF(AND(Q179&lt;&gt;"",R179&lt;&gt;"",DATE(2026,3,0)&gt;=Q179,DATE(2026,2,1)&lt;=R179),"█","")</f>
        <v/>
      </c>
      <c r="G179" s="30" t="str">
        <f>IF(AND(Q179&lt;&gt;"",R179&lt;&gt;"",DATE(2026,4,0)&gt;=Q179,DATE(2026,3,1)&lt;=R179),"█","")</f>
        <v/>
      </c>
      <c r="H179" s="30" t="str">
        <f>IF(AND(Q179&lt;&gt;"",R179&lt;&gt;"",DATE(2026,5,0)&gt;=Q179,DATE(2026,4,1)&lt;=R179),"█","")</f>
        <v/>
      </c>
      <c r="I179" s="30" t="str">
        <f>IF(AND(Q179&lt;&gt;"",R179&lt;&gt;"",DATE(2026,6,0)&gt;=Q179,DATE(2026,5,1)&lt;=R179),"█","")</f>
        <v/>
      </c>
      <c r="J179" s="30" t="str">
        <f>IF(AND(Q179&lt;&gt;"",R179&lt;&gt;"",DATE(2026,7,0)&gt;=Q179,DATE(2026,6,1)&lt;=R179),"█","")</f>
        <v/>
      </c>
      <c r="K179" s="30" t="str">
        <f>IF(AND(Q179&lt;&gt;"",R179&lt;&gt;"",DATE(2026,8,0)&gt;=Q179,DATE(2026,7,1)&lt;=R179),"█","")</f>
        <v/>
      </c>
      <c r="L179" s="30" t="str">
        <f>IF(AND(Q179&lt;&gt;"",R179&lt;&gt;"",DATE(2026,9,0)&gt;=Q179,DATE(2026,8,1)&lt;=R179),"█","")</f>
        <v/>
      </c>
      <c r="M179" s="30" t="str">
        <f>IF(AND(Q179&lt;&gt;"",R179&lt;&gt;"",DATE(2026,10,0)&gt;=Q179,DATE(2026,9,1)&lt;=R179),"█","")</f>
        <v/>
      </c>
      <c r="N179" s="30" t="str">
        <f>IF(AND(Q179&lt;&gt;"",R179&lt;&gt;"",DATE(2026,11,0)&gt;=Q179,DATE(2026,10,1)&lt;=R179),"█","")</f>
        <v/>
      </c>
      <c r="O179" s="30" t="str">
        <f>IF(AND(Q179&lt;&gt;"",R179&lt;&gt;"",DATE(2026,12,0)&gt;=Q179,DATE(2026,11,1)&lt;=R179),"█","")</f>
        <v/>
      </c>
      <c r="P179" s="30" t="str">
        <f>IF(AND(Q179&lt;&gt;"",R179&lt;&gt;"",DATE(2026,12,31)&gt;=Q179,DATE(2026,12,1)&lt;=R179),"█","")</f>
        <v/>
      </c>
      <c r="Q179" s="7" t="str">
        <f>IF('Release Calendar'!I179&lt;&gt;"",'Release Calendar'!I179,"")</f>
        <v/>
      </c>
      <c r="R179" s="7" t="str">
        <f>IF('Release Calendar'!J179&lt;&gt;"",'Release Calendar'!J179,"")</f>
        <v/>
      </c>
    </row>
    <row r="180" spans="1:18" ht="20.100000000000001" customHeight="1">
      <c r="A180" s="31">
        <v>176</v>
      </c>
      <c r="B180" s="32" t="str">
        <f>IF('Release Calendar'!B180&lt;&gt;"",'Release Calendar'!B180,"")</f>
        <v/>
      </c>
      <c r="C180" s="33" t="str">
        <f>IF('Release Calendar'!K180&lt;&gt;"",'Release Calendar'!K180,"")</f>
        <v/>
      </c>
      <c r="D180" s="33" t="str">
        <f>IF('Release Calendar'!M180&lt;&gt;"",'Release Calendar'!M180,"")</f>
        <v/>
      </c>
      <c r="E180" s="34" t="str">
        <f>IF(AND(Q180&lt;&gt;"",R180&lt;&gt;"",DATE(2026,2,0)&gt;=Q180,DATE(2026,1,1)&lt;=R180),"█","")</f>
        <v/>
      </c>
      <c r="F180" s="34" t="str">
        <f>IF(AND(Q180&lt;&gt;"",R180&lt;&gt;"",DATE(2026,3,0)&gt;=Q180,DATE(2026,2,1)&lt;=R180),"█","")</f>
        <v/>
      </c>
      <c r="G180" s="34" t="str">
        <f>IF(AND(Q180&lt;&gt;"",R180&lt;&gt;"",DATE(2026,4,0)&gt;=Q180,DATE(2026,3,1)&lt;=R180),"█","")</f>
        <v/>
      </c>
      <c r="H180" s="34" t="str">
        <f>IF(AND(Q180&lt;&gt;"",R180&lt;&gt;"",DATE(2026,5,0)&gt;=Q180,DATE(2026,4,1)&lt;=R180),"█","")</f>
        <v/>
      </c>
      <c r="I180" s="34" t="str">
        <f>IF(AND(Q180&lt;&gt;"",R180&lt;&gt;"",DATE(2026,6,0)&gt;=Q180,DATE(2026,5,1)&lt;=R180),"█","")</f>
        <v/>
      </c>
      <c r="J180" s="34" t="str">
        <f>IF(AND(Q180&lt;&gt;"",R180&lt;&gt;"",DATE(2026,7,0)&gt;=Q180,DATE(2026,6,1)&lt;=R180),"█","")</f>
        <v/>
      </c>
      <c r="K180" s="34" t="str">
        <f>IF(AND(Q180&lt;&gt;"",R180&lt;&gt;"",DATE(2026,8,0)&gt;=Q180,DATE(2026,7,1)&lt;=R180),"█","")</f>
        <v/>
      </c>
      <c r="L180" s="34" t="str">
        <f>IF(AND(Q180&lt;&gt;"",R180&lt;&gt;"",DATE(2026,9,0)&gt;=Q180,DATE(2026,8,1)&lt;=R180),"█","")</f>
        <v/>
      </c>
      <c r="M180" s="34" t="str">
        <f>IF(AND(Q180&lt;&gt;"",R180&lt;&gt;"",DATE(2026,10,0)&gt;=Q180,DATE(2026,9,1)&lt;=R180),"█","")</f>
        <v/>
      </c>
      <c r="N180" s="34" t="str">
        <f>IF(AND(Q180&lt;&gt;"",R180&lt;&gt;"",DATE(2026,11,0)&gt;=Q180,DATE(2026,10,1)&lt;=R180),"█","")</f>
        <v/>
      </c>
      <c r="O180" s="34" t="str">
        <f>IF(AND(Q180&lt;&gt;"",R180&lt;&gt;"",DATE(2026,12,0)&gt;=Q180,DATE(2026,11,1)&lt;=R180),"█","")</f>
        <v/>
      </c>
      <c r="P180" s="34" t="str">
        <f>IF(AND(Q180&lt;&gt;"",R180&lt;&gt;"",DATE(2026,12,31)&gt;=Q180,DATE(2026,12,1)&lt;=R180),"█","")</f>
        <v/>
      </c>
      <c r="Q180" s="7" t="str">
        <f>IF('Release Calendar'!I180&lt;&gt;"",'Release Calendar'!I180,"")</f>
        <v/>
      </c>
      <c r="R180" s="7" t="str">
        <f>IF('Release Calendar'!J180&lt;&gt;"",'Release Calendar'!J180,"")</f>
        <v/>
      </c>
    </row>
    <row r="181" spans="1:18" ht="20.100000000000001" customHeight="1">
      <c r="A181" s="14">
        <v>177</v>
      </c>
      <c r="B181" s="28" t="str">
        <f>IF('Release Calendar'!B181&lt;&gt;"",'Release Calendar'!B181,"")</f>
        <v/>
      </c>
      <c r="C181" s="29" t="str">
        <f>IF('Release Calendar'!K181&lt;&gt;"",'Release Calendar'!K181,"")</f>
        <v/>
      </c>
      <c r="D181" s="29" t="str">
        <f>IF('Release Calendar'!M181&lt;&gt;"",'Release Calendar'!M181,"")</f>
        <v/>
      </c>
      <c r="E181" s="30" t="str">
        <f>IF(AND(Q181&lt;&gt;"",R181&lt;&gt;"",DATE(2026,2,0)&gt;=Q181,DATE(2026,1,1)&lt;=R181),"█","")</f>
        <v/>
      </c>
      <c r="F181" s="30" t="str">
        <f>IF(AND(Q181&lt;&gt;"",R181&lt;&gt;"",DATE(2026,3,0)&gt;=Q181,DATE(2026,2,1)&lt;=R181),"█","")</f>
        <v/>
      </c>
      <c r="G181" s="30" t="str">
        <f>IF(AND(Q181&lt;&gt;"",R181&lt;&gt;"",DATE(2026,4,0)&gt;=Q181,DATE(2026,3,1)&lt;=R181),"█","")</f>
        <v/>
      </c>
      <c r="H181" s="30" t="str">
        <f>IF(AND(Q181&lt;&gt;"",R181&lt;&gt;"",DATE(2026,5,0)&gt;=Q181,DATE(2026,4,1)&lt;=R181),"█","")</f>
        <v/>
      </c>
      <c r="I181" s="30" t="str">
        <f>IF(AND(Q181&lt;&gt;"",R181&lt;&gt;"",DATE(2026,6,0)&gt;=Q181,DATE(2026,5,1)&lt;=R181),"█","")</f>
        <v/>
      </c>
      <c r="J181" s="30" t="str">
        <f>IF(AND(Q181&lt;&gt;"",R181&lt;&gt;"",DATE(2026,7,0)&gt;=Q181,DATE(2026,6,1)&lt;=R181),"█","")</f>
        <v/>
      </c>
      <c r="K181" s="30" t="str">
        <f>IF(AND(Q181&lt;&gt;"",R181&lt;&gt;"",DATE(2026,8,0)&gt;=Q181,DATE(2026,7,1)&lt;=R181),"█","")</f>
        <v/>
      </c>
      <c r="L181" s="30" t="str">
        <f>IF(AND(Q181&lt;&gt;"",R181&lt;&gt;"",DATE(2026,9,0)&gt;=Q181,DATE(2026,8,1)&lt;=R181),"█","")</f>
        <v/>
      </c>
      <c r="M181" s="30" t="str">
        <f>IF(AND(Q181&lt;&gt;"",R181&lt;&gt;"",DATE(2026,10,0)&gt;=Q181,DATE(2026,9,1)&lt;=R181),"█","")</f>
        <v/>
      </c>
      <c r="N181" s="30" t="str">
        <f>IF(AND(Q181&lt;&gt;"",R181&lt;&gt;"",DATE(2026,11,0)&gt;=Q181,DATE(2026,10,1)&lt;=R181),"█","")</f>
        <v/>
      </c>
      <c r="O181" s="30" t="str">
        <f>IF(AND(Q181&lt;&gt;"",R181&lt;&gt;"",DATE(2026,12,0)&gt;=Q181,DATE(2026,11,1)&lt;=R181),"█","")</f>
        <v/>
      </c>
      <c r="P181" s="30" t="str">
        <f>IF(AND(Q181&lt;&gt;"",R181&lt;&gt;"",DATE(2026,12,31)&gt;=Q181,DATE(2026,12,1)&lt;=R181),"█","")</f>
        <v/>
      </c>
      <c r="Q181" s="7" t="str">
        <f>IF('Release Calendar'!I181&lt;&gt;"",'Release Calendar'!I181,"")</f>
        <v/>
      </c>
      <c r="R181" s="7" t="str">
        <f>IF('Release Calendar'!J181&lt;&gt;"",'Release Calendar'!J181,"")</f>
        <v/>
      </c>
    </row>
    <row r="182" spans="1:18" ht="20.100000000000001" customHeight="1">
      <c r="A182" s="31">
        <v>178</v>
      </c>
      <c r="B182" s="32" t="str">
        <f>IF('Release Calendar'!B182&lt;&gt;"",'Release Calendar'!B182,"")</f>
        <v/>
      </c>
      <c r="C182" s="33" t="str">
        <f>IF('Release Calendar'!K182&lt;&gt;"",'Release Calendar'!K182,"")</f>
        <v/>
      </c>
      <c r="D182" s="33" t="str">
        <f>IF('Release Calendar'!M182&lt;&gt;"",'Release Calendar'!M182,"")</f>
        <v/>
      </c>
      <c r="E182" s="34" t="str">
        <f>IF(AND(Q182&lt;&gt;"",R182&lt;&gt;"",DATE(2026,2,0)&gt;=Q182,DATE(2026,1,1)&lt;=R182),"█","")</f>
        <v/>
      </c>
      <c r="F182" s="34" t="str">
        <f>IF(AND(Q182&lt;&gt;"",R182&lt;&gt;"",DATE(2026,3,0)&gt;=Q182,DATE(2026,2,1)&lt;=R182),"█","")</f>
        <v/>
      </c>
      <c r="G182" s="34" t="str">
        <f>IF(AND(Q182&lt;&gt;"",R182&lt;&gt;"",DATE(2026,4,0)&gt;=Q182,DATE(2026,3,1)&lt;=R182),"█","")</f>
        <v/>
      </c>
      <c r="H182" s="34" t="str">
        <f>IF(AND(Q182&lt;&gt;"",R182&lt;&gt;"",DATE(2026,5,0)&gt;=Q182,DATE(2026,4,1)&lt;=R182),"█","")</f>
        <v/>
      </c>
      <c r="I182" s="34" t="str">
        <f>IF(AND(Q182&lt;&gt;"",R182&lt;&gt;"",DATE(2026,6,0)&gt;=Q182,DATE(2026,5,1)&lt;=R182),"█","")</f>
        <v/>
      </c>
      <c r="J182" s="34" t="str">
        <f>IF(AND(Q182&lt;&gt;"",R182&lt;&gt;"",DATE(2026,7,0)&gt;=Q182,DATE(2026,6,1)&lt;=R182),"█","")</f>
        <v/>
      </c>
      <c r="K182" s="34" t="str">
        <f>IF(AND(Q182&lt;&gt;"",R182&lt;&gt;"",DATE(2026,8,0)&gt;=Q182,DATE(2026,7,1)&lt;=R182),"█","")</f>
        <v/>
      </c>
      <c r="L182" s="34" t="str">
        <f>IF(AND(Q182&lt;&gt;"",R182&lt;&gt;"",DATE(2026,9,0)&gt;=Q182,DATE(2026,8,1)&lt;=R182),"█","")</f>
        <v/>
      </c>
      <c r="M182" s="34" t="str">
        <f>IF(AND(Q182&lt;&gt;"",R182&lt;&gt;"",DATE(2026,10,0)&gt;=Q182,DATE(2026,9,1)&lt;=R182),"█","")</f>
        <v/>
      </c>
      <c r="N182" s="34" t="str">
        <f>IF(AND(Q182&lt;&gt;"",R182&lt;&gt;"",DATE(2026,11,0)&gt;=Q182,DATE(2026,10,1)&lt;=R182),"█","")</f>
        <v/>
      </c>
      <c r="O182" s="34" t="str">
        <f>IF(AND(Q182&lt;&gt;"",R182&lt;&gt;"",DATE(2026,12,0)&gt;=Q182,DATE(2026,11,1)&lt;=R182),"█","")</f>
        <v/>
      </c>
      <c r="P182" s="34" t="str">
        <f>IF(AND(Q182&lt;&gt;"",R182&lt;&gt;"",DATE(2026,12,31)&gt;=Q182,DATE(2026,12,1)&lt;=R182),"█","")</f>
        <v/>
      </c>
      <c r="Q182" s="7" t="str">
        <f>IF('Release Calendar'!I182&lt;&gt;"",'Release Calendar'!I182,"")</f>
        <v/>
      </c>
      <c r="R182" s="7" t="str">
        <f>IF('Release Calendar'!J182&lt;&gt;"",'Release Calendar'!J182,"")</f>
        <v/>
      </c>
    </row>
    <row r="183" spans="1:18" ht="20.100000000000001" customHeight="1">
      <c r="A183" s="14">
        <v>179</v>
      </c>
      <c r="B183" s="28" t="str">
        <f>IF('Release Calendar'!B183&lt;&gt;"",'Release Calendar'!B183,"")</f>
        <v/>
      </c>
      <c r="C183" s="29" t="str">
        <f>IF('Release Calendar'!K183&lt;&gt;"",'Release Calendar'!K183,"")</f>
        <v/>
      </c>
      <c r="D183" s="29" t="str">
        <f>IF('Release Calendar'!M183&lt;&gt;"",'Release Calendar'!M183,"")</f>
        <v/>
      </c>
      <c r="E183" s="30" t="str">
        <f>IF(AND(Q183&lt;&gt;"",R183&lt;&gt;"",DATE(2026,2,0)&gt;=Q183,DATE(2026,1,1)&lt;=R183),"█","")</f>
        <v/>
      </c>
      <c r="F183" s="30" t="str">
        <f>IF(AND(Q183&lt;&gt;"",R183&lt;&gt;"",DATE(2026,3,0)&gt;=Q183,DATE(2026,2,1)&lt;=R183),"█","")</f>
        <v/>
      </c>
      <c r="G183" s="30" t="str">
        <f>IF(AND(Q183&lt;&gt;"",R183&lt;&gt;"",DATE(2026,4,0)&gt;=Q183,DATE(2026,3,1)&lt;=R183),"█","")</f>
        <v/>
      </c>
      <c r="H183" s="30" t="str">
        <f>IF(AND(Q183&lt;&gt;"",R183&lt;&gt;"",DATE(2026,5,0)&gt;=Q183,DATE(2026,4,1)&lt;=R183),"█","")</f>
        <v/>
      </c>
      <c r="I183" s="30" t="str">
        <f>IF(AND(Q183&lt;&gt;"",R183&lt;&gt;"",DATE(2026,6,0)&gt;=Q183,DATE(2026,5,1)&lt;=R183),"█","")</f>
        <v/>
      </c>
      <c r="J183" s="30" t="str">
        <f>IF(AND(Q183&lt;&gt;"",R183&lt;&gt;"",DATE(2026,7,0)&gt;=Q183,DATE(2026,6,1)&lt;=R183),"█","")</f>
        <v/>
      </c>
      <c r="K183" s="30" t="str">
        <f>IF(AND(Q183&lt;&gt;"",R183&lt;&gt;"",DATE(2026,8,0)&gt;=Q183,DATE(2026,7,1)&lt;=R183),"█","")</f>
        <v/>
      </c>
      <c r="L183" s="30" t="str">
        <f>IF(AND(Q183&lt;&gt;"",R183&lt;&gt;"",DATE(2026,9,0)&gt;=Q183,DATE(2026,8,1)&lt;=R183),"█","")</f>
        <v/>
      </c>
      <c r="M183" s="30" t="str">
        <f>IF(AND(Q183&lt;&gt;"",R183&lt;&gt;"",DATE(2026,10,0)&gt;=Q183,DATE(2026,9,1)&lt;=R183),"█","")</f>
        <v/>
      </c>
      <c r="N183" s="30" t="str">
        <f>IF(AND(Q183&lt;&gt;"",R183&lt;&gt;"",DATE(2026,11,0)&gt;=Q183,DATE(2026,10,1)&lt;=R183),"█","")</f>
        <v/>
      </c>
      <c r="O183" s="30" t="str">
        <f>IF(AND(Q183&lt;&gt;"",R183&lt;&gt;"",DATE(2026,12,0)&gt;=Q183,DATE(2026,11,1)&lt;=R183),"█","")</f>
        <v/>
      </c>
      <c r="P183" s="30" t="str">
        <f>IF(AND(Q183&lt;&gt;"",R183&lt;&gt;"",DATE(2026,12,31)&gt;=Q183,DATE(2026,12,1)&lt;=R183),"█","")</f>
        <v/>
      </c>
      <c r="Q183" s="7" t="str">
        <f>IF('Release Calendar'!I183&lt;&gt;"",'Release Calendar'!I183,"")</f>
        <v/>
      </c>
      <c r="R183" s="7" t="str">
        <f>IF('Release Calendar'!J183&lt;&gt;"",'Release Calendar'!J183,"")</f>
        <v/>
      </c>
    </row>
    <row r="184" spans="1:18" ht="20.100000000000001" customHeight="1">
      <c r="A184" s="31">
        <v>180</v>
      </c>
      <c r="B184" s="32" t="str">
        <f>IF('Release Calendar'!B184&lt;&gt;"",'Release Calendar'!B184,"")</f>
        <v/>
      </c>
      <c r="C184" s="33" t="str">
        <f>IF('Release Calendar'!K184&lt;&gt;"",'Release Calendar'!K184,"")</f>
        <v/>
      </c>
      <c r="D184" s="33" t="str">
        <f>IF('Release Calendar'!M184&lt;&gt;"",'Release Calendar'!M184,"")</f>
        <v/>
      </c>
      <c r="E184" s="34" t="str">
        <f>IF(AND(Q184&lt;&gt;"",R184&lt;&gt;"",DATE(2026,2,0)&gt;=Q184,DATE(2026,1,1)&lt;=R184),"█","")</f>
        <v/>
      </c>
      <c r="F184" s="34" t="str">
        <f>IF(AND(Q184&lt;&gt;"",R184&lt;&gt;"",DATE(2026,3,0)&gt;=Q184,DATE(2026,2,1)&lt;=R184),"█","")</f>
        <v/>
      </c>
      <c r="G184" s="34" t="str">
        <f>IF(AND(Q184&lt;&gt;"",R184&lt;&gt;"",DATE(2026,4,0)&gt;=Q184,DATE(2026,3,1)&lt;=R184),"█","")</f>
        <v/>
      </c>
      <c r="H184" s="34" t="str">
        <f>IF(AND(Q184&lt;&gt;"",R184&lt;&gt;"",DATE(2026,5,0)&gt;=Q184,DATE(2026,4,1)&lt;=R184),"█","")</f>
        <v/>
      </c>
      <c r="I184" s="34" t="str">
        <f>IF(AND(Q184&lt;&gt;"",R184&lt;&gt;"",DATE(2026,6,0)&gt;=Q184,DATE(2026,5,1)&lt;=R184),"█","")</f>
        <v/>
      </c>
      <c r="J184" s="34" t="str">
        <f>IF(AND(Q184&lt;&gt;"",R184&lt;&gt;"",DATE(2026,7,0)&gt;=Q184,DATE(2026,6,1)&lt;=R184),"█","")</f>
        <v/>
      </c>
      <c r="K184" s="34" t="str">
        <f>IF(AND(Q184&lt;&gt;"",R184&lt;&gt;"",DATE(2026,8,0)&gt;=Q184,DATE(2026,7,1)&lt;=R184),"█","")</f>
        <v/>
      </c>
      <c r="L184" s="34" t="str">
        <f>IF(AND(Q184&lt;&gt;"",R184&lt;&gt;"",DATE(2026,9,0)&gt;=Q184,DATE(2026,8,1)&lt;=R184),"█","")</f>
        <v/>
      </c>
      <c r="M184" s="34" t="str">
        <f>IF(AND(Q184&lt;&gt;"",R184&lt;&gt;"",DATE(2026,10,0)&gt;=Q184,DATE(2026,9,1)&lt;=R184),"█","")</f>
        <v/>
      </c>
      <c r="N184" s="34" t="str">
        <f>IF(AND(Q184&lt;&gt;"",R184&lt;&gt;"",DATE(2026,11,0)&gt;=Q184,DATE(2026,10,1)&lt;=R184),"█","")</f>
        <v/>
      </c>
      <c r="O184" s="34" t="str">
        <f>IF(AND(Q184&lt;&gt;"",R184&lt;&gt;"",DATE(2026,12,0)&gt;=Q184,DATE(2026,11,1)&lt;=R184),"█","")</f>
        <v/>
      </c>
      <c r="P184" s="34" t="str">
        <f>IF(AND(Q184&lt;&gt;"",R184&lt;&gt;"",DATE(2026,12,31)&gt;=Q184,DATE(2026,12,1)&lt;=R184),"█","")</f>
        <v/>
      </c>
      <c r="Q184" s="7" t="str">
        <f>IF('Release Calendar'!I184&lt;&gt;"",'Release Calendar'!I184,"")</f>
        <v/>
      </c>
      <c r="R184" s="7" t="str">
        <f>IF('Release Calendar'!J184&lt;&gt;"",'Release Calendar'!J184,"")</f>
        <v/>
      </c>
    </row>
    <row r="185" spans="1:18" ht="20.100000000000001" customHeight="1">
      <c r="A185" s="14">
        <v>181</v>
      </c>
      <c r="B185" s="28" t="str">
        <f>IF('Release Calendar'!B185&lt;&gt;"",'Release Calendar'!B185,"")</f>
        <v/>
      </c>
      <c r="C185" s="29" t="str">
        <f>IF('Release Calendar'!K185&lt;&gt;"",'Release Calendar'!K185,"")</f>
        <v/>
      </c>
      <c r="D185" s="29" t="str">
        <f>IF('Release Calendar'!M185&lt;&gt;"",'Release Calendar'!M185,"")</f>
        <v/>
      </c>
      <c r="E185" s="30" t="str">
        <f>IF(AND(Q185&lt;&gt;"",R185&lt;&gt;"",DATE(2026,2,0)&gt;=Q185,DATE(2026,1,1)&lt;=R185),"█","")</f>
        <v/>
      </c>
      <c r="F185" s="30" t="str">
        <f>IF(AND(Q185&lt;&gt;"",R185&lt;&gt;"",DATE(2026,3,0)&gt;=Q185,DATE(2026,2,1)&lt;=R185),"█","")</f>
        <v/>
      </c>
      <c r="G185" s="30" t="str">
        <f>IF(AND(Q185&lt;&gt;"",R185&lt;&gt;"",DATE(2026,4,0)&gt;=Q185,DATE(2026,3,1)&lt;=R185),"█","")</f>
        <v/>
      </c>
      <c r="H185" s="30" t="str">
        <f>IF(AND(Q185&lt;&gt;"",R185&lt;&gt;"",DATE(2026,5,0)&gt;=Q185,DATE(2026,4,1)&lt;=R185),"█","")</f>
        <v/>
      </c>
      <c r="I185" s="30" t="str">
        <f>IF(AND(Q185&lt;&gt;"",R185&lt;&gt;"",DATE(2026,6,0)&gt;=Q185,DATE(2026,5,1)&lt;=R185),"█","")</f>
        <v/>
      </c>
      <c r="J185" s="30" t="str">
        <f>IF(AND(Q185&lt;&gt;"",R185&lt;&gt;"",DATE(2026,7,0)&gt;=Q185,DATE(2026,6,1)&lt;=R185),"█","")</f>
        <v/>
      </c>
      <c r="K185" s="30" t="str">
        <f>IF(AND(Q185&lt;&gt;"",R185&lt;&gt;"",DATE(2026,8,0)&gt;=Q185,DATE(2026,7,1)&lt;=R185),"█","")</f>
        <v/>
      </c>
      <c r="L185" s="30" t="str">
        <f>IF(AND(Q185&lt;&gt;"",R185&lt;&gt;"",DATE(2026,9,0)&gt;=Q185,DATE(2026,8,1)&lt;=R185),"█","")</f>
        <v/>
      </c>
      <c r="M185" s="30" t="str">
        <f>IF(AND(Q185&lt;&gt;"",R185&lt;&gt;"",DATE(2026,10,0)&gt;=Q185,DATE(2026,9,1)&lt;=R185),"█","")</f>
        <v/>
      </c>
      <c r="N185" s="30" t="str">
        <f>IF(AND(Q185&lt;&gt;"",R185&lt;&gt;"",DATE(2026,11,0)&gt;=Q185,DATE(2026,10,1)&lt;=R185),"█","")</f>
        <v/>
      </c>
      <c r="O185" s="30" t="str">
        <f>IF(AND(Q185&lt;&gt;"",R185&lt;&gt;"",DATE(2026,12,0)&gt;=Q185,DATE(2026,11,1)&lt;=R185),"█","")</f>
        <v/>
      </c>
      <c r="P185" s="30" t="str">
        <f>IF(AND(Q185&lt;&gt;"",R185&lt;&gt;"",DATE(2026,12,31)&gt;=Q185,DATE(2026,12,1)&lt;=R185),"█","")</f>
        <v/>
      </c>
      <c r="Q185" s="7" t="str">
        <f>IF('Release Calendar'!I185&lt;&gt;"",'Release Calendar'!I185,"")</f>
        <v/>
      </c>
      <c r="R185" s="7" t="str">
        <f>IF('Release Calendar'!J185&lt;&gt;"",'Release Calendar'!J185,"")</f>
        <v/>
      </c>
    </row>
    <row r="186" spans="1:18" ht="20.100000000000001" customHeight="1">
      <c r="A186" s="31">
        <v>182</v>
      </c>
      <c r="B186" s="32" t="str">
        <f>IF('Release Calendar'!B186&lt;&gt;"",'Release Calendar'!B186,"")</f>
        <v/>
      </c>
      <c r="C186" s="33" t="str">
        <f>IF('Release Calendar'!K186&lt;&gt;"",'Release Calendar'!K186,"")</f>
        <v/>
      </c>
      <c r="D186" s="33" t="str">
        <f>IF('Release Calendar'!M186&lt;&gt;"",'Release Calendar'!M186,"")</f>
        <v/>
      </c>
      <c r="E186" s="34" t="str">
        <f>IF(AND(Q186&lt;&gt;"",R186&lt;&gt;"",DATE(2026,2,0)&gt;=Q186,DATE(2026,1,1)&lt;=R186),"█","")</f>
        <v/>
      </c>
      <c r="F186" s="34" t="str">
        <f>IF(AND(Q186&lt;&gt;"",R186&lt;&gt;"",DATE(2026,3,0)&gt;=Q186,DATE(2026,2,1)&lt;=R186),"█","")</f>
        <v/>
      </c>
      <c r="G186" s="34" t="str">
        <f>IF(AND(Q186&lt;&gt;"",R186&lt;&gt;"",DATE(2026,4,0)&gt;=Q186,DATE(2026,3,1)&lt;=R186),"█","")</f>
        <v/>
      </c>
      <c r="H186" s="34" t="str">
        <f>IF(AND(Q186&lt;&gt;"",R186&lt;&gt;"",DATE(2026,5,0)&gt;=Q186,DATE(2026,4,1)&lt;=R186),"█","")</f>
        <v/>
      </c>
      <c r="I186" s="34" t="str">
        <f>IF(AND(Q186&lt;&gt;"",R186&lt;&gt;"",DATE(2026,6,0)&gt;=Q186,DATE(2026,5,1)&lt;=R186),"█","")</f>
        <v/>
      </c>
      <c r="J186" s="34" t="str">
        <f>IF(AND(Q186&lt;&gt;"",R186&lt;&gt;"",DATE(2026,7,0)&gt;=Q186,DATE(2026,6,1)&lt;=R186),"█","")</f>
        <v/>
      </c>
      <c r="K186" s="34" t="str">
        <f>IF(AND(Q186&lt;&gt;"",R186&lt;&gt;"",DATE(2026,8,0)&gt;=Q186,DATE(2026,7,1)&lt;=R186),"█","")</f>
        <v/>
      </c>
      <c r="L186" s="34" t="str">
        <f>IF(AND(Q186&lt;&gt;"",R186&lt;&gt;"",DATE(2026,9,0)&gt;=Q186,DATE(2026,8,1)&lt;=R186),"█","")</f>
        <v/>
      </c>
      <c r="M186" s="34" t="str">
        <f>IF(AND(Q186&lt;&gt;"",R186&lt;&gt;"",DATE(2026,10,0)&gt;=Q186,DATE(2026,9,1)&lt;=R186),"█","")</f>
        <v/>
      </c>
      <c r="N186" s="34" t="str">
        <f>IF(AND(Q186&lt;&gt;"",R186&lt;&gt;"",DATE(2026,11,0)&gt;=Q186,DATE(2026,10,1)&lt;=R186),"█","")</f>
        <v/>
      </c>
      <c r="O186" s="34" t="str">
        <f>IF(AND(Q186&lt;&gt;"",R186&lt;&gt;"",DATE(2026,12,0)&gt;=Q186,DATE(2026,11,1)&lt;=R186),"█","")</f>
        <v/>
      </c>
      <c r="P186" s="34" t="str">
        <f>IF(AND(Q186&lt;&gt;"",R186&lt;&gt;"",DATE(2026,12,31)&gt;=Q186,DATE(2026,12,1)&lt;=R186),"█","")</f>
        <v/>
      </c>
      <c r="Q186" s="7" t="str">
        <f>IF('Release Calendar'!I186&lt;&gt;"",'Release Calendar'!I186,"")</f>
        <v/>
      </c>
      <c r="R186" s="7" t="str">
        <f>IF('Release Calendar'!J186&lt;&gt;"",'Release Calendar'!J186,"")</f>
        <v/>
      </c>
    </row>
    <row r="187" spans="1:18" ht="20.100000000000001" customHeight="1">
      <c r="A187" s="14">
        <v>183</v>
      </c>
      <c r="B187" s="28" t="str">
        <f>IF('Release Calendar'!B187&lt;&gt;"",'Release Calendar'!B187,"")</f>
        <v/>
      </c>
      <c r="C187" s="29" t="str">
        <f>IF('Release Calendar'!K187&lt;&gt;"",'Release Calendar'!K187,"")</f>
        <v/>
      </c>
      <c r="D187" s="29" t="str">
        <f>IF('Release Calendar'!M187&lt;&gt;"",'Release Calendar'!M187,"")</f>
        <v/>
      </c>
      <c r="E187" s="30" t="str">
        <f>IF(AND(Q187&lt;&gt;"",R187&lt;&gt;"",DATE(2026,2,0)&gt;=Q187,DATE(2026,1,1)&lt;=R187),"█","")</f>
        <v/>
      </c>
      <c r="F187" s="30" t="str">
        <f>IF(AND(Q187&lt;&gt;"",R187&lt;&gt;"",DATE(2026,3,0)&gt;=Q187,DATE(2026,2,1)&lt;=R187),"█","")</f>
        <v/>
      </c>
      <c r="G187" s="30" t="str">
        <f>IF(AND(Q187&lt;&gt;"",R187&lt;&gt;"",DATE(2026,4,0)&gt;=Q187,DATE(2026,3,1)&lt;=R187),"█","")</f>
        <v/>
      </c>
      <c r="H187" s="30" t="str">
        <f>IF(AND(Q187&lt;&gt;"",R187&lt;&gt;"",DATE(2026,5,0)&gt;=Q187,DATE(2026,4,1)&lt;=R187),"█","")</f>
        <v/>
      </c>
      <c r="I187" s="30" t="str">
        <f>IF(AND(Q187&lt;&gt;"",R187&lt;&gt;"",DATE(2026,6,0)&gt;=Q187,DATE(2026,5,1)&lt;=R187),"█","")</f>
        <v/>
      </c>
      <c r="J187" s="30" t="str">
        <f>IF(AND(Q187&lt;&gt;"",R187&lt;&gt;"",DATE(2026,7,0)&gt;=Q187,DATE(2026,6,1)&lt;=R187),"█","")</f>
        <v/>
      </c>
      <c r="K187" s="30" t="str">
        <f>IF(AND(Q187&lt;&gt;"",R187&lt;&gt;"",DATE(2026,8,0)&gt;=Q187,DATE(2026,7,1)&lt;=R187),"█","")</f>
        <v/>
      </c>
      <c r="L187" s="30" t="str">
        <f>IF(AND(Q187&lt;&gt;"",R187&lt;&gt;"",DATE(2026,9,0)&gt;=Q187,DATE(2026,8,1)&lt;=R187),"█","")</f>
        <v/>
      </c>
      <c r="M187" s="30" t="str">
        <f>IF(AND(Q187&lt;&gt;"",R187&lt;&gt;"",DATE(2026,10,0)&gt;=Q187,DATE(2026,9,1)&lt;=R187),"█","")</f>
        <v/>
      </c>
      <c r="N187" s="30" t="str">
        <f>IF(AND(Q187&lt;&gt;"",R187&lt;&gt;"",DATE(2026,11,0)&gt;=Q187,DATE(2026,10,1)&lt;=R187),"█","")</f>
        <v/>
      </c>
      <c r="O187" s="30" t="str">
        <f>IF(AND(Q187&lt;&gt;"",R187&lt;&gt;"",DATE(2026,12,0)&gt;=Q187,DATE(2026,11,1)&lt;=R187),"█","")</f>
        <v/>
      </c>
      <c r="P187" s="30" t="str">
        <f>IF(AND(Q187&lt;&gt;"",R187&lt;&gt;"",DATE(2026,12,31)&gt;=Q187,DATE(2026,12,1)&lt;=R187),"█","")</f>
        <v/>
      </c>
      <c r="Q187" s="7" t="str">
        <f>IF('Release Calendar'!I187&lt;&gt;"",'Release Calendar'!I187,"")</f>
        <v/>
      </c>
      <c r="R187" s="7" t="str">
        <f>IF('Release Calendar'!J187&lt;&gt;"",'Release Calendar'!J187,"")</f>
        <v/>
      </c>
    </row>
    <row r="188" spans="1:18" ht="20.100000000000001" customHeight="1">
      <c r="A188" s="31">
        <v>184</v>
      </c>
      <c r="B188" s="32" t="str">
        <f>IF('Release Calendar'!B188&lt;&gt;"",'Release Calendar'!B188,"")</f>
        <v/>
      </c>
      <c r="C188" s="33" t="str">
        <f>IF('Release Calendar'!K188&lt;&gt;"",'Release Calendar'!K188,"")</f>
        <v/>
      </c>
      <c r="D188" s="33" t="str">
        <f>IF('Release Calendar'!M188&lt;&gt;"",'Release Calendar'!M188,"")</f>
        <v/>
      </c>
      <c r="E188" s="34" t="str">
        <f>IF(AND(Q188&lt;&gt;"",R188&lt;&gt;"",DATE(2026,2,0)&gt;=Q188,DATE(2026,1,1)&lt;=R188),"█","")</f>
        <v/>
      </c>
      <c r="F188" s="34" t="str">
        <f>IF(AND(Q188&lt;&gt;"",R188&lt;&gt;"",DATE(2026,3,0)&gt;=Q188,DATE(2026,2,1)&lt;=R188),"█","")</f>
        <v/>
      </c>
      <c r="G188" s="34" t="str">
        <f>IF(AND(Q188&lt;&gt;"",R188&lt;&gt;"",DATE(2026,4,0)&gt;=Q188,DATE(2026,3,1)&lt;=R188),"█","")</f>
        <v/>
      </c>
      <c r="H188" s="34" t="str">
        <f>IF(AND(Q188&lt;&gt;"",R188&lt;&gt;"",DATE(2026,5,0)&gt;=Q188,DATE(2026,4,1)&lt;=R188),"█","")</f>
        <v/>
      </c>
      <c r="I188" s="34" t="str">
        <f>IF(AND(Q188&lt;&gt;"",R188&lt;&gt;"",DATE(2026,6,0)&gt;=Q188,DATE(2026,5,1)&lt;=R188),"█","")</f>
        <v/>
      </c>
      <c r="J188" s="34" t="str">
        <f>IF(AND(Q188&lt;&gt;"",R188&lt;&gt;"",DATE(2026,7,0)&gt;=Q188,DATE(2026,6,1)&lt;=R188),"█","")</f>
        <v/>
      </c>
      <c r="K188" s="34" t="str">
        <f>IF(AND(Q188&lt;&gt;"",R188&lt;&gt;"",DATE(2026,8,0)&gt;=Q188,DATE(2026,7,1)&lt;=R188),"█","")</f>
        <v/>
      </c>
      <c r="L188" s="34" t="str">
        <f>IF(AND(Q188&lt;&gt;"",R188&lt;&gt;"",DATE(2026,9,0)&gt;=Q188,DATE(2026,8,1)&lt;=R188),"█","")</f>
        <v/>
      </c>
      <c r="M188" s="34" t="str">
        <f>IF(AND(Q188&lt;&gt;"",R188&lt;&gt;"",DATE(2026,10,0)&gt;=Q188,DATE(2026,9,1)&lt;=R188),"█","")</f>
        <v/>
      </c>
      <c r="N188" s="34" t="str">
        <f>IF(AND(Q188&lt;&gt;"",R188&lt;&gt;"",DATE(2026,11,0)&gt;=Q188,DATE(2026,10,1)&lt;=R188),"█","")</f>
        <v/>
      </c>
      <c r="O188" s="34" t="str">
        <f>IF(AND(Q188&lt;&gt;"",R188&lt;&gt;"",DATE(2026,12,0)&gt;=Q188,DATE(2026,11,1)&lt;=R188),"█","")</f>
        <v/>
      </c>
      <c r="P188" s="34" t="str">
        <f>IF(AND(Q188&lt;&gt;"",R188&lt;&gt;"",DATE(2026,12,31)&gt;=Q188,DATE(2026,12,1)&lt;=R188),"█","")</f>
        <v/>
      </c>
      <c r="Q188" s="7" t="str">
        <f>IF('Release Calendar'!I188&lt;&gt;"",'Release Calendar'!I188,"")</f>
        <v/>
      </c>
      <c r="R188" s="7" t="str">
        <f>IF('Release Calendar'!J188&lt;&gt;"",'Release Calendar'!J188,"")</f>
        <v/>
      </c>
    </row>
    <row r="189" spans="1:18" ht="20.100000000000001" customHeight="1">
      <c r="A189" s="14">
        <v>185</v>
      </c>
      <c r="B189" s="28" t="str">
        <f>IF('Release Calendar'!B189&lt;&gt;"",'Release Calendar'!B189,"")</f>
        <v/>
      </c>
      <c r="C189" s="29" t="str">
        <f>IF('Release Calendar'!K189&lt;&gt;"",'Release Calendar'!K189,"")</f>
        <v/>
      </c>
      <c r="D189" s="29" t="str">
        <f>IF('Release Calendar'!M189&lt;&gt;"",'Release Calendar'!M189,"")</f>
        <v/>
      </c>
      <c r="E189" s="30" t="str">
        <f>IF(AND(Q189&lt;&gt;"",R189&lt;&gt;"",DATE(2026,2,0)&gt;=Q189,DATE(2026,1,1)&lt;=R189),"█","")</f>
        <v/>
      </c>
      <c r="F189" s="30" t="str">
        <f>IF(AND(Q189&lt;&gt;"",R189&lt;&gt;"",DATE(2026,3,0)&gt;=Q189,DATE(2026,2,1)&lt;=R189),"█","")</f>
        <v/>
      </c>
      <c r="G189" s="30" t="str">
        <f>IF(AND(Q189&lt;&gt;"",R189&lt;&gt;"",DATE(2026,4,0)&gt;=Q189,DATE(2026,3,1)&lt;=R189),"█","")</f>
        <v/>
      </c>
      <c r="H189" s="30" t="str">
        <f>IF(AND(Q189&lt;&gt;"",R189&lt;&gt;"",DATE(2026,5,0)&gt;=Q189,DATE(2026,4,1)&lt;=R189),"█","")</f>
        <v/>
      </c>
      <c r="I189" s="30" t="str">
        <f>IF(AND(Q189&lt;&gt;"",R189&lt;&gt;"",DATE(2026,6,0)&gt;=Q189,DATE(2026,5,1)&lt;=R189),"█","")</f>
        <v/>
      </c>
      <c r="J189" s="30" t="str">
        <f>IF(AND(Q189&lt;&gt;"",R189&lt;&gt;"",DATE(2026,7,0)&gt;=Q189,DATE(2026,6,1)&lt;=R189),"█","")</f>
        <v/>
      </c>
      <c r="K189" s="30" t="str">
        <f>IF(AND(Q189&lt;&gt;"",R189&lt;&gt;"",DATE(2026,8,0)&gt;=Q189,DATE(2026,7,1)&lt;=R189),"█","")</f>
        <v/>
      </c>
      <c r="L189" s="30" t="str">
        <f>IF(AND(Q189&lt;&gt;"",R189&lt;&gt;"",DATE(2026,9,0)&gt;=Q189,DATE(2026,8,1)&lt;=R189),"█","")</f>
        <v/>
      </c>
      <c r="M189" s="30" t="str">
        <f>IF(AND(Q189&lt;&gt;"",R189&lt;&gt;"",DATE(2026,10,0)&gt;=Q189,DATE(2026,9,1)&lt;=R189),"█","")</f>
        <v/>
      </c>
      <c r="N189" s="30" t="str">
        <f>IF(AND(Q189&lt;&gt;"",R189&lt;&gt;"",DATE(2026,11,0)&gt;=Q189,DATE(2026,10,1)&lt;=R189),"█","")</f>
        <v/>
      </c>
      <c r="O189" s="30" t="str">
        <f>IF(AND(Q189&lt;&gt;"",R189&lt;&gt;"",DATE(2026,12,0)&gt;=Q189,DATE(2026,11,1)&lt;=R189),"█","")</f>
        <v/>
      </c>
      <c r="P189" s="30" t="str">
        <f>IF(AND(Q189&lt;&gt;"",R189&lt;&gt;"",DATE(2026,12,31)&gt;=Q189,DATE(2026,12,1)&lt;=R189),"█","")</f>
        <v/>
      </c>
      <c r="Q189" s="7" t="str">
        <f>IF('Release Calendar'!I189&lt;&gt;"",'Release Calendar'!I189,"")</f>
        <v/>
      </c>
      <c r="R189" s="7" t="str">
        <f>IF('Release Calendar'!J189&lt;&gt;"",'Release Calendar'!J189,"")</f>
        <v/>
      </c>
    </row>
    <row r="190" spans="1:18" ht="20.100000000000001" customHeight="1">
      <c r="A190" s="31">
        <v>186</v>
      </c>
      <c r="B190" s="32" t="str">
        <f>IF('Release Calendar'!B190&lt;&gt;"",'Release Calendar'!B190,"")</f>
        <v/>
      </c>
      <c r="C190" s="33" t="str">
        <f>IF('Release Calendar'!K190&lt;&gt;"",'Release Calendar'!K190,"")</f>
        <v/>
      </c>
      <c r="D190" s="33" t="str">
        <f>IF('Release Calendar'!M190&lt;&gt;"",'Release Calendar'!M190,"")</f>
        <v/>
      </c>
      <c r="E190" s="34" t="str">
        <f>IF(AND(Q190&lt;&gt;"",R190&lt;&gt;"",DATE(2026,2,0)&gt;=Q190,DATE(2026,1,1)&lt;=R190),"█","")</f>
        <v/>
      </c>
      <c r="F190" s="34" t="str">
        <f>IF(AND(Q190&lt;&gt;"",R190&lt;&gt;"",DATE(2026,3,0)&gt;=Q190,DATE(2026,2,1)&lt;=R190),"█","")</f>
        <v/>
      </c>
      <c r="G190" s="34" t="str">
        <f>IF(AND(Q190&lt;&gt;"",R190&lt;&gt;"",DATE(2026,4,0)&gt;=Q190,DATE(2026,3,1)&lt;=R190),"█","")</f>
        <v/>
      </c>
      <c r="H190" s="34" t="str">
        <f>IF(AND(Q190&lt;&gt;"",R190&lt;&gt;"",DATE(2026,5,0)&gt;=Q190,DATE(2026,4,1)&lt;=R190),"█","")</f>
        <v/>
      </c>
      <c r="I190" s="34" t="str">
        <f>IF(AND(Q190&lt;&gt;"",R190&lt;&gt;"",DATE(2026,6,0)&gt;=Q190,DATE(2026,5,1)&lt;=R190),"█","")</f>
        <v/>
      </c>
      <c r="J190" s="34" t="str">
        <f>IF(AND(Q190&lt;&gt;"",R190&lt;&gt;"",DATE(2026,7,0)&gt;=Q190,DATE(2026,6,1)&lt;=R190),"█","")</f>
        <v/>
      </c>
      <c r="K190" s="34" t="str">
        <f>IF(AND(Q190&lt;&gt;"",R190&lt;&gt;"",DATE(2026,8,0)&gt;=Q190,DATE(2026,7,1)&lt;=R190),"█","")</f>
        <v/>
      </c>
      <c r="L190" s="34" t="str">
        <f>IF(AND(Q190&lt;&gt;"",R190&lt;&gt;"",DATE(2026,9,0)&gt;=Q190,DATE(2026,8,1)&lt;=R190),"█","")</f>
        <v/>
      </c>
      <c r="M190" s="34" t="str">
        <f>IF(AND(Q190&lt;&gt;"",R190&lt;&gt;"",DATE(2026,10,0)&gt;=Q190,DATE(2026,9,1)&lt;=R190),"█","")</f>
        <v/>
      </c>
      <c r="N190" s="34" t="str">
        <f>IF(AND(Q190&lt;&gt;"",R190&lt;&gt;"",DATE(2026,11,0)&gt;=Q190,DATE(2026,10,1)&lt;=R190),"█","")</f>
        <v/>
      </c>
      <c r="O190" s="34" t="str">
        <f>IF(AND(Q190&lt;&gt;"",R190&lt;&gt;"",DATE(2026,12,0)&gt;=Q190,DATE(2026,11,1)&lt;=R190),"█","")</f>
        <v/>
      </c>
      <c r="P190" s="34" t="str">
        <f>IF(AND(Q190&lt;&gt;"",R190&lt;&gt;"",DATE(2026,12,31)&gt;=Q190,DATE(2026,12,1)&lt;=R190),"█","")</f>
        <v/>
      </c>
      <c r="Q190" s="7" t="str">
        <f>IF('Release Calendar'!I190&lt;&gt;"",'Release Calendar'!I190,"")</f>
        <v/>
      </c>
      <c r="R190" s="7" t="str">
        <f>IF('Release Calendar'!J190&lt;&gt;"",'Release Calendar'!J190,"")</f>
        <v/>
      </c>
    </row>
    <row r="191" spans="1:18" ht="20.100000000000001" customHeight="1">
      <c r="A191" s="14">
        <v>187</v>
      </c>
      <c r="B191" s="28" t="str">
        <f>IF('Release Calendar'!B191&lt;&gt;"",'Release Calendar'!B191,"")</f>
        <v/>
      </c>
      <c r="C191" s="29" t="str">
        <f>IF('Release Calendar'!K191&lt;&gt;"",'Release Calendar'!K191,"")</f>
        <v/>
      </c>
      <c r="D191" s="29" t="str">
        <f>IF('Release Calendar'!M191&lt;&gt;"",'Release Calendar'!M191,"")</f>
        <v/>
      </c>
      <c r="E191" s="30" t="str">
        <f>IF(AND(Q191&lt;&gt;"",R191&lt;&gt;"",DATE(2026,2,0)&gt;=Q191,DATE(2026,1,1)&lt;=R191),"█","")</f>
        <v/>
      </c>
      <c r="F191" s="30" t="str">
        <f>IF(AND(Q191&lt;&gt;"",R191&lt;&gt;"",DATE(2026,3,0)&gt;=Q191,DATE(2026,2,1)&lt;=R191),"█","")</f>
        <v/>
      </c>
      <c r="G191" s="30" t="str">
        <f>IF(AND(Q191&lt;&gt;"",R191&lt;&gt;"",DATE(2026,4,0)&gt;=Q191,DATE(2026,3,1)&lt;=R191),"█","")</f>
        <v/>
      </c>
      <c r="H191" s="30" t="str">
        <f>IF(AND(Q191&lt;&gt;"",R191&lt;&gt;"",DATE(2026,5,0)&gt;=Q191,DATE(2026,4,1)&lt;=R191),"█","")</f>
        <v/>
      </c>
      <c r="I191" s="30" t="str">
        <f>IF(AND(Q191&lt;&gt;"",R191&lt;&gt;"",DATE(2026,6,0)&gt;=Q191,DATE(2026,5,1)&lt;=R191),"█","")</f>
        <v/>
      </c>
      <c r="J191" s="30" t="str">
        <f>IF(AND(Q191&lt;&gt;"",R191&lt;&gt;"",DATE(2026,7,0)&gt;=Q191,DATE(2026,6,1)&lt;=R191),"█","")</f>
        <v/>
      </c>
      <c r="K191" s="30" t="str">
        <f>IF(AND(Q191&lt;&gt;"",R191&lt;&gt;"",DATE(2026,8,0)&gt;=Q191,DATE(2026,7,1)&lt;=R191),"█","")</f>
        <v/>
      </c>
      <c r="L191" s="30" t="str">
        <f>IF(AND(Q191&lt;&gt;"",R191&lt;&gt;"",DATE(2026,9,0)&gt;=Q191,DATE(2026,8,1)&lt;=R191),"█","")</f>
        <v/>
      </c>
      <c r="M191" s="30" t="str">
        <f>IF(AND(Q191&lt;&gt;"",R191&lt;&gt;"",DATE(2026,10,0)&gt;=Q191,DATE(2026,9,1)&lt;=R191),"█","")</f>
        <v/>
      </c>
      <c r="N191" s="30" t="str">
        <f>IF(AND(Q191&lt;&gt;"",R191&lt;&gt;"",DATE(2026,11,0)&gt;=Q191,DATE(2026,10,1)&lt;=R191),"█","")</f>
        <v/>
      </c>
      <c r="O191" s="30" t="str">
        <f>IF(AND(Q191&lt;&gt;"",R191&lt;&gt;"",DATE(2026,12,0)&gt;=Q191,DATE(2026,11,1)&lt;=R191),"█","")</f>
        <v/>
      </c>
      <c r="P191" s="30" t="str">
        <f>IF(AND(Q191&lt;&gt;"",R191&lt;&gt;"",DATE(2026,12,31)&gt;=Q191,DATE(2026,12,1)&lt;=R191),"█","")</f>
        <v/>
      </c>
      <c r="Q191" s="7" t="str">
        <f>IF('Release Calendar'!I191&lt;&gt;"",'Release Calendar'!I191,"")</f>
        <v/>
      </c>
      <c r="R191" s="7" t="str">
        <f>IF('Release Calendar'!J191&lt;&gt;"",'Release Calendar'!J191,"")</f>
        <v/>
      </c>
    </row>
    <row r="192" spans="1:18" ht="20.100000000000001" customHeight="1">
      <c r="A192" s="31">
        <v>188</v>
      </c>
      <c r="B192" s="32" t="str">
        <f>IF('Release Calendar'!B192&lt;&gt;"",'Release Calendar'!B192,"")</f>
        <v/>
      </c>
      <c r="C192" s="33" t="str">
        <f>IF('Release Calendar'!K192&lt;&gt;"",'Release Calendar'!K192,"")</f>
        <v/>
      </c>
      <c r="D192" s="33" t="str">
        <f>IF('Release Calendar'!M192&lt;&gt;"",'Release Calendar'!M192,"")</f>
        <v/>
      </c>
      <c r="E192" s="34" t="str">
        <f>IF(AND(Q192&lt;&gt;"",R192&lt;&gt;"",DATE(2026,2,0)&gt;=Q192,DATE(2026,1,1)&lt;=R192),"█","")</f>
        <v/>
      </c>
      <c r="F192" s="34" t="str">
        <f>IF(AND(Q192&lt;&gt;"",R192&lt;&gt;"",DATE(2026,3,0)&gt;=Q192,DATE(2026,2,1)&lt;=R192),"█","")</f>
        <v/>
      </c>
      <c r="G192" s="34" t="str">
        <f>IF(AND(Q192&lt;&gt;"",R192&lt;&gt;"",DATE(2026,4,0)&gt;=Q192,DATE(2026,3,1)&lt;=R192),"█","")</f>
        <v/>
      </c>
      <c r="H192" s="34" t="str">
        <f>IF(AND(Q192&lt;&gt;"",R192&lt;&gt;"",DATE(2026,5,0)&gt;=Q192,DATE(2026,4,1)&lt;=R192),"█","")</f>
        <v/>
      </c>
      <c r="I192" s="34" t="str">
        <f>IF(AND(Q192&lt;&gt;"",R192&lt;&gt;"",DATE(2026,6,0)&gt;=Q192,DATE(2026,5,1)&lt;=R192),"█","")</f>
        <v/>
      </c>
      <c r="J192" s="34" t="str">
        <f>IF(AND(Q192&lt;&gt;"",R192&lt;&gt;"",DATE(2026,7,0)&gt;=Q192,DATE(2026,6,1)&lt;=R192),"█","")</f>
        <v/>
      </c>
      <c r="K192" s="34" t="str">
        <f>IF(AND(Q192&lt;&gt;"",R192&lt;&gt;"",DATE(2026,8,0)&gt;=Q192,DATE(2026,7,1)&lt;=R192),"█","")</f>
        <v/>
      </c>
      <c r="L192" s="34" t="str">
        <f>IF(AND(Q192&lt;&gt;"",R192&lt;&gt;"",DATE(2026,9,0)&gt;=Q192,DATE(2026,8,1)&lt;=R192),"█","")</f>
        <v/>
      </c>
      <c r="M192" s="34" t="str">
        <f>IF(AND(Q192&lt;&gt;"",R192&lt;&gt;"",DATE(2026,10,0)&gt;=Q192,DATE(2026,9,1)&lt;=R192),"█","")</f>
        <v/>
      </c>
      <c r="N192" s="34" t="str">
        <f>IF(AND(Q192&lt;&gt;"",R192&lt;&gt;"",DATE(2026,11,0)&gt;=Q192,DATE(2026,10,1)&lt;=R192),"█","")</f>
        <v/>
      </c>
      <c r="O192" s="34" t="str">
        <f>IF(AND(Q192&lt;&gt;"",R192&lt;&gt;"",DATE(2026,12,0)&gt;=Q192,DATE(2026,11,1)&lt;=R192),"█","")</f>
        <v/>
      </c>
      <c r="P192" s="34" t="str">
        <f>IF(AND(Q192&lt;&gt;"",R192&lt;&gt;"",DATE(2026,12,31)&gt;=Q192,DATE(2026,12,1)&lt;=R192),"█","")</f>
        <v/>
      </c>
      <c r="Q192" s="7" t="str">
        <f>IF('Release Calendar'!I192&lt;&gt;"",'Release Calendar'!I192,"")</f>
        <v/>
      </c>
      <c r="R192" s="7" t="str">
        <f>IF('Release Calendar'!J192&lt;&gt;"",'Release Calendar'!J192,"")</f>
        <v/>
      </c>
    </row>
    <row r="193" spans="1:18" ht="20.100000000000001" customHeight="1">
      <c r="A193" s="14">
        <v>189</v>
      </c>
      <c r="B193" s="28" t="str">
        <f>IF('Release Calendar'!B193&lt;&gt;"",'Release Calendar'!B193,"")</f>
        <v/>
      </c>
      <c r="C193" s="29" t="str">
        <f>IF('Release Calendar'!K193&lt;&gt;"",'Release Calendar'!K193,"")</f>
        <v/>
      </c>
      <c r="D193" s="29" t="str">
        <f>IF('Release Calendar'!M193&lt;&gt;"",'Release Calendar'!M193,"")</f>
        <v/>
      </c>
      <c r="E193" s="30" t="str">
        <f>IF(AND(Q193&lt;&gt;"",R193&lt;&gt;"",DATE(2026,2,0)&gt;=Q193,DATE(2026,1,1)&lt;=R193),"█","")</f>
        <v/>
      </c>
      <c r="F193" s="30" t="str">
        <f>IF(AND(Q193&lt;&gt;"",R193&lt;&gt;"",DATE(2026,3,0)&gt;=Q193,DATE(2026,2,1)&lt;=R193),"█","")</f>
        <v/>
      </c>
      <c r="G193" s="30" t="str">
        <f>IF(AND(Q193&lt;&gt;"",R193&lt;&gt;"",DATE(2026,4,0)&gt;=Q193,DATE(2026,3,1)&lt;=R193),"█","")</f>
        <v/>
      </c>
      <c r="H193" s="30" t="str">
        <f>IF(AND(Q193&lt;&gt;"",R193&lt;&gt;"",DATE(2026,5,0)&gt;=Q193,DATE(2026,4,1)&lt;=R193),"█","")</f>
        <v/>
      </c>
      <c r="I193" s="30" t="str">
        <f>IF(AND(Q193&lt;&gt;"",R193&lt;&gt;"",DATE(2026,6,0)&gt;=Q193,DATE(2026,5,1)&lt;=R193),"█","")</f>
        <v/>
      </c>
      <c r="J193" s="30" t="str">
        <f>IF(AND(Q193&lt;&gt;"",R193&lt;&gt;"",DATE(2026,7,0)&gt;=Q193,DATE(2026,6,1)&lt;=R193),"█","")</f>
        <v/>
      </c>
      <c r="K193" s="30" t="str">
        <f>IF(AND(Q193&lt;&gt;"",R193&lt;&gt;"",DATE(2026,8,0)&gt;=Q193,DATE(2026,7,1)&lt;=R193),"█","")</f>
        <v/>
      </c>
      <c r="L193" s="30" t="str">
        <f>IF(AND(Q193&lt;&gt;"",R193&lt;&gt;"",DATE(2026,9,0)&gt;=Q193,DATE(2026,8,1)&lt;=R193),"█","")</f>
        <v/>
      </c>
      <c r="M193" s="30" t="str">
        <f>IF(AND(Q193&lt;&gt;"",R193&lt;&gt;"",DATE(2026,10,0)&gt;=Q193,DATE(2026,9,1)&lt;=R193),"█","")</f>
        <v/>
      </c>
      <c r="N193" s="30" t="str">
        <f>IF(AND(Q193&lt;&gt;"",R193&lt;&gt;"",DATE(2026,11,0)&gt;=Q193,DATE(2026,10,1)&lt;=R193),"█","")</f>
        <v/>
      </c>
      <c r="O193" s="30" t="str">
        <f>IF(AND(Q193&lt;&gt;"",R193&lt;&gt;"",DATE(2026,12,0)&gt;=Q193,DATE(2026,11,1)&lt;=R193),"█","")</f>
        <v/>
      </c>
      <c r="P193" s="30" t="str">
        <f>IF(AND(Q193&lt;&gt;"",R193&lt;&gt;"",DATE(2026,12,31)&gt;=Q193,DATE(2026,12,1)&lt;=R193),"█","")</f>
        <v/>
      </c>
      <c r="Q193" s="7" t="str">
        <f>IF('Release Calendar'!I193&lt;&gt;"",'Release Calendar'!I193,"")</f>
        <v/>
      </c>
      <c r="R193" s="7" t="str">
        <f>IF('Release Calendar'!J193&lt;&gt;"",'Release Calendar'!J193,"")</f>
        <v/>
      </c>
    </row>
    <row r="194" spans="1:18" ht="20.100000000000001" customHeight="1">
      <c r="A194" s="31">
        <v>190</v>
      </c>
      <c r="B194" s="32" t="str">
        <f>IF('Release Calendar'!B194&lt;&gt;"",'Release Calendar'!B194,"")</f>
        <v/>
      </c>
      <c r="C194" s="33" t="str">
        <f>IF('Release Calendar'!K194&lt;&gt;"",'Release Calendar'!K194,"")</f>
        <v/>
      </c>
      <c r="D194" s="33" t="str">
        <f>IF('Release Calendar'!M194&lt;&gt;"",'Release Calendar'!M194,"")</f>
        <v/>
      </c>
      <c r="E194" s="34" t="str">
        <f>IF(AND(Q194&lt;&gt;"",R194&lt;&gt;"",DATE(2026,2,0)&gt;=Q194,DATE(2026,1,1)&lt;=R194),"█","")</f>
        <v/>
      </c>
      <c r="F194" s="34" t="str">
        <f>IF(AND(Q194&lt;&gt;"",R194&lt;&gt;"",DATE(2026,3,0)&gt;=Q194,DATE(2026,2,1)&lt;=R194),"█","")</f>
        <v/>
      </c>
      <c r="G194" s="34" t="str">
        <f>IF(AND(Q194&lt;&gt;"",R194&lt;&gt;"",DATE(2026,4,0)&gt;=Q194,DATE(2026,3,1)&lt;=R194),"█","")</f>
        <v/>
      </c>
      <c r="H194" s="34" t="str">
        <f>IF(AND(Q194&lt;&gt;"",R194&lt;&gt;"",DATE(2026,5,0)&gt;=Q194,DATE(2026,4,1)&lt;=R194),"█","")</f>
        <v/>
      </c>
      <c r="I194" s="34" t="str">
        <f>IF(AND(Q194&lt;&gt;"",R194&lt;&gt;"",DATE(2026,6,0)&gt;=Q194,DATE(2026,5,1)&lt;=R194),"█","")</f>
        <v/>
      </c>
      <c r="J194" s="34" t="str">
        <f>IF(AND(Q194&lt;&gt;"",R194&lt;&gt;"",DATE(2026,7,0)&gt;=Q194,DATE(2026,6,1)&lt;=R194),"█","")</f>
        <v/>
      </c>
      <c r="K194" s="34" t="str">
        <f>IF(AND(Q194&lt;&gt;"",R194&lt;&gt;"",DATE(2026,8,0)&gt;=Q194,DATE(2026,7,1)&lt;=R194),"█","")</f>
        <v/>
      </c>
      <c r="L194" s="34" t="str">
        <f>IF(AND(Q194&lt;&gt;"",R194&lt;&gt;"",DATE(2026,9,0)&gt;=Q194,DATE(2026,8,1)&lt;=R194),"█","")</f>
        <v/>
      </c>
      <c r="M194" s="34" t="str">
        <f>IF(AND(Q194&lt;&gt;"",R194&lt;&gt;"",DATE(2026,10,0)&gt;=Q194,DATE(2026,9,1)&lt;=R194),"█","")</f>
        <v/>
      </c>
      <c r="N194" s="34" t="str">
        <f>IF(AND(Q194&lt;&gt;"",R194&lt;&gt;"",DATE(2026,11,0)&gt;=Q194,DATE(2026,10,1)&lt;=R194),"█","")</f>
        <v/>
      </c>
      <c r="O194" s="34" t="str">
        <f>IF(AND(Q194&lt;&gt;"",R194&lt;&gt;"",DATE(2026,12,0)&gt;=Q194,DATE(2026,11,1)&lt;=R194),"█","")</f>
        <v/>
      </c>
      <c r="P194" s="34" t="str">
        <f>IF(AND(Q194&lt;&gt;"",R194&lt;&gt;"",DATE(2026,12,31)&gt;=Q194,DATE(2026,12,1)&lt;=R194),"█","")</f>
        <v/>
      </c>
      <c r="Q194" s="7" t="str">
        <f>IF('Release Calendar'!I194&lt;&gt;"",'Release Calendar'!I194,"")</f>
        <v/>
      </c>
      <c r="R194" s="7" t="str">
        <f>IF('Release Calendar'!J194&lt;&gt;"",'Release Calendar'!J194,"")</f>
        <v/>
      </c>
    </row>
    <row r="195" spans="1:18" ht="20.100000000000001" customHeight="1">
      <c r="A195" s="14">
        <v>191</v>
      </c>
      <c r="B195" s="28" t="str">
        <f>IF('Release Calendar'!B195&lt;&gt;"",'Release Calendar'!B195,"")</f>
        <v/>
      </c>
      <c r="C195" s="29" t="str">
        <f>IF('Release Calendar'!K195&lt;&gt;"",'Release Calendar'!K195,"")</f>
        <v/>
      </c>
      <c r="D195" s="29" t="str">
        <f>IF('Release Calendar'!M195&lt;&gt;"",'Release Calendar'!M195,"")</f>
        <v/>
      </c>
      <c r="E195" s="30" t="str">
        <f>IF(AND(Q195&lt;&gt;"",R195&lt;&gt;"",DATE(2026,2,0)&gt;=Q195,DATE(2026,1,1)&lt;=R195),"█","")</f>
        <v/>
      </c>
      <c r="F195" s="30" t="str">
        <f>IF(AND(Q195&lt;&gt;"",R195&lt;&gt;"",DATE(2026,3,0)&gt;=Q195,DATE(2026,2,1)&lt;=R195),"█","")</f>
        <v/>
      </c>
      <c r="G195" s="30" t="str">
        <f>IF(AND(Q195&lt;&gt;"",R195&lt;&gt;"",DATE(2026,4,0)&gt;=Q195,DATE(2026,3,1)&lt;=R195),"█","")</f>
        <v/>
      </c>
      <c r="H195" s="30" t="str">
        <f>IF(AND(Q195&lt;&gt;"",R195&lt;&gt;"",DATE(2026,5,0)&gt;=Q195,DATE(2026,4,1)&lt;=R195),"█","")</f>
        <v/>
      </c>
      <c r="I195" s="30" t="str">
        <f>IF(AND(Q195&lt;&gt;"",R195&lt;&gt;"",DATE(2026,6,0)&gt;=Q195,DATE(2026,5,1)&lt;=R195),"█","")</f>
        <v/>
      </c>
      <c r="J195" s="30" t="str">
        <f>IF(AND(Q195&lt;&gt;"",R195&lt;&gt;"",DATE(2026,7,0)&gt;=Q195,DATE(2026,6,1)&lt;=R195),"█","")</f>
        <v/>
      </c>
      <c r="K195" s="30" t="str">
        <f>IF(AND(Q195&lt;&gt;"",R195&lt;&gt;"",DATE(2026,8,0)&gt;=Q195,DATE(2026,7,1)&lt;=R195),"█","")</f>
        <v/>
      </c>
      <c r="L195" s="30" t="str">
        <f>IF(AND(Q195&lt;&gt;"",R195&lt;&gt;"",DATE(2026,9,0)&gt;=Q195,DATE(2026,8,1)&lt;=R195),"█","")</f>
        <v/>
      </c>
      <c r="M195" s="30" t="str">
        <f>IF(AND(Q195&lt;&gt;"",R195&lt;&gt;"",DATE(2026,10,0)&gt;=Q195,DATE(2026,9,1)&lt;=R195),"█","")</f>
        <v/>
      </c>
      <c r="N195" s="30" t="str">
        <f>IF(AND(Q195&lt;&gt;"",R195&lt;&gt;"",DATE(2026,11,0)&gt;=Q195,DATE(2026,10,1)&lt;=R195),"█","")</f>
        <v/>
      </c>
      <c r="O195" s="30" t="str">
        <f>IF(AND(Q195&lt;&gt;"",R195&lt;&gt;"",DATE(2026,12,0)&gt;=Q195,DATE(2026,11,1)&lt;=R195),"█","")</f>
        <v/>
      </c>
      <c r="P195" s="30" t="str">
        <f>IF(AND(Q195&lt;&gt;"",R195&lt;&gt;"",DATE(2026,12,31)&gt;=Q195,DATE(2026,12,1)&lt;=R195),"█","")</f>
        <v/>
      </c>
      <c r="Q195" s="7" t="str">
        <f>IF('Release Calendar'!I195&lt;&gt;"",'Release Calendar'!I195,"")</f>
        <v/>
      </c>
      <c r="R195" s="7" t="str">
        <f>IF('Release Calendar'!J195&lt;&gt;"",'Release Calendar'!J195,"")</f>
        <v/>
      </c>
    </row>
    <row r="196" spans="1:18" ht="20.100000000000001" customHeight="1">
      <c r="A196" s="31">
        <v>192</v>
      </c>
      <c r="B196" s="32" t="str">
        <f>IF('Release Calendar'!B196&lt;&gt;"",'Release Calendar'!B196,"")</f>
        <v/>
      </c>
      <c r="C196" s="33" t="str">
        <f>IF('Release Calendar'!K196&lt;&gt;"",'Release Calendar'!K196,"")</f>
        <v/>
      </c>
      <c r="D196" s="33" t="str">
        <f>IF('Release Calendar'!M196&lt;&gt;"",'Release Calendar'!M196,"")</f>
        <v/>
      </c>
      <c r="E196" s="34" t="str">
        <f>IF(AND(Q196&lt;&gt;"",R196&lt;&gt;"",DATE(2026,2,0)&gt;=Q196,DATE(2026,1,1)&lt;=R196),"█","")</f>
        <v/>
      </c>
      <c r="F196" s="34" t="str">
        <f>IF(AND(Q196&lt;&gt;"",R196&lt;&gt;"",DATE(2026,3,0)&gt;=Q196,DATE(2026,2,1)&lt;=R196),"█","")</f>
        <v/>
      </c>
      <c r="G196" s="34" t="str">
        <f>IF(AND(Q196&lt;&gt;"",R196&lt;&gt;"",DATE(2026,4,0)&gt;=Q196,DATE(2026,3,1)&lt;=R196),"█","")</f>
        <v/>
      </c>
      <c r="H196" s="34" t="str">
        <f>IF(AND(Q196&lt;&gt;"",R196&lt;&gt;"",DATE(2026,5,0)&gt;=Q196,DATE(2026,4,1)&lt;=R196),"█","")</f>
        <v/>
      </c>
      <c r="I196" s="34" t="str">
        <f>IF(AND(Q196&lt;&gt;"",R196&lt;&gt;"",DATE(2026,6,0)&gt;=Q196,DATE(2026,5,1)&lt;=R196),"█","")</f>
        <v/>
      </c>
      <c r="J196" s="34" t="str">
        <f>IF(AND(Q196&lt;&gt;"",R196&lt;&gt;"",DATE(2026,7,0)&gt;=Q196,DATE(2026,6,1)&lt;=R196),"█","")</f>
        <v/>
      </c>
      <c r="K196" s="34" t="str">
        <f>IF(AND(Q196&lt;&gt;"",R196&lt;&gt;"",DATE(2026,8,0)&gt;=Q196,DATE(2026,7,1)&lt;=R196),"█","")</f>
        <v/>
      </c>
      <c r="L196" s="34" t="str">
        <f>IF(AND(Q196&lt;&gt;"",R196&lt;&gt;"",DATE(2026,9,0)&gt;=Q196,DATE(2026,8,1)&lt;=R196),"█","")</f>
        <v/>
      </c>
      <c r="M196" s="34" t="str">
        <f>IF(AND(Q196&lt;&gt;"",R196&lt;&gt;"",DATE(2026,10,0)&gt;=Q196,DATE(2026,9,1)&lt;=R196),"█","")</f>
        <v/>
      </c>
      <c r="N196" s="34" t="str">
        <f>IF(AND(Q196&lt;&gt;"",R196&lt;&gt;"",DATE(2026,11,0)&gt;=Q196,DATE(2026,10,1)&lt;=R196),"█","")</f>
        <v/>
      </c>
      <c r="O196" s="34" t="str">
        <f>IF(AND(Q196&lt;&gt;"",R196&lt;&gt;"",DATE(2026,12,0)&gt;=Q196,DATE(2026,11,1)&lt;=R196),"█","")</f>
        <v/>
      </c>
      <c r="P196" s="34" t="str">
        <f>IF(AND(Q196&lt;&gt;"",R196&lt;&gt;"",DATE(2026,12,31)&gt;=Q196,DATE(2026,12,1)&lt;=R196),"█","")</f>
        <v/>
      </c>
      <c r="Q196" s="7" t="str">
        <f>IF('Release Calendar'!I196&lt;&gt;"",'Release Calendar'!I196,"")</f>
        <v/>
      </c>
      <c r="R196" s="7" t="str">
        <f>IF('Release Calendar'!J196&lt;&gt;"",'Release Calendar'!J196,"")</f>
        <v/>
      </c>
    </row>
    <row r="197" spans="1:18" ht="20.100000000000001" customHeight="1">
      <c r="A197" s="14">
        <v>193</v>
      </c>
      <c r="B197" s="28" t="str">
        <f>IF('Release Calendar'!B197&lt;&gt;"",'Release Calendar'!B197,"")</f>
        <v/>
      </c>
      <c r="C197" s="29" t="str">
        <f>IF('Release Calendar'!K197&lt;&gt;"",'Release Calendar'!K197,"")</f>
        <v/>
      </c>
      <c r="D197" s="29" t="str">
        <f>IF('Release Calendar'!M197&lt;&gt;"",'Release Calendar'!M197,"")</f>
        <v/>
      </c>
      <c r="E197" s="30" t="str">
        <f>IF(AND(Q197&lt;&gt;"",R197&lt;&gt;"",DATE(2026,2,0)&gt;=Q197,DATE(2026,1,1)&lt;=R197),"█","")</f>
        <v/>
      </c>
      <c r="F197" s="30" t="str">
        <f>IF(AND(Q197&lt;&gt;"",R197&lt;&gt;"",DATE(2026,3,0)&gt;=Q197,DATE(2026,2,1)&lt;=R197),"█","")</f>
        <v/>
      </c>
      <c r="G197" s="30" t="str">
        <f>IF(AND(Q197&lt;&gt;"",R197&lt;&gt;"",DATE(2026,4,0)&gt;=Q197,DATE(2026,3,1)&lt;=R197),"█","")</f>
        <v/>
      </c>
      <c r="H197" s="30" t="str">
        <f>IF(AND(Q197&lt;&gt;"",R197&lt;&gt;"",DATE(2026,5,0)&gt;=Q197,DATE(2026,4,1)&lt;=R197),"█","")</f>
        <v/>
      </c>
      <c r="I197" s="30" t="str">
        <f>IF(AND(Q197&lt;&gt;"",R197&lt;&gt;"",DATE(2026,6,0)&gt;=Q197,DATE(2026,5,1)&lt;=R197),"█","")</f>
        <v/>
      </c>
      <c r="J197" s="30" t="str">
        <f>IF(AND(Q197&lt;&gt;"",R197&lt;&gt;"",DATE(2026,7,0)&gt;=Q197,DATE(2026,6,1)&lt;=R197),"█","")</f>
        <v/>
      </c>
      <c r="K197" s="30" t="str">
        <f>IF(AND(Q197&lt;&gt;"",R197&lt;&gt;"",DATE(2026,8,0)&gt;=Q197,DATE(2026,7,1)&lt;=R197),"█","")</f>
        <v/>
      </c>
      <c r="L197" s="30" t="str">
        <f>IF(AND(Q197&lt;&gt;"",R197&lt;&gt;"",DATE(2026,9,0)&gt;=Q197,DATE(2026,8,1)&lt;=R197),"█","")</f>
        <v/>
      </c>
      <c r="M197" s="30" t="str">
        <f>IF(AND(Q197&lt;&gt;"",R197&lt;&gt;"",DATE(2026,10,0)&gt;=Q197,DATE(2026,9,1)&lt;=R197),"█","")</f>
        <v/>
      </c>
      <c r="N197" s="30" t="str">
        <f>IF(AND(Q197&lt;&gt;"",R197&lt;&gt;"",DATE(2026,11,0)&gt;=Q197,DATE(2026,10,1)&lt;=R197),"█","")</f>
        <v/>
      </c>
      <c r="O197" s="30" t="str">
        <f>IF(AND(Q197&lt;&gt;"",R197&lt;&gt;"",DATE(2026,12,0)&gt;=Q197,DATE(2026,11,1)&lt;=R197),"█","")</f>
        <v/>
      </c>
      <c r="P197" s="30" t="str">
        <f>IF(AND(Q197&lt;&gt;"",R197&lt;&gt;"",DATE(2026,12,31)&gt;=Q197,DATE(2026,12,1)&lt;=R197),"█","")</f>
        <v/>
      </c>
      <c r="Q197" s="7" t="str">
        <f>IF('Release Calendar'!I197&lt;&gt;"",'Release Calendar'!I197,"")</f>
        <v/>
      </c>
      <c r="R197" s="7" t="str">
        <f>IF('Release Calendar'!J197&lt;&gt;"",'Release Calendar'!J197,"")</f>
        <v/>
      </c>
    </row>
    <row r="198" spans="1:18" ht="20.100000000000001" customHeight="1">
      <c r="A198" s="31">
        <v>194</v>
      </c>
      <c r="B198" s="32" t="str">
        <f>IF('Release Calendar'!B198&lt;&gt;"",'Release Calendar'!B198,"")</f>
        <v/>
      </c>
      <c r="C198" s="33" t="str">
        <f>IF('Release Calendar'!K198&lt;&gt;"",'Release Calendar'!K198,"")</f>
        <v/>
      </c>
      <c r="D198" s="33" t="str">
        <f>IF('Release Calendar'!M198&lt;&gt;"",'Release Calendar'!M198,"")</f>
        <v/>
      </c>
      <c r="E198" s="34" t="str">
        <f>IF(AND(Q198&lt;&gt;"",R198&lt;&gt;"",DATE(2026,2,0)&gt;=Q198,DATE(2026,1,1)&lt;=R198),"█","")</f>
        <v/>
      </c>
      <c r="F198" s="34" t="str">
        <f>IF(AND(Q198&lt;&gt;"",R198&lt;&gt;"",DATE(2026,3,0)&gt;=Q198,DATE(2026,2,1)&lt;=R198),"█","")</f>
        <v/>
      </c>
      <c r="G198" s="34" t="str">
        <f>IF(AND(Q198&lt;&gt;"",R198&lt;&gt;"",DATE(2026,4,0)&gt;=Q198,DATE(2026,3,1)&lt;=R198),"█","")</f>
        <v/>
      </c>
      <c r="H198" s="34" t="str">
        <f>IF(AND(Q198&lt;&gt;"",R198&lt;&gt;"",DATE(2026,5,0)&gt;=Q198,DATE(2026,4,1)&lt;=R198),"█","")</f>
        <v/>
      </c>
      <c r="I198" s="34" t="str">
        <f>IF(AND(Q198&lt;&gt;"",R198&lt;&gt;"",DATE(2026,6,0)&gt;=Q198,DATE(2026,5,1)&lt;=R198),"█","")</f>
        <v/>
      </c>
      <c r="J198" s="34" t="str">
        <f>IF(AND(Q198&lt;&gt;"",R198&lt;&gt;"",DATE(2026,7,0)&gt;=Q198,DATE(2026,6,1)&lt;=R198),"█","")</f>
        <v/>
      </c>
      <c r="K198" s="34" t="str">
        <f>IF(AND(Q198&lt;&gt;"",R198&lt;&gt;"",DATE(2026,8,0)&gt;=Q198,DATE(2026,7,1)&lt;=R198),"█","")</f>
        <v/>
      </c>
      <c r="L198" s="34" t="str">
        <f>IF(AND(Q198&lt;&gt;"",R198&lt;&gt;"",DATE(2026,9,0)&gt;=Q198,DATE(2026,8,1)&lt;=R198),"█","")</f>
        <v/>
      </c>
      <c r="M198" s="34" t="str">
        <f>IF(AND(Q198&lt;&gt;"",R198&lt;&gt;"",DATE(2026,10,0)&gt;=Q198,DATE(2026,9,1)&lt;=R198),"█","")</f>
        <v/>
      </c>
      <c r="N198" s="34" t="str">
        <f>IF(AND(Q198&lt;&gt;"",R198&lt;&gt;"",DATE(2026,11,0)&gt;=Q198,DATE(2026,10,1)&lt;=R198),"█","")</f>
        <v/>
      </c>
      <c r="O198" s="34" t="str">
        <f>IF(AND(Q198&lt;&gt;"",R198&lt;&gt;"",DATE(2026,12,0)&gt;=Q198,DATE(2026,11,1)&lt;=R198),"█","")</f>
        <v/>
      </c>
      <c r="P198" s="34" t="str">
        <f>IF(AND(Q198&lt;&gt;"",R198&lt;&gt;"",DATE(2026,12,31)&gt;=Q198,DATE(2026,12,1)&lt;=R198),"█","")</f>
        <v/>
      </c>
      <c r="Q198" s="7" t="str">
        <f>IF('Release Calendar'!I198&lt;&gt;"",'Release Calendar'!I198,"")</f>
        <v/>
      </c>
      <c r="R198" s="7" t="str">
        <f>IF('Release Calendar'!J198&lt;&gt;"",'Release Calendar'!J198,"")</f>
        <v/>
      </c>
    </row>
    <row r="199" spans="1:18" ht="20.100000000000001" customHeight="1">
      <c r="A199" s="14">
        <v>195</v>
      </c>
      <c r="B199" s="28" t="str">
        <f>IF('Release Calendar'!B199&lt;&gt;"",'Release Calendar'!B199,"")</f>
        <v/>
      </c>
      <c r="C199" s="29" t="str">
        <f>IF('Release Calendar'!K199&lt;&gt;"",'Release Calendar'!K199,"")</f>
        <v/>
      </c>
      <c r="D199" s="29" t="str">
        <f>IF('Release Calendar'!M199&lt;&gt;"",'Release Calendar'!M199,"")</f>
        <v/>
      </c>
      <c r="E199" s="30" t="str">
        <f>IF(AND(Q199&lt;&gt;"",R199&lt;&gt;"",DATE(2026,2,0)&gt;=Q199,DATE(2026,1,1)&lt;=R199),"█","")</f>
        <v/>
      </c>
      <c r="F199" s="30" t="str">
        <f>IF(AND(Q199&lt;&gt;"",R199&lt;&gt;"",DATE(2026,3,0)&gt;=Q199,DATE(2026,2,1)&lt;=R199),"█","")</f>
        <v/>
      </c>
      <c r="G199" s="30" t="str">
        <f>IF(AND(Q199&lt;&gt;"",R199&lt;&gt;"",DATE(2026,4,0)&gt;=Q199,DATE(2026,3,1)&lt;=R199),"█","")</f>
        <v/>
      </c>
      <c r="H199" s="30" t="str">
        <f>IF(AND(Q199&lt;&gt;"",R199&lt;&gt;"",DATE(2026,5,0)&gt;=Q199,DATE(2026,4,1)&lt;=R199),"█","")</f>
        <v/>
      </c>
      <c r="I199" s="30" t="str">
        <f>IF(AND(Q199&lt;&gt;"",R199&lt;&gt;"",DATE(2026,6,0)&gt;=Q199,DATE(2026,5,1)&lt;=R199),"█","")</f>
        <v/>
      </c>
      <c r="J199" s="30" t="str">
        <f>IF(AND(Q199&lt;&gt;"",R199&lt;&gt;"",DATE(2026,7,0)&gt;=Q199,DATE(2026,6,1)&lt;=R199),"█","")</f>
        <v/>
      </c>
      <c r="K199" s="30" t="str">
        <f>IF(AND(Q199&lt;&gt;"",R199&lt;&gt;"",DATE(2026,8,0)&gt;=Q199,DATE(2026,7,1)&lt;=R199),"█","")</f>
        <v/>
      </c>
      <c r="L199" s="30" t="str">
        <f>IF(AND(Q199&lt;&gt;"",R199&lt;&gt;"",DATE(2026,9,0)&gt;=Q199,DATE(2026,8,1)&lt;=R199),"█","")</f>
        <v/>
      </c>
      <c r="M199" s="30" t="str">
        <f>IF(AND(Q199&lt;&gt;"",R199&lt;&gt;"",DATE(2026,10,0)&gt;=Q199,DATE(2026,9,1)&lt;=R199),"█","")</f>
        <v/>
      </c>
      <c r="N199" s="30" t="str">
        <f>IF(AND(Q199&lt;&gt;"",R199&lt;&gt;"",DATE(2026,11,0)&gt;=Q199,DATE(2026,10,1)&lt;=R199),"█","")</f>
        <v/>
      </c>
      <c r="O199" s="30" t="str">
        <f>IF(AND(Q199&lt;&gt;"",R199&lt;&gt;"",DATE(2026,12,0)&gt;=Q199,DATE(2026,11,1)&lt;=R199),"█","")</f>
        <v/>
      </c>
      <c r="P199" s="30" t="str">
        <f>IF(AND(Q199&lt;&gt;"",R199&lt;&gt;"",DATE(2026,12,31)&gt;=Q199,DATE(2026,12,1)&lt;=R199),"█","")</f>
        <v/>
      </c>
      <c r="Q199" s="7" t="str">
        <f>IF('Release Calendar'!I199&lt;&gt;"",'Release Calendar'!I199,"")</f>
        <v/>
      </c>
      <c r="R199" s="7" t="str">
        <f>IF('Release Calendar'!J199&lt;&gt;"",'Release Calendar'!J199,"")</f>
        <v/>
      </c>
    </row>
    <row r="200" spans="1:18" ht="20.100000000000001" customHeight="1">
      <c r="A200" s="31">
        <v>196</v>
      </c>
      <c r="B200" s="32" t="str">
        <f>IF('Release Calendar'!B200&lt;&gt;"",'Release Calendar'!B200,"")</f>
        <v/>
      </c>
      <c r="C200" s="33" t="str">
        <f>IF('Release Calendar'!K200&lt;&gt;"",'Release Calendar'!K200,"")</f>
        <v/>
      </c>
      <c r="D200" s="33" t="str">
        <f>IF('Release Calendar'!M200&lt;&gt;"",'Release Calendar'!M200,"")</f>
        <v/>
      </c>
      <c r="E200" s="34" t="str">
        <f>IF(AND(Q200&lt;&gt;"",R200&lt;&gt;"",DATE(2026,2,0)&gt;=Q200,DATE(2026,1,1)&lt;=R200),"█","")</f>
        <v/>
      </c>
      <c r="F200" s="34" t="str">
        <f>IF(AND(Q200&lt;&gt;"",R200&lt;&gt;"",DATE(2026,3,0)&gt;=Q200,DATE(2026,2,1)&lt;=R200),"█","")</f>
        <v/>
      </c>
      <c r="G200" s="34" t="str">
        <f>IF(AND(Q200&lt;&gt;"",R200&lt;&gt;"",DATE(2026,4,0)&gt;=Q200,DATE(2026,3,1)&lt;=R200),"█","")</f>
        <v/>
      </c>
      <c r="H200" s="34" t="str">
        <f>IF(AND(Q200&lt;&gt;"",R200&lt;&gt;"",DATE(2026,5,0)&gt;=Q200,DATE(2026,4,1)&lt;=R200),"█","")</f>
        <v/>
      </c>
      <c r="I200" s="34" t="str">
        <f>IF(AND(Q200&lt;&gt;"",R200&lt;&gt;"",DATE(2026,6,0)&gt;=Q200,DATE(2026,5,1)&lt;=R200),"█","")</f>
        <v/>
      </c>
      <c r="J200" s="34" t="str">
        <f>IF(AND(Q200&lt;&gt;"",R200&lt;&gt;"",DATE(2026,7,0)&gt;=Q200,DATE(2026,6,1)&lt;=R200),"█","")</f>
        <v/>
      </c>
      <c r="K200" s="34" t="str">
        <f>IF(AND(Q200&lt;&gt;"",R200&lt;&gt;"",DATE(2026,8,0)&gt;=Q200,DATE(2026,7,1)&lt;=R200),"█","")</f>
        <v/>
      </c>
      <c r="L200" s="34" t="str">
        <f>IF(AND(Q200&lt;&gt;"",R200&lt;&gt;"",DATE(2026,9,0)&gt;=Q200,DATE(2026,8,1)&lt;=R200),"█","")</f>
        <v/>
      </c>
      <c r="M200" s="34" t="str">
        <f>IF(AND(Q200&lt;&gt;"",R200&lt;&gt;"",DATE(2026,10,0)&gt;=Q200,DATE(2026,9,1)&lt;=R200),"█","")</f>
        <v/>
      </c>
      <c r="N200" s="34" t="str">
        <f>IF(AND(Q200&lt;&gt;"",R200&lt;&gt;"",DATE(2026,11,0)&gt;=Q200,DATE(2026,10,1)&lt;=R200),"█","")</f>
        <v/>
      </c>
      <c r="O200" s="34" t="str">
        <f>IF(AND(Q200&lt;&gt;"",R200&lt;&gt;"",DATE(2026,12,0)&gt;=Q200,DATE(2026,11,1)&lt;=R200),"█","")</f>
        <v/>
      </c>
      <c r="P200" s="34" t="str">
        <f>IF(AND(Q200&lt;&gt;"",R200&lt;&gt;"",DATE(2026,12,31)&gt;=Q200,DATE(2026,12,1)&lt;=R200),"█","")</f>
        <v/>
      </c>
      <c r="Q200" s="7" t="str">
        <f>IF('Release Calendar'!I200&lt;&gt;"",'Release Calendar'!I200,"")</f>
        <v/>
      </c>
      <c r="R200" s="7" t="str">
        <f>IF('Release Calendar'!J200&lt;&gt;"",'Release Calendar'!J200,"")</f>
        <v/>
      </c>
    </row>
    <row r="201" spans="1:18" ht="20.100000000000001" customHeight="1">
      <c r="A201" s="14">
        <v>197</v>
      </c>
      <c r="B201" s="28" t="str">
        <f>IF('Release Calendar'!B201&lt;&gt;"",'Release Calendar'!B201,"")</f>
        <v/>
      </c>
      <c r="C201" s="29" t="str">
        <f>IF('Release Calendar'!K201&lt;&gt;"",'Release Calendar'!K201,"")</f>
        <v/>
      </c>
      <c r="D201" s="29" t="str">
        <f>IF('Release Calendar'!M201&lt;&gt;"",'Release Calendar'!M201,"")</f>
        <v/>
      </c>
      <c r="E201" s="30" t="str">
        <f>IF(AND(Q201&lt;&gt;"",R201&lt;&gt;"",DATE(2026,2,0)&gt;=Q201,DATE(2026,1,1)&lt;=R201),"█","")</f>
        <v/>
      </c>
      <c r="F201" s="30" t="str">
        <f>IF(AND(Q201&lt;&gt;"",R201&lt;&gt;"",DATE(2026,3,0)&gt;=Q201,DATE(2026,2,1)&lt;=R201),"█","")</f>
        <v/>
      </c>
      <c r="G201" s="30" t="str">
        <f>IF(AND(Q201&lt;&gt;"",R201&lt;&gt;"",DATE(2026,4,0)&gt;=Q201,DATE(2026,3,1)&lt;=R201),"█","")</f>
        <v/>
      </c>
      <c r="H201" s="30" t="str">
        <f>IF(AND(Q201&lt;&gt;"",R201&lt;&gt;"",DATE(2026,5,0)&gt;=Q201,DATE(2026,4,1)&lt;=R201),"█","")</f>
        <v/>
      </c>
      <c r="I201" s="30" t="str">
        <f>IF(AND(Q201&lt;&gt;"",R201&lt;&gt;"",DATE(2026,6,0)&gt;=Q201,DATE(2026,5,1)&lt;=R201),"█","")</f>
        <v/>
      </c>
      <c r="J201" s="30" t="str">
        <f>IF(AND(Q201&lt;&gt;"",R201&lt;&gt;"",DATE(2026,7,0)&gt;=Q201,DATE(2026,6,1)&lt;=R201),"█","")</f>
        <v/>
      </c>
      <c r="K201" s="30" t="str">
        <f>IF(AND(Q201&lt;&gt;"",R201&lt;&gt;"",DATE(2026,8,0)&gt;=Q201,DATE(2026,7,1)&lt;=R201),"█","")</f>
        <v/>
      </c>
      <c r="L201" s="30" t="str">
        <f>IF(AND(Q201&lt;&gt;"",R201&lt;&gt;"",DATE(2026,9,0)&gt;=Q201,DATE(2026,8,1)&lt;=R201),"█","")</f>
        <v/>
      </c>
      <c r="M201" s="30" t="str">
        <f>IF(AND(Q201&lt;&gt;"",R201&lt;&gt;"",DATE(2026,10,0)&gt;=Q201,DATE(2026,9,1)&lt;=R201),"█","")</f>
        <v/>
      </c>
      <c r="N201" s="30" t="str">
        <f>IF(AND(Q201&lt;&gt;"",R201&lt;&gt;"",DATE(2026,11,0)&gt;=Q201,DATE(2026,10,1)&lt;=R201),"█","")</f>
        <v/>
      </c>
      <c r="O201" s="30" t="str">
        <f>IF(AND(Q201&lt;&gt;"",R201&lt;&gt;"",DATE(2026,12,0)&gt;=Q201,DATE(2026,11,1)&lt;=R201),"█","")</f>
        <v/>
      </c>
      <c r="P201" s="30" t="str">
        <f>IF(AND(Q201&lt;&gt;"",R201&lt;&gt;"",DATE(2026,12,31)&gt;=Q201,DATE(2026,12,1)&lt;=R201),"█","")</f>
        <v/>
      </c>
      <c r="Q201" s="7" t="str">
        <f>IF('Release Calendar'!I201&lt;&gt;"",'Release Calendar'!I201,"")</f>
        <v/>
      </c>
      <c r="R201" s="7" t="str">
        <f>IF('Release Calendar'!J201&lt;&gt;"",'Release Calendar'!J201,"")</f>
        <v/>
      </c>
    </row>
    <row r="202" spans="1:18" ht="20.100000000000001" customHeight="1">
      <c r="A202" s="31">
        <v>198</v>
      </c>
      <c r="B202" s="32" t="str">
        <f>IF('Release Calendar'!B202&lt;&gt;"",'Release Calendar'!B202,"")</f>
        <v/>
      </c>
      <c r="C202" s="33" t="str">
        <f>IF('Release Calendar'!K202&lt;&gt;"",'Release Calendar'!K202,"")</f>
        <v/>
      </c>
      <c r="D202" s="33" t="str">
        <f>IF('Release Calendar'!M202&lt;&gt;"",'Release Calendar'!M202,"")</f>
        <v/>
      </c>
      <c r="E202" s="34" t="str">
        <f>IF(AND(Q202&lt;&gt;"",R202&lt;&gt;"",DATE(2026,2,0)&gt;=Q202,DATE(2026,1,1)&lt;=R202),"█","")</f>
        <v/>
      </c>
      <c r="F202" s="34" t="str">
        <f>IF(AND(Q202&lt;&gt;"",R202&lt;&gt;"",DATE(2026,3,0)&gt;=Q202,DATE(2026,2,1)&lt;=R202),"█","")</f>
        <v/>
      </c>
      <c r="G202" s="34" t="str">
        <f>IF(AND(Q202&lt;&gt;"",R202&lt;&gt;"",DATE(2026,4,0)&gt;=Q202,DATE(2026,3,1)&lt;=R202),"█","")</f>
        <v/>
      </c>
      <c r="H202" s="34" t="str">
        <f>IF(AND(Q202&lt;&gt;"",R202&lt;&gt;"",DATE(2026,5,0)&gt;=Q202,DATE(2026,4,1)&lt;=R202),"█","")</f>
        <v/>
      </c>
      <c r="I202" s="34" t="str">
        <f>IF(AND(Q202&lt;&gt;"",R202&lt;&gt;"",DATE(2026,6,0)&gt;=Q202,DATE(2026,5,1)&lt;=R202),"█","")</f>
        <v/>
      </c>
      <c r="J202" s="34" t="str">
        <f>IF(AND(Q202&lt;&gt;"",R202&lt;&gt;"",DATE(2026,7,0)&gt;=Q202,DATE(2026,6,1)&lt;=R202),"█","")</f>
        <v/>
      </c>
      <c r="K202" s="34" t="str">
        <f>IF(AND(Q202&lt;&gt;"",R202&lt;&gt;"",DATE(2026,8,0)&gt;=Q202,DATE(2026,7,1)&lt;=R202),"█","")</f>
        <v/>
      </c>
      <c r="L202" s="34" t="str">
        <f>IF(AND(Q202&lt;&gt;"",R202&lt;&gt;"",DATE(2026,9,0)&gt;=Q202,DATE(2026,8,1)&lt;=R202),"█","")</f>
        <v/>
      </c>
      <c r="M202" s="34" t="str">
        <f>IF(AND(Q202&lt;&gt;"",R202&lt;&gt;"",DATE(2026,10,0)&gt;=Q202,DATE(2026,9,1)&lt;=R202),"█","")</f>
        <v/>
      </c>
      <c r="N202" s="34" t="str">
        <f>IF(AND(Q202&lt;&gt;"",R202&lt;&gt;"",DATE(2026,11,0)&gt;=Q202,DATE(2026,10,1)&lt;=R202),"█","")</f>
        <v/>
      </c>
      <c r="O202" s="34" t="str">
        <f>IF(AND(Q202&lt;&gt;"",R202&lt;&gt;"",DATE(2026,12,0)&gt;=Q202,DATE(2026,11,1)&lt;=R202),"█","")</f>
        <v/>
      </c>
      <c r="P202" s="34" t="str">
        <f>IF(AND(Q202&lt;&gt;"",R202&lt;&gt;"",DATE(2026,12,31)&gt;=Q202,DATE(2026,12,1)&lt;=R202),"█","")</f>
        <v/>
      </c>
      <c r="Q202" s="7" t="str">
        <f>IF('Release Calendar'!I202&lt;&gt;"",'Release Calendar'!I202,"")</f>
        <v/>
      </c>
      <c r="R202" s="7" t="str">
        <f>IF('Release Calendar'!J202&lt;&gt;"",'Release Calendar'!J202,"")</f>
        <v/>
      </c>
    </row>
    <row r="203" spans="1:18" ht="20.100000000000001" customHeight="1">
      <c r="A203" s="14">
        <v>199</v>
      </c>
      <c r="B203" s="28" t="str">
        <f>IF('Release Calendar'!B203&lt;&gt;"",'Release Calendar'!B203,"")</f>
        <v/>
      </c>
      <c r="C203" s="29" t="str">
        <f>IF('Release Calendar'!K203&lt;&gt;"",'Release Calendar'!K203,"")</f>
        <v/>
      </c>
      <c r="D203" s="29" t="str">
        <f>IF('Release Calendar'!M203&lt;&gt;"",'Release Calendar'!M203,"")</f>
        <v/>
      </c>
      <c r="E203" s="30" t="str">
        <f>IF(AND(Q203&lt;&gt;"",R203&lt;&gt;"",DATE(2026,2,0)&gt;=Q203,DATE(2026,1,1)&lt;=R203),"█","")</f>
        <v/>
      </c>
      <c r="F203" s="30" t="str">
        <f>IF(AND(Q203&lt;&gt;"",R203&lt;&gt;"",DATE(2026,3,0)&gt;=Q203,DATE(2026,2,1)&lt;=R203),"█","")</f>
        <v/>
      </c>
      <c r="G203" s="30" t="str">
        <f>IF(AND(Q203&lt;&gt;"",R203&lt;&gt;"",DATE(2026,4,0)&gt;=Q203,DATE(2026,3,1)&lt;=R203),"█","")</f>
        <v/>
      </c>
      <c r="H203" s="30" t="str">
        <f>IF(AND(Q203&lt;&gt;"",R203&lt;&gt;"",DATE(2026,5,0)&gt;=Q203,DATE(2026,4,1)&lt;=R203),"█","")</f>
        <v/>
      </c>
      <c r="I203" s="30" t="str">
        <f>IF(AND(Q203&lt;&gt;"",R203&lt;&gt;"",DATE(2026,6,0)&gt;=Q203,DATE(2026,5,1)&lt;=R203),"█","")</f>
        <v/>
      </c>
      <c r="J203" s="30" t="str">
        <f>IF(AND(Q203&lt;&gt;"",R203&lt;&gt;"",DATE(2026,7,0)&gt;=Q203,DATE(2026,6,1)&lt;=R203),"█","")</f>
        <v/>
      </c>
      <c r="K203" s="30" t="str">
        <f>IF(AND(Q203&lt;&gt;"",R203&lt;&gt;"",DATE(2026,8,0)&gt;=Q203,DATE(2026,7,1)&lt;=R203),"█","")</f>
        <v/>
      </c>
      <c r="L203" s="30" t="str">
        <f>IF(AND(Q203&lt;&gt;"",R203&lt;&gt;"",DATE(2026,9,0)&gt;=Q203,DATE(2026,8,1)&lt;=R203),"█","")</f>
        <v/>
      </c>
      <c r="M203" s="30" t="str">
        <f>IF(AND(Q203&lt;&gt;"",R203&lt;&gt;"",DATE(2026,10,0)&gt;=Q203,DATE(2026,9,1)&lt;=R203),"█","")</f>
        <v/>
      </c>
      <c r="N203" s="30" t="str">
        <f>IF(AND(Q203&lt;&gt;"",R203&lt;&gt;"",DATE(2026,11,0)&gt;=Q203,DATE(2026,10,1)&lt;=R203),"█","")</f>
        <v/>
      </c>
      <c r="O203" s="30" t="str">
        <f>IF(AND(Q203&lt;&gt;"",R203&lt;&gt;"",DATE(2026,12,0)&gt;=Q203,DATE(2026,11,1)&lt;=R203),"█","")</f>
        <v/>
      </c>
      <c r="P203" s="30" t="str">
        <f>IF(AND(Q203&lt;&gt;"",R203&lt;&gt;"",DATE(2026,12,31)&gt;=Q203,DATE(2026,12,1)&lt;=R203),"█","")</f>
        <v/>
      </c>
      <c r="Q203" s="7" t="str">
        <f>IF('Release Calendar'!I203&lt;&gt;"",'Release Calendar'!I203,"")</f>
        <v/>
      </c>
      <c r="R203" s="7" t="str">
        <f>IF('Release Calendar'!J203&lt;&gt;"",'Release Calendar'!J203,"")</f>
        <v/>
      </c>
    </row>
    <row r="204" spans="1:18" ht="20.100000000000001" customHeight="1">
      <c r="A204" s="31">
        <v>200</v>
      </c>
      <c r="B204" s="32" t="str">
        <f>IF('Release Calendar'!B204&lt;&gt;"",'Release Calendar'!B204,"")</f>
        <v/>
      </c>
      <c r="C204" s="33" t="str">
        <f>IF('Release Calendar'!K204&lt;&gt;"",'Release Calendar'!K204,"")</f>
        <v/>
      </c>
      <c r="D204" s="33" t="str">
        <f>IF('Release Calendar'!M204&lt;&gt;"",'Release Calendar'!M204,"")</f>
        <v/>
      </c>
      <c r="E204" s="34" t="str">
        <f>IF(AND(Q204&lt;&gt;"",R204&lt;&gt;"",DATE(2026,2,0)&gt;=Q204,DATE(2026,1,1)&lt;=R204),"█","")</f>
        <v/>
      </c>
      <c r="F204" s="34" t="str">
        <f>IF(AND(Q204&lt;&gt;"",R204&lt;&gt;"",DATE(2026,3,0)&gt;=Q204,DATE(2026,2,1)&lt;=R204),"█","")</f>
        <v/>
      </c>
      <c r="G204" s="34" t="str">
        <f>IF(AND(Q204&lt;&gt;"",R204&lt;&gt;"",DATE(2026,4,0)&gt;=Q204,DATE(2026,3,1)&lt;=R204),"█","")</f>
        <v/>
      </c>
      <c r="H204" s="34" t="str">
        <f>IF(AND(Q204&lt;&gt;"",R204&lt;&gt;"",DATE(2026,5,0)&gt;=Q204,DATE(2026,4,1)&lt;=R204),"█","")</f>
        <v/>
      </c>
      <c r="I204" s="34" t="str">
        <f>IF(AND(Q204&lt;&gt;"",R204&lt;&gt;"",DATE(2026,6,0)&gt;=Q204,DATE(2026,5,1)&lt;=R204),"█","")</f>
        <v/>
      </c>
      <c r="J204" s="34" t="str">
        <f>IF(AND(Q204&lt;&gt;"",R204&lt;&gt;"",DATE(2026,7,0)&gt;=Q204,DATE(2026,6,1)&lt;=R204),"█","")</f>
        <v/>
      </c>
      <c r="K204" s="34" t="str">
        <f>IF(AND(Q204&lt;&gt;"",R204&lt;&gt;"",DATE(2026,8,0)&gt;=Q204,DATE(2026,7,1)&lt;=R204),"█","")</f>
        <v/>
      </c>
      <c r="L204" s="34" t="str">
        <f>IF(AND(Q204&lt;&gt;"",R204&lt;&gt;"",DATE(2026,9,0)&gt;=Q204,DATE(2026,8,1)&lt;=R204),"█","")</f>
        <v/>
      </c>
      <c r="M204" s="34" t="str">
        <f>IF(AND(Q204&lt;&gt;"",R204&lt;&gt;"",DATE(2026,10,0)&gt;=Q204,DATE(2026,9,1)&lt;=R204),"█","")</f>
        <v/>
      </c>
      <c r="N204" s="34" t="str">
        <f>IF(AND(Q204&lt;&gt;"",R204&lt;&gt;"",DATE(2026,11,0)&gt;=Q204,DATE(2026,10,1)&lt;=R204),"█","")</f>
        <v/>
      </c>
      <c r="O204" s="34" t="str">
        <f>IF(AND(Q204&lt;&gt;"",R204&lt;&gt;"",DATE(2026,12,0)&gt;=Q204,DATE(2026,11,1)&lt;=R204),"█","")</f>
        <v/>
      </c>
      <c r="P204" s="34" t="str">
        <f>IF(AND(Q204&lt;&gt;"",R204&lt;&gt;"",DATE(2026,12,31)&gt;=Q204,DATE(2026,12,1)&lt;=R204),"█","")</f>
        <v/>
      </c>
      <c r="Q204" s="7" t="str">
        <f>IF('Release Calendar'!I204&lt;&gt;"",'Release Calendar'!I204,"")</f>
        <v/>
      </c>
      <c r="R204" s="7" t="str">
        <f>IF('Release Calendar'!J204&lt;&gt;"",'Release Calendar'!J204,"")</f>
        <v/>
      </c>
    </row>
    <row r="205" spans="1:18" ht="20.100000000000001" customHeight="1">
      <c r="A205" s="14">
        <v>201</v>
      </c>
      <c r="B205" s="28" t="str">
        <f>IF('Release Calendar'!B205&lt;&gt;"",'Release Calendar'!B205,"")</f>
        <v/>
      </c>
      <c r="C205" s="29" t="str">
        <f>IF('Release Calendar'!K205&lt;&gt;"",'Release Calendar'!K205,"")</f>
        <v/>
      </c>
      <c r="D205" s="29" t="str">
        <f>IF('Release Calendar'!M205&lt;&gt;"",'Release Calendar'!M205,"")</f>
        <v/>
      </c>
      <c r="E205" s="30" t="str">
        <f>IF(AND(Q205&lt;&gt;"",R205&lt;&gt;"",DATE(2026,2,0)&gt;=Q205,DATE(2026,1,1)&lt;=R205),"█","")</f>
        <v/>
      </c>
      <c r="F205" s="30" t="str">
        <f>IF(AND(Q205&lt;&gt;"",R205&lt;&gt;"",DATE(2026,3,0)&gt;=Q205,DATE(2026,2,1)&lt;=R205),"█","")</f>
        <v/>
      </c>
      <c r="G205" s="30" t="str">
        <f>IF(AND(Q205&lt;&gt;"",R205&lt;&gt;"",DATE(2026,4,0)&gt;=Q205,DATE(2026,3,1)&lt;=R205),"█","")</f>
        <v/>
      </c>
      <c r="H205" s="30" t="str">
        <f>IF(AND(Q205&lt;&gt;"",R205&lt;&gt;"",DATE(2026,5,0)&gt;=Q205,DATE(2026,4,1)&lt;=R205),"█","")</f>
        <v/>
      </c>
      <c r="I205" s="30" t="str">
        <f>IF(AND(Q205&lt;&gt;"",R205&lt;&gt;"",DATE(2026,6,0)&gt;=Q205,DATE(2026,5,1)&lt;=R205),"█","")</f>
        <v/>
      </c>
      <c r="J205" s="30" t="str">
        <f>IF(AND(Q205&lt;&gt;"",R205&lt;&gt;"",DATE(2026,7,0)&gt;=Q205,DATE(2026,6,1)&lt;=R205),"█","")</f>
        <v/>
      </c>
      <c r="K205" s="30" t="str">
        <f>IF(AND(Q205&lt;&gt;"",R205&lt;&gt;"",DATE(2026,8,0)&gt;=Q205,DATE(2026,7,1)&lt;=R205),"█","")</f>
        <v/>
      </c>
      <c r="L205" s="30" t="str">
        <f>IF(AND(Q205&lt;&gt;"",R205&lt;&gt;"",DATE(2026,9,0)&gt;=Q205,DATE(2026,8,1)&lt;=R205),"█","")</f>
        <v/>
      </c>
      <c r="M205" s="30" t="str">
        <f>IF(AND(Q205&lt;&gt;"",R205&lt;&gt;"",DATE(2026,10,0)&gt;=Q205,DATE(2026,9,1)&lt;=R205),"█","")</f>
        <v/>
      </c>
      <c r="N205" s="30" t="str">
        <f>IF(AND(Q205&lt;&gt;"",R205&lt;&gt;"",DATE(2026,11,0)&gt;=Q205,DATE(2026,10,1)&lt;=R205),"█","")</f>
        <v/>
      </c>
      <c r="O205" s="30" t="str">
        <f>IF(AND(Q205&lt;&gt;"",R205&lt;&gt;"",DATE(2026,12,0)&gt;=Q205,DATE(2026,11,1)&lt;=R205),"█","")</f>
        <v/>
      </c>
      <c r="P205" s="30" t="str">
        <f>IF(AND(Q205&lt;&gt;"",R205&lt;&gt;"",DATE(2026,12,31)&gt;=Q205,DATE(2026,12,1)&lt;=R205),"█","")</f>
        <v/>
      </c>
      <c r="Q205" s="7" t="str">
        <f>IF('Release Calendar'!I205&lt;&gt;"",'Release Calendar'!I205,"")</f>
        <v/>
      </c>
      <c r="R205" s="7" t="str">
        <f>IF('Release Calendar'!J205&lt;&gt;"",'Release Calendar'!J205,"")</f>
        <v/>
      </c>
    </row>
    <row r="206" spans="1:18" ht="20.100000000000001" customHeight="1">
      <c r="A206" s="31">
        <v>202</v>
      </c>
      <c r="B206" s="32" t="str">
        <f>IF('Release Calendar'!B206&lt;&gt;"",'Release Calendar'!B206,"")</f>
        <v/>
      </c>
      <c r="C206" s="33" t="str">
        <f>IF('Release Calendar'!K206&lt;&gt;"",'Release Calendar'!K206,"")</f>
        <v/>
      </c>
      <c r="D206" s="33" t="str">
        <f>IF('Release Calendar'!M206&lt;&gt;"",'Release Calendar'!M206,"")</f>
        <v/>
      </c>
      <c r="E206" s="34" t="str">
        <f>IF(AND(Q206&lt;&gt;"",R206&lt;&gt;"",DATE(2026,2,0)&gt;=Q206,DATE(2026,1,1)&lt;=R206),"█","")</f>
        <v/>
      </c>
      <c r="F206" s="34" t="str">
        <f>IF(AND(Q206&lt;&gt;"",R206&lt;&gt;"",DATE(2026,3,0)&gt;=Q206,DATE(2026,2,1)&lt;=R206),"█","")</f>
        <v/>
      </c>
      <c r="G206" s="34" t="str">
        <f>IF(AND(Q206&lt;&gt;"",R206&lt;&gt;"",DATE(2026,4,0)&gt;=Q206,DATE(2026,3,1)&lt;=R206),"█","")</f>
        <v/>
      </c>
      <c r="H206" s="34" t="str">
        <f>IF(AND(Q206&lt;&gt;"",R206&lt;&gt;"",DATE(2026,5,0)&gt;=Q206,DATE(2026,4,1)&lt;=R206),"█","")</f>
        <v/>
      </c>
      <c r="I206" s="34" t="str">
        <f>IF(AND(Q206&lt;&gt;"",R206&lt;&gt;"",DATE(2026,6,0)&gt;=Q206,DATE(2026,5,1)&lt;=R206),"█","")</f>
        <v/>
      </c>
      <c r="J206" s="34" t="str">
        <f>IF(AND(Q206&lt;&gt;"",R206&lt;&gt;"",DATE(2026,7,0)&gt;=Q206,DATE(2026,6,1)&lt;=R206),"█","")</f>
        <v/>
      </c>
      <c r="K206" s="34" t="str">
        <f>IF(AND(Q206&lt;&gt;"",R206&lt;&gt;"",DATE(2026,8,0)&gt;=Q206,DATE(2026,7,1)&lt;=R206),"█","")</f>
        <v/>
      </c>
      <c r="L206" s="34" t="str">
        <f>IF(AND(Q206&lt;&gt;"",R206&lt;&gt;"",DATE(2026,9,0)&gt;=Q206,DATE(2026,8,1)&lt;=R206),"█","")</f>
        <v/>
      </c>
      <c r="M206" s="34" t="str">
        <f>IF(AND(Q206&lt;&gt;"",R206&lt;&gt;"",DATE(2026,10,0)&gt;=Q206,DATE(2026,9,1)&lt;=R206),"█","")</f>
        <v/>
      </c>
      <c r="N206" s="34" t="str">
        <f>IF(AND(Q206&lt;&gt;"",R206&lt;&gt;"",DATE(2026,11,0)&gt;=Q206,DATE(2026,10,1)&lt;=R206),"█","")</f>
        <v/>
      </c>
      <c r="O206" s="34" t="str">
        <f>IF(AND(Q206&lt;&gt;"",R206&lt;&gt;"",DATE(2026,12,0)&gt;=Q206,DATE(2026,11,1)&lt;=R206),"█","")</f>
        <v/>
      </c>
      <c r="P206" s="34" t="str">
        <f>IF(AND(Q206&lt;&gt;"",R206&lt;&gt;"",DATE(2026,12,31)&gt;=Q206,DATE(2026,12,1)&lt;=R206),"█","")</f>
        <v/>
      </c>
      <c r="Q206" s="7" t="str">
        <f>IF('Release Calendar'!I206&lt;&gt;"",'Release Calendar'!I206,"")</f>
        <v/>
      </c>
      <c r="R206" s="7" t="str">
        <f>IF('Release Calendar'!J206&lt;&gt;"",'Release Calendar'!J206,"")</f>
        <v/>
      </c>
    </row>
    <row r="207" spans="1:18" ht="20.100000000000001" customHeight="1">
      <c r="A207" s="14">
        <v>203</v>
      </c>
      <c r="B207" s="28" t="str">
        <f>IF('Release Calendar'!B207&lt;&gt;"",'Release Calendar'!B207,"")</f>
        <v/>
      </c>
      <c r="C207" s="29" t="str">
        <f>IF('Release Calendar'!K207&lt;&gt;"",'Release Calendar'!K207,"")</f>
        <v/>
      </c>
      <c r="D207" s="29" t="str">
        <f>IF('Release Calendar'!M207&lt;&gt;"",'Release Calendar'!M207,"")</f>
        <v/>
      </c>
      <c r="E207" s="30" t="str">
        <f>IF(AND(Q207&lt;&gt;"",R207&lt;&gt;"",DATE(2026,2,0)&gt;=Q207,DATE(2026,1,1)&lt;=R207),"█","")</f>
        <v/>
      </c>
      <c r="F207" s="30" t="str">
        <f>IF(AND(Q207&lt;&gt;"",R207&lt;&gt;"",DATE(2026,3,0)&gt;=Q207,DATE(2026,2,1)&lt;=R207),"█","")</f>
        <v/>
      </c>
      <c r="G207" s="30" t="str">
        <f>IF(AND(Q207&lt;&gt;"",R207&lt;&gt;"",DATE(2026,4,0)&gt;=Q207,DATE(2026,3,1)&lt;=R207),"█","")</f>
        <v/>
      </c>
      <c r="H207" s="30" t="str">
        <f>IF(AND(Q207&lt;&gt;"",R207&lt;&gt;"",DATE(2026,5,0)&gt;=Q207,DATE(2026,4,1)&lt;=R207),"█","")</f>
        <v/>
      </c>
      <c r="I207" s="30" t="str">
        <f>IF(AND(Q207&lt;&gt;"",R207&lt;&gt;"",DATE(2026,6,0)&gt;=Q207,DATE(2026,5,1)&lt;=R207),"█","")</f>
        <v/>
      </c>
      <c r="J207" s="30" t="str">
        <f>IF(AND(Q207&lt;&gt;"",R207&lt;&gt;"",DATE(2026,7,0)&gt;=Q207,DATE(2026,6,1)&lt;=R207),"█","")</f>
        <v/>
      </c>
      <c r="K207" s="30" t="str">
        <f>IF(AND(Q207&lt;&gt;"",R207&lt;&gt;"",DATE(2026,8,0)&gt;=Q207,DATE(2026,7,1)&lt;=R207),"█","")</f>
        <v/>
      </c>
      <c r="L207" s="30" t="str">
        <f>IF(AND(Q207&lt;&gt;"",R207&lt;&gt;"",DATE(2026,9,0)&gt;=Q207,DATE(2026,8,1)&lt;=R207),"█","")</f>
        <v/>
      </c>
      <c r="M207" s="30" t="str">
        <f>IF(AND(Q207&lt;&gt;"",R207&lt;&gt;"",DATE(2026,10,0)&gt;=Q207,DATE(2026,9,1)&lt;=R207),"█","")</f>
        <v/>
      </c>
      <c r="N207" s="30" t="str">
        <f>IF(AND(Q207&lt;&gt;"",R207&lt;&gt;"",DATE(2026,11,0)&gt;=Q207,DATE(2026,10,1)&lt;=R207),"█","")</f>
        <v/>
      </c>
      <c r="O207" s="30" t="str">
        <f>IF(AND(Q207&lt;&gt;"",R207&lt;&gt;"",DATE(2026,12,0)&gt;=Q207,DATE(2026,11,1)&lt;=R207),"█","")</f>
        <v/>
      </c>
      <c r="P207" s="30" t="str">
        <f>IF(AND(Q207&lt;&gt;"",R207&lt;&gt;"",DATE(2026,12,31)&gt;=Q207,DATE(2026,12,1)&lt;=R207),"█","")</f>
        <v/>
      </c>
      <c r="Q207" s="7" t="str">
        <f>IF('Release Calendar'!I207&lt;&gt;"",'Release Calendar'!I207,"")</f>
        <v/>
      </c>
      <c r="R207" s="7" t="str">
        <f>IF('Release Calendar'!J207&lt;&gt;"",'Release Calendar'!J207,"")</f>
        <v/>
      </c>
    </row>
    <row r="208" spans="1:18" ht="20.100000000000001" customHeight="1">
      <c r="A208" s="31">
        <v>204</v>
      </c>
      <c r="B208" s="32" t="str">
        <f>IF('Release Calendar'!B208&lt;&gt;"",'Release Calendar'!B208,"")</f>
        <v/>
      </c>
      <c r="C208" s="33" t="str">
        <f>IF('Release Calendar'!K208&lt;&gt;"",'Release Calendar'!K208,"")</f>
        <v/>
      </c>
      <c r="D208" s="33" t="str">
        <f>IF('Release Calendar'!M208&lt;&gt;"",'Release Calendar'!M208,"")</f>
        <v/>
      </c>
      <c r="E208" s="34" t="str">
        <f>IF(AND(Q208&lt;&gt;"",R208&lt;&gt;"",DATE(2026,2,0)&gt;=Q208,DATE(2026,1,1)&lt;=R208),"█","")</f>
        <v/>
      </c>
      <c r="F208" s="34" t="str">
        <f>IF(AND(Q208&lt;&gt;"",R208&lt;&gt;"",DATE(2026,3,0)&gt;=Q208,DATE(2026,2,1)&lt;=R208),"█","")</f>
        <v/>
      </c>
      <c r="G208" s="34" t="str">
        <f>IF(AND(Q208&lt;&gt;"",R208&lt;&gt;"",DATE(2026,4,0)&gt;=Q208,DATE(2026,3,1)&lt;=R208),"█","")</f>
        <v/>
      </c>
      <c r="H208" s="34" t="str">
        <f>IF(AND(Q208&lt;&gt;"",R208&lt;&gt;"",DATE(2026,5,0)&gt;=Q208,DATE(2026,4,1)&lt;=R208),"█","")</f>
        <v/>
      </c>
      <c r="I208" s="34" t="str">
        <f>IF(AND(Q208&lt;&gt;"",R208&lt;&gt;"",DATE(2026,6,0)&gt;=Q208,DATE(2026,5,1)&lt;=R208),"█","")</f>
        <v/>
      </c>
      <c r="J208" s="34" t="str">
        <f>IF(AND(Q208&lt;&gt;"",R208&lt;&gt;"",DATE(2026,7,0)&gt;=Q208,DATE(2026,6,1)&lt;=R208),"█","")</f>
        <v/>
      </c>
      <c r="K208" s="34" t="str">
        <f>IF(AND(Q208&lt;&gt;"",R208&lt;&gt;"",DATE(2026,8,0)&gt;=Q208,DATE(2026,7,1)&lt;=R208),"█","")</f>
        <v/>
      </c>
      <c r="L208" s="34" t="str">
        <f>IF(AND(Q208&lt;&gt;"",R208&lt;&gt;"",DATE(2026,9,0)&gt;=Q208,DATE(2026,8,1)&lt;=R208),"█","")</f>
        <v/>
      </c>
      <c r="M208" s="34" t="str">
        <f>IF(AND(Q208&lt;&gt;"",R208&lt;&gt;"",DATE(2026,10,0)&gt;=Q208,DATE(2026,9,1)&lt;=R208),"█","")</f>
        <v/>
      </c>
      <c r="N208" s="34" t="str">
        <f>IF(AND(Q208&lt;&gt;"",R208&lt;&gt;"",DATE(2026,11,0)&gt;=Q208,DATE(2026,10,1)&lt;=R208),"█","")</f>
        <v/>
      </c>
      <c r="O208" s="34" t="str">
        <f>IF(AND(Q208&lt;&gt;"",R208&lt;&gt;"",DATE(2026,12,0)&gt;=Q208,DATE(2026,11,1)&lt;=R208),"█","")</f>
        <v/>
      </c>
      <c r="P208" s="34" t="str">
        <f>IF(AND(Q208&lt;&gt;"",R208&lt;&gt;"",DATE(2026,12,31)&gt;=Q208,DATE(2026,12,1)&lt;=R208),"█","")</f>
        <v/>
      </c>
      <c r="Q208" s="7" t="str">
        <f>IF('Release Calendar'!I208&lt;&gt;"",'Release Calendar'!I208,"")</f>
        <v/>
      </c>
      <c r="R208" s="7" t="str">
        <f>IF('Release Calendar'!J208&lt;&gt;"",'Release Calendar'!J208,"")</f>
        <v/>
      </c>
    </row>
    <row r="209" spans="1:18" ht="20.100000000000001" customHeight="1">
      <c r="A209" s="14">
        <v>205</v>
      </c>
      <c r="B209" s="28" t="str">
        <f>IF('Release Calendar'!B209&lt;&gt;"",'Release Calendar'!B209,"")</f>
        <v/>
      </c>
      <c r="C209" s="29" t="str">
        <f>IF('Release Calendar'!K209&lt;&gt;"",'Release Calendar'!K209,"")</f>
        <v/>
      </c>
      <c r="D209" s="29" t="str">
        <f>IF('Release Calendar'!M209&lt;&gt;"",'Release Calendar'!M209,"")</f>
        <v/>
      </c>
      <c r="E209" s="30" t="str">
        <f>IF(AND(Q209&lt;&gt;"",R209&lt;&gt;"",DATE(2026,2,0)&gt;=Q209,DATE(2026,1,1)&lt;=R209),"█","")</f>
        <v/>
      </c>
      <c r="F209" s="30" t="str">
        <f>IF(AND(Q209&lt;&gt;"",R209&lt;&gt;"",DATE(2026,3,0)&gt;=Q209,DATE(2026,2,1)&lt;=R209),"█","")</f>
        <v/>
      </c>
      <c r="G209" s="30" t="str">
        <f>IF(AND(Q209&lt;&gt;"",R209&lt;&gt;"",DATE(2026,4,0)&gt;=Q209,DATE(2026,3,1)&lt;=R209),"█","")</f>
        <v/>
      </c>
      <c r="H209" s="30" t="str">
        <f>IF(AND(Q209&lt;&gt;"",R209&lt;&gt;"",DATE(2026,5,0)&gt;=Q209,DATE(2026,4,1)&lt;=R209),"█","")</f>
        <v/>
      </c>
      <c r="I209" s="30" t="str">
        <f>IF(AND(Q209&lt;&gt;"",R209&lt;&gt;"",DATE(2026,6,0)&gt;=Q209,DATE(2026,5,1)&lt;=R209),"█","")</f>
        <v/>
      </c>
      <c r="J209" s="30" t="str">
        <f>IF(AND(Q209&lt;&gt;"",R209&lt;&gt;"",DATE(2026,7,0)&gt;=Q209,DATE(2026,6,1)&lt;=R209),"█","")</f>
        <v/>
      </c>
      <c r="K209" s="30" t="str">
        <f>IF(AND(Q209&lt;&gt;"",R209&lt;&gt;"",DATE(2026,8,0)&gt;=Q209,DATE(2026,7,1)&lt;=R209),"█","")</f>
        <v/>
      </c>
      <c r="L209" s="30" t="str">
        <f>IF(AND(Q209&lt;&gt;"",R209&lt;&gt;"",DATE(2026,9,0)&gt;=Q209,DATE(2026,8,1)&lt;=R209),"█","")</f>
        <v/>
      </c>
      <c r="M209" s="30" t="str">
        <f>IF(AND(Q209&lt;&gt;"",R209&lt;&gt;"",DATE(2026,10,0)&gt;=Q209,DATE(2026,9,1)&lt;=R209),"█","")</f>
        <v/>
      </c>
      <c r="N209" s="30" t="str">
        <f>IF(AND(Q209&lt;&gt;"",R209&lt;&gt;"",DATE(2026,11,0)&gt;=Q209,DATE(2026,10,1)&lt;=R209),"█","")</f>
        <v/>
      </c>
      <c r="O209" s="30" t="str">
        <f>IF(AND(Q209&lt;&gt;"",R209&lt;&gt;"",DATE(2026,12,0)&gt;=Q209,DATE(2026,11,1)&lt;=R209),"█","")</f>
        <v/>
      </c>
      <c r="P209" s="30" t="str">
        <f>IF(AND(Q209&lt;&gt;"",R209&lt;&gt;"",DATE(2026,12,31)&gt;=Q209,DATE(2026,12,1)&lt;=R209),"█","")</f>
        <v/>
      </c>
      <c r="Q209" s="7" t="str">
        <f>IF('Release Calendar'!I209&lt;&gt;"",'Release Calendar'!I209,"")</f>
        <v/>
      </c>
      <c r="R209" s="7" t="str">
        <f>IF('Release Calendar'!J209&lt;&gt;"",'Release Calendar'!J209,"")</f>
        <v/>
      </c>
    </row>
    <row r="210" spans="1:18" ht="20.100000000000001" customHeight="1">
      <c r="A210" s="31">
        <v>206</v>
      </c>
      <c r="B210" s="32" t="str">
        <f>IF('Release Calendar'!B210&lt;&gt;"",'Release Calendar'!B210,"")</f>
        <v/>
      </c>
      <c r="C210" s="33" t="str">
        <f>IF('Release Calendar'!K210&lt;&gt;"",'Release Calendar'!K210,"")</f>
        <v/>
      </c>
      <c r="D210" s="33" t="str">
        <f>IF('Release Calendar'!M210&lt;&gt;"",'Release Calendar'!M210,"")</f>
        <v/>
      </c>
      <c r="E210" s="34" t="str">
        <f>IF(AND(Q210&lt;&gt;"",R210&lt;&gt;"",DATE(2026,2,0)&gt;=Q210,DATE(2026,1,1)&lt;=R210),"█","")</f>
        <v/>
      </c>
      <c r="F210" s="34" t="str">
        <f>IF(AND(Q210&lt;&gt;"",R210&lt;&gt;"",DATE(2026,3,0)&gt;=Q210,DATE(2026,2,1)&lt;=R210),"█","")</f>
        <v/>
      </c>
      <c r="G210" s="34" t="str">
        <f>IF(AND(Q210&lt;&gt;"",R210&lt;&gt;"",DATE(2026,4,0)&gt;=Q210,DATE(2026,3,1)&lt;=R210),"█","")</f>
        <v/>
      </c>
      <c r="H210" s="34" t="str">
        <f>IF(AND(Q210&lt;&gt;"",R210&lt;&gt;"",DATE(2026,5,0)&gt;=Q210,DATE(2026,4,1)&lt;=R210),"█","")</f>
        <v/>
      </c>
      <c r="I210" s="34" t="str">
        <f>IF(AND(Q210&lt;&gt;"",R210&lt;&gt;"",DATE(2026,6,0)&gt;=Q210,DATE(2026,5,1)&lt;=R210),"█","")</f>
        <v/>
      </c>
      <c r="J210" s="34" t="str">
        <f>IF(AND(Q210&lt;&gt;"",R210&lt;&gt;"",DATE(2026,7,0)&gt;=Q210,DATE(2026,6,1)&lt;=R210),"█","")</f>
        <v/>
      </c>
      <c r="K210" s="34" t="str">
        <f>IF(AND(Q210&lt;&gt;"",R210&lt;&gt;"",DATE(2026,8,0)&gt;=Q210,DATE(2026,7,1)&lt;=R210),"█","")</f>
        <v/>
      </c>
      <c r="L210" s="34" t="str">
        <f>IF(AND(Q210&lt;&gt;"",R210&lt;&gt;"",DATE(2026,9,0)&gt;=Q210,DATE(2026,8,1)&lt;=R210),"█","")</f>
        <v/>
      </c>
      <c r="M210" s="34" t="str">
        <f>IF(AND(Q210&lt;&gt;"",R210&lt;&gt;"",DATE(2026,10,0)&gt;=Q210,DATE(2026,9,1)&lt;=R210),"█","")</f>
        <v/>
      </c>
      <c r="N210" s="34" t="str">
        <f>IF(AND(Q210&lt;&gt;"",R210&lt;&gt;"",DATE(2026,11,0)&gt;=Q210,DATE(2026,10,1)&lt;=R210),"█","")</f>
        <v/>
      </c>
      <c r="O210" s="34" t="str">
        <f>IF(AND(Q210&lt;&gt;"",R210&lt;&gt;"",DATE(2026,12,0)&gt;=Q210,DATE(2026,11,1)&lt;=R210),"█","")</f>
        <v/>
      </c>
      <c r="P210" s="34" t="str">
        <f>IF(AND(Q210&lt;&gt;"",R210&lt;&gt;"",DATE(2026,12,31)&gt;=Q210,DATE(2026,12,1)&lt;=R210),"█","")</f>
        <v/>
      </c>
      <c r="Q210" s="7" t="str">
        <f>IF('Release Calendar'!I210&lt;&gt;"",'Release Calendar'!I210,"")</f>
        <v/>
      </c>
      <c r="R210" s="7" t="str">
        <f>IF('Release Calendar'!J210&lt;&gt;"",'Release Calendar'!J210,"")</f>
        <v/>
      </c>
    </row>
    <row r="211" spans="1:18" ht="20.100000000000001" customHeight="1">
      <c r="A211" s="14">
        <v>207</v>
      </c>
      <c r="B211" s="28" t="str">
        <f>IF('Release Calendar'!B211&lt;&gt;"",'Release Calendar'!B211,"")</f>
        <v/>
      </c>
      <c r="C211" s="29" t="str">
        <f>IF('Release Calendar'!K211&lt;&gt;"",'Release Calendar'!K211,"")</f>
        <v/>
      </c>
      <c r="D211" s="29" t="str">
        <f>IF('Release Calendar'!M211&lt;&gt;"",'Release Calendar'!M211,"")</f>
        <v/>
      </c>
      <c r="E211" s="30" t="str">
        <f>IF(AND(Q211&lt;&gt;"",R211&lt;&gt;"",DATE(2026,2,0)&gt;=Q211,DATE(2026,1,1)&lt;=R211),"█","")</f>
        <v/>
      </c>
      <c r="F211" s="30" t="str">
        <f>IF(AND(Q211&lt;&gt;"",R211&lt;&gt;"",DATE(2026,3,0)&gt;=Q211,DATE(2026,2,1)&lt;=R211),"█","")</f>
        <v/>
      </c>
      <c r="G211" s="30" t="str">
        <f>IF(AND(Q211&lt;&gt;"",R211&lt;&gt;"",DATE(2026,4,0)&gt;=Q211,DATE(2026,3,1)&lt;=R211),"█","")</f>
        <v/>
      </c>
      <c r="H211" s="30" t="str">
        <f>IF(AND(Q211&lt;&gt;"",R211&lt;&gt;"",DATE(2026,5,0)&gt;=Q211,DATE(2026,4,1)&lt;=R211),"█","")</f>
        <v/>
      </c>
      <c r="I211" s="30" t="str">
        <f>IF(AND(Q211&lt;&gt;"",R211&lt;&gt;"",DATE(2026,6,0)&gt;=Q211,DATE(2026,5,1)&lt;=R211),"█","")</f>
        <v/>
      </c>
      <c r="J211" s="30" t="str">
        <f>IF(AND(Q211&lt;&gt;"",R211&lt;&gt;"",DATE(2026,7,0)&gt;=Q211,DATE(2026,6,1)&lt;=R211),"█","")</f>
        <v/>
      </c>
      <c r="K211" s="30" t="str">
        <f>IF(AND(Q211&lt;&gt;"",R211&lt;&gt;"",DATE(2026,8,0)&gt;=Q211,DATE(2026,7,1)&lt;=R211),"█","")</f>
        <v/>
      </c>
      <c r="L211" s="30" t="str">
        <f>IF(AND(Q211&lt;&gt;"",R211&lt;&gt;"",DATE(2026,9,0)&gt;=Q211,DATE(2026,8,1)&lt;=R211),"█","")</f>
        <v/>
      </c>
      <c r="M211" s="30" t="str">
        <f>IF(AND(Q211&lt;&gt;"",R211&lt;&gt;"",DATE(2026,10,0)&gt;=Q211,DATE(2026,9,1)&lt;=R211),"█","")</f>
        <v/>
      </c>
      <c r="N211" s="30" t="str">
        <f>IF(AND(Q211&lt;&gt;"",R211&lt;&gt;"",DATE(2026,11,0)&gt;=Q211,DATE(2026,10,1)&lt;=R211),"█","")</f>
        <v/>
      </c>
      <c r="O211" s="30" t="str">
        <f>IF(AND(Q211&lt;&gt;"",R211&lt;&gt;"",DATE(2026,12,0)&gt;=Q211,DATE(2026,11,1)&lt;=R211),"█","")</f>
        <v/>
      </c>
      <c r="P211" s="30" t="str">
        <f>IF(AND(Q211&lt;&gt;"",R211&lt;&gt;"",DATE(2026,12,31)&gt;=Q211,DATE(2026,12,1)&lt;=R211),"█","")</f>
        <v/>
      </c>
      <c r="Q211" s="7" t="str">
        <f>IF('Release Calendar'!I211&lt;&gt;"",'Release Calendar'!I211,"")</f>
        <v/>
      </c>
      <c r="R211" s="7" t="str">
        <f>IF('Release Calendar'!J211&lt;&gt;"",'Release Calendar'!J211,"")</f>
        <v/>
      </c>
    </row>
    <row r="212" spans="1:18" ht="20.100000000000001" customHeight="1">
      <c r="A212" s="31">
        <v>208</v>
      </c>
      <c r="B212" s="32" t="str">
        <f>IF('Release Calendar'!B212&lt;&gt;"",'Release Calendar'!B212,"")</f>
        <v/>
      </c>
      <c r="C212" s="33" t="str">
        <f>IF('Release Calendar'!K212&lt;&gt;"",'Release Calendar'!K212,"")</f>
        <v/>
      </c>
      <c r="D212" s="33" t="str">
        <f>IF('Release Calendar'!M212&lt;&gt;"",'Release Calendar'!M212,"")</f>
        <v/>
      </c>
      <c r="E212" s="34" t="str">
        <f>IF(AND(Q212&lt;&gt;"",R212&lt;&gt;"",DATE(2026,2,0)&gt;=Q212,DATE(2026,1,1)&lt;=R212),"█","")</f>
        <v/>
      </c>
      <c r="F212" s="34" t="str">
        <f>IF(AND(Q212&lt;&gt;"",R212&lt;&gt;"",DATE(2026,3,0)&gt;=Q212,DATE(2026,2,1)&lt;=R212),"█","")</f>
        <v/>
      </c>
      <c r="G212" s="34" t="str">
        <f>IF(AND(Q212&lt;&gt;"",R212&lt;&gt;"",DATE(2026,4,0)&gt;=Q212,DATE(2026,3,1)&lt;=R212),"█","")</f>
        <v/>
      </c>
      <c r="H212" s="34" t="str">
        <f>IF(AND(Q212&lt;&gt;"",R212&lt;&gt;"",DATE(2026,5,0)&gt;=Q212,DATE(2026,4,1)&lt;=R212),"█","")</f>
        <v/>
      </c>
      <c r="I212" s="34" t="str">
        <f>IF(AND(Q212&lt;&gt;"",R212&lt;&gt;"",DATE(2026,6,0)&gt;=Q212,DATE(2026,5,1)&lt;=R212),"█","")</f>
        <v/>
      </c>
      <c r="J212" s="34" t="str">
        <f>IF(AND(Q212&lt;&gt;"",R212&lt;&gt;"",DATE(2026,7,0)&gt;=Q212,DATE(2026,6,1)&lt;=R212),"█","")</f>
        <v/>
      </c>
      <c r="K212" s="34" t="str">
        <f>IF(AND(Q212&lt;&gt;"",R212&lt;&gt;"",DATE(2026,8,0)&gt;=Q212,DATE(2026,7,1)&lt;=R212),"█","")</f>
        <v/>
      </c>
      <c r="L212" s="34" t="str">
        <f>IF(AND(Q212&lt;&gt;"",R212&lt;&gt;"",DATE(2026,9,0)&gt;=Q212,DATE(2026,8,1)&lt;=R212),"█","")</f>
        <v/>
      </c>
      <c r="M212" s="34" t="str">
        <f>IF(AND(Q212&lt;&gt;"",R212&lt;&gt;"",DATE(2026,10,0)&gt;=Q212,DATE(2026,9,1)&lt;=R212),"█","")</f>
        <v/>
      </c>
      <c r="N212" s="34" t="str">
        <f>IF(AND(Q212&lt;&gt;"",R212&lt;&gt;"",DATE(2026,11,0)&gt;=Q212,DATE(2026,10,1)&lt;=R212),"█","")</f>
        <v/>
      </c>
      <c r="O212" s="34" t="str">
        <f>IF(AND(Q212&lt;&gt;"",R212&lt;&gt;"",DATE(2026,12,0)&gt;=Q212,DATE(2026,11,1)&lt;=R212),"█","")</f>
        <v/>
      </c>
      <c r="P212" s="34" t="str">
        <f>IF(AND(Q212&lt;&gt;"",R212&lt;&gt;"",DATE(2026,12,31)&gt;=Q212,DATE(2026,12,1)&lt;=R212),"█","")</f>
        <v/>
      </c>
      <c r="Q212" s="7" t="str">
        <f>IF('Release Calendar'!I212&lt;&gt;"",'Release Calendar'!I212,"")</f>
        <v/>
      </c>
      <c r="R212" s="7" t="str">
        <f>IF('Release Calendar'!J212&lt;&gt;"",'Release Calendar'!J212,"")</f>
        <v/>
      </c>
    </row>
    <row r="213" spans="1:18" ht="20.100000000000001" customHeight="1">
      <c r="A213" s="14">
        <v>209</v>
      </c>
      <c r="B213" s="28" t="str">
        <f>IF('Release Calendar'!B213&lt;&gt;"",'Release Calendar'!B213,"")</f>
        <v/>
      </c>
      <c r="C213" s="29" t="str">
        <f>IF('Release Calendar'!K213&lt;&gt;"",'Release Calendar'!K213,"")</f>
        <v/>
      </c>
      <c r="D213" s="29" t="str">
        <f>IF('Release Calendar'!M213&lt;&gt;"",'Release Calendar'!M213,"")</f>
        <v/>
      </c>
      <c r="E213" s="30" t="str">
        <f>IF(AND(Q213&lt;&gt;"",R213&lt;&gt;"",DATE(2026,2,0)&gt;=Q213,DATE(2026,1,1)&lt;=R213),"█","")</f>
        <v/>
      </c>
      <c r="F213" s="30" t="str">
        <f>IF(AND(Q213&lt;&gt;"",R213&lt;&gt;"",DATE(2026,3,0)&gt;=Q213,DATE(2026,2,1)&lt;=R213),"█","")</f>
        <v/>
      </c>
      <c r="G213" s="30" t="str">
        <f>IF(AND(Q213&lt;&gt;"",R213&lt;&gt;"",DATE(2026,4,0)&gt;=Q213,DATE(2026,3,1)&lt;=R213),"█","")</f>
        <v/>
      </c>
      <c r="H213" s="30" t="str">
        <f>IF(AND(Q213&lt;&gt;"",R213&lt;&gt;"",DATE(2026,5,0)&gt;=Q213,DATE(2026,4,1)&lt;=R213),"█","")</f>
        <v/>
      </c>
      <c r="I213" s="30" t="str">
        <f>IF(AND(Q213&lt;&gt;"",R213&lt;&gt;"",DATE(2026,6,0)&gt;=Q213,DATE(2026,5,1)&lt;=R213),"█","")</f>
        <v/>
      </c>
      <c r="J213" s="30" t="str">
        <f>IF(AND(Q213&lt;&gt;"",R213&lt;&gt;"",DATE(2026,7,0)&gt;=Q213,DATE(2026,6,1)&lt;=R213),"█","")</f>
        <v/>
      </c>
      <c r="K213" s="30" t="str">
        <f>IF(AND(Q213&lt;&gt;"",R213&lt;&gt;"",DATE(2026,8,0)&gt;=Q213,DATE(2026,7,1)&lt;=R213),"█","")</f>
        <v/>
      </c>
      <c r="L213" s="30" t="str">
        <f>IF(AND(Q213&lt;&gt;"",R213&lt;&gt;"",DATE(2026,9,0)&gt;=Q213,DATE(2026,8,1)&lt;=R213),"█","")</f>
        <v/>
      </c>
      <c r="M213" s="30" t="str">
        <f>IF(AND(Q213&lt;&gt;"",R213&lt;&gt;"",DATE(2026,10,0)&gt;=Q213,DATE(2026,9,1)&lt;=R213),"█","")</f>
        <v/>
      </c>
      <c r="N213" s="30" t="str">
        <f>IF(AND(Q213&lt;&gt;"",R213&lt;&gt;"",DATE(2026,11,0)&gt;=Q213,DATE(2026,10,1)&lt;=R213),"█","")</f>
        <v/>
      </c>
      <c r="O213" s="30" t="str">
        <f>IF(AND(Q213&lt;&gt;"",R213&lt;&gt;"",DATE(2026,12,0)&gt;=Q213,DATE(2026,11,1)&lt;=R213),"█","")</f>
        <v/>
      </c>
      <c r="P213" s="30" t="str">
        <f>IF(AND(Q213&lt;&gt;"",R213&lt;&gt;"",DATE(2026,12,31)&gt;=Q213,DATE(2026,12,1)&lt;=R213),"█","")</f>
        <v/>
      </c>
      <c r="Q213" s="7" t="str">
        <f>IF('Release Calendar'!I213&lt;&gt;"",'Release Calendar'!I213,"")</f>
        <v/>
      </c>
      <c r="R213" s="7" t="str">
        <f>IF('Release Calendar'!J213&lt;&gt;"",'Release Calendar'!J213,"")</f>
        <v/>
      </c>
    </row>
    <row r="214" spans="1:18" ht="20.100000000000001" customHeight="1">
      <c r="A214" s="31">
        <v>210</v>
      </c>
      <c r="B214" s="32" t="str">
        <f>IF('Release Calendar'!B214&lt;&gt;"",'Release Calendar'!B214,"")</f>
        <v/>
      </c>
      <c r="C214" s="33" t="str">
        <f>IF('Release Calendar'!K214&lt;&gt;"",'Release Calendar'!K214,"")</f>
        <v/>
      </c>
      <c r="D214" s="33" t="str">
        <f>IF('Release Calendar'!M214&lt;&gt;"",'Release Calendar'!M214,"")</f>
        <v/>
      </c>
      <c r="E214" s="34" t="str">
        <f>IF(AND(Q214&lt;&gt;"",R214&lt;&gt;"",DATE(2026,2,0)&gt;=Q214,DATE(2026,1,1)&lt;=R214),"█","")</f>
        <v/>
      </c>
      <c r="F214" s="34" t="str">
        <f>IF(AND(Q214&lt;&gt;"",R214&lt;&gt;"",DATE(2026,3,0)&gt;=Q214,DATE(2026,2,1)&lt;=R214),"█","")</f>
        <v/>
      </c>
      <c r="G214" s="34" t="str">
        <f>IF(AND(Q214&lt;&gt;"",R214&lt;&gt;"",DATE(2026,4,0)&gt;=Q214,DATE(2026,3,1)&lt;=R214),"█","")</f>
        <v/>
      </c>
      <c r="H214" s="34" t="str">
        <f>IF(AND(Q214&lt;&gt;"",R214&lt;&gt;"",DATE(2026,5,0)&gt;=Q214,DATE(2026,4,1)&lt;=R214),"█","")</f>
        <v/>
      </c>
      <c r="I214" s="34" t="str">
        <f>IF(AND(Q214&lt;&gt;"",R214&lt;&gt;"",DATE(2026,6,0)&gt;=Q214,DATE(2026,5,1)&lt;=R214),"█","")</f>
        <v/>
      </c>
      <c r="J214" s="34" t="str">
        <f>IF(AND(Q214&lt;&gt;"",R214&lt;&gt;"",DATE(2026,7,0)&gt;=Q214,DATE(2026,6,1)&lt;=R214),"█","")</f>
        <v/>
      </c>
      <c r="K214" s="34" t="str">
        <f>IF(AND(Q214&lt;&gt;"",R214&lt;&gt;"",DATE(2026,8,0)&gt;=Q214,DATE(2026,7,1)&lt;=R214),"█","")</f>
        <v/>
      </c>
      <c r="L214" s="34" t="str">
        <f>IF(AND(Q214&lt;&gt;"",R214&lt;&gt;"",DATE(2026,9,0)&gt;=Q214,DATE(2026,8,1)&lt;=R214),"█","")</f>
        <v/>
      </c>
      <c r="M214" s="34" t="str">
        <f>IF(AND(Q214&lt;&gt;"",R214&lt;&gt;"",DATE(2026,10,0)&gt;=Q214,DATE(2026,9,1)&lt;=R214),"█","")</f>
        <v/>
      </c>
      <c r="N214" s="34" t="str">
        <f>IF(AND(Q214&lt;&gt;"",R214&lt;&gt;"",DATE(2026,11,0)&gt;=Q214,DATE(2026,10,1)&lt;=R214),"█","")</f>
        <v/>
      </c>
      <c r="O214" s="34" t="str">
        <f>IF(AND(Q214&lt;&gt;"",R214&lt;&gt;"",DATE(2026,12,0)&gt;=Q214,DATE(2026,11,1)&lt;=R214),"█","")</f>
        <v/>
      </c>
      <c r="P214" s="34" t="str">
        <f>IF(AND(Q214&lt;&gt;"",R214&lt;&gt;"",DATE(2026,12,31)&gt;=Q214,DATE(2026,12,1)&lt;=R214),"█","")</f>
        <v/>
      </c>
      <c r="Q214" s="7" t="str">
        <f>IF('Release Calendar'!I214&lt;&gt;"",'Release Calendar'!I214,"")</f>
        <v/>
      </c>
      <c r="R214" s="7" t="str">
        <f>IF('Release Calendar'!J214&lt;&gt;"",'Release Calendar'!J214,"")</f>
        <v/>
      </c>
    </row>
    <row r="215" spans="1:18" ht="20.100000000000001" customHeight="1">
      <c r="A215" s="14">
        <v>211</v>
      </c>
      <c r="B215" s="28" t="str">
        <f>IF('Release Calendar'!B215&lt;&gt;"",'Release Calendar'!B215,"")</f>
        <v/>
      </c>
      <c r="C215" s="29" t="str">
        <f>IF('Release Calendar'!K215&lt;&gt;"",'Release Calendar'!K215,"")</f>
        <v/>
      </c>
      <c r="D215" s="29" t="str">
        <f>IF('Release Calendar'!M215&lt;&gt;"",'Release Calendar'!M215,"")</f>
        <v/>
      </c>
      <c r="E215" s="30" t="str">
        <f>IF(AND(Q215&lt;&gt;"",R215&lt;&gt;"",DATE(2026,2,0)&gt;=Q215,DATE(2026,1,1)&lt;=R215),"█","")</f>
        <v/>
      </c>
      <c r="F215" s="30" t="str">
        <f>IF(AND(Q215&lt;&gt;"",R215&lt;&gt;"",DATE(2026,3,0)&gt;=Q215,DATE(2026,2,1)&lt;=R215),"█","")</f>
        <v/>
      </c>
      <c r="G215" s="30" t="str">
        <f>IF(AND(Q215&lt;&gt;"",R215&lt;&gt;"",DATE(2026,4,0)&gt;=Q215,DATE(2026,3,1)&lt;=R215),"█","")</f>
        <v/>
      </c>
      <c r="H215" s="30" t="str">
        <f>IF(AND(Q215&lt;&gt;"",R215&lt;&gt;"",DATE(2026,5,0)&gt;=Q215,DATE(2026,4,1)&lt;=R215),"█","")</f>
        <v/>
      </c>
      <c r="I215" s="30" t="str">
        <f>IF(AND(Q215&lt;&gt;"",R215&lt;&gt;"",DATE(2026,6,0)&gt;=Q215,DATE(2026,5,1)&lt;=R215),"█","")</f>
        <v/>
      </c>
      <c r="J215" s="30" t="str">
        <f>IF(AND(Q215&lt;&gt;"",R215&lt;&gt;"",DATE(2026,7,0)&gt;=Q215,DATE(2026,6,1)&lt;=R215),"█","")</f>
        <v/>
      </c>
      <c r="K215" s="30" t="str">
        <f>IF(AND(Q215&lt;&gt;"",R215&lt;&gt;"",DATE(2026,8,0)&gt;=Q215,DATE(2026,7,1)&lt;=R215),"█","")</f>
        <v/>
      </c>
      <c r="L215" s="30" t="str">
        <f>IF(AND(Q215&lt;&gt;"",R215&lt;&gt;"",DATE(2026,9,0)&gt;=Q215,DATE(2026,8,1)&lt;=R215),"█","")</f>
        <v/>
      </c>
      <c r="M215" s="30" t="str">
        <f>IF(AND(Q215&lt;&gt;"",R215&lt;&gt;"",DATE(2026,10,0)&gt;=Q215,DATE(2026,9,1)&lt;=R215),"█","")</f>
        <v/>
      </c>
      <c r="N215" s="30" t="str">
        <f>IF(AND(Q215&lt;&gt;"",R215&lt;&gt;"",DATE(2026,11,0)&gt;=Q215,DATE(2026,10,1)&lt;=R215),"█","")</f>
        <v/>
      </c>
      <c r="O215" s="30" t="str">
        <f>IF(AND(Q215&lt;&gt;"",R215&lt;&gt;"",DATE(2026,12,0)&gt;=Q215,DATE(2026,11,1)&lt;=R215),"█","")</f>
        <v/>
      </c>
      <c r="P215" s="30" t="str">
        <f>IF(AND(Q215&lt;&gt;"",R215&lt;&gt;"",DATE(2026,12,31)&gt;=Q215,DATE(2026,12,1)&lt;=R215),"█","")</f>
        <v/>
      </c>
      <c r="Q215" s="7" t="str">
        <f>IF('Release Calendar'!I215&lt;&gt;"",'Release Calendar'!I215,"")</f>
        <v/>
      </c>
      <c r="R215" s="7" t="str">
        <f>IF('Release Calendar'!J215&lt;&gt;"",'Release Calendar'!J215,"")</f>
        <v/>
      </c>
    </row>
    <row r="216" spans="1:18" ht="20.100000000000001" customHeight="1">
      <c r="A216" s="31">
        <v>212</v>
      </c>
      <c r="B216" s="32" t="str">
        <f>IF('Release Calendar'!B216&lt;&gt;"",'Release Calendar'!B216,"")</f>
        <v/>
      </c>
      <c r="C216" s="33" t="str">
        <f>IF('Release Calendar'!K216&lt;&gt;"",'Release Calendar'!K216,"")</f>
        <v/>
      </c>
      <c r="D216" s="33" t="str">
        <f>IF('Release Calendar'!M216&lt;&gt;"",'Release Calendar'!M216,"")</f>
        <v/>
      </c>
      <c r="E216" s="34" t="str">
        <f>IF(AND(Q216&lt;&gt;"",R216&lt;&gt;"",DATE(2026,2,0)&gt;=Q216,DATE(2026,1,1)&lt;=R216),"█","")</f>
        <v/>
      </c>
      <c r="F216" s="34" t="str">
        <f>IF(AND(Q216&lt;&gt;"",R216&lt;&gt;"",DATE(2026,3,0)&gt;=Q216,DATE(2026,2,1)&lt;=R216),"█","")</f>
        <v/>
      </c>
      <c r="G216" s="34" t="str">
        <f>IF(AND(Q216&lt;&gt;"",R216&lt;&gt;"",DATE(2026,4,0)&gt;=Q216,DATE(2026,3,1)&lt;=R216),"█","")</f>
        <v/>
      </c>
      <c r="H216" s="34" t="str">
        <f>IF(AND(Q216&lt;&gt;"",R216&lt;&gt;"",DATE(2026,5,0)&gt;=Q216,DATE(2026,4,1)&lt;=R216),"█","")</f>
        <v/>
      </c>
      <c r="I216" s="34" t="str">
        <f>IF(AND(Q216&lt;&gt;"",R216&lt;&gt;"",DATE(2026,6,0)&gt;=Q216,DATE(2026,5,1)&lt;=R216),"█","")</f>
        <v/>
      </c>
      <c r="J216" s="34" t="str">
        <f>IF(AND(Q216&lt;&gt;"",R216&lt;&gt;"",DATE(2026,7,0)&gt;=Q216,DATE(2026,6,1)&lt;=R216),"█","")</f>
        <v/>
      </c>
      <c r="K216" s="34" t="str">
        <f>IF(AND(Q216&lt;&gt;"",R216&lt;&gt;"",DATE(2026,8,0)&gt;=Q216,DATE(2026,7,1)&lt;=R216),"█","")</f>
        <v/>
      </c>
      <c r="L216" s="34" t="str">
        <f>IF(AND(Q216&lt;&gt;"",R216&lt;&gt;"",DATE(2026,9,0)&gt;=Q216,DATE(2026,8,1)&lt;=R216),"█","")</f>
        <v/>
      </c>
      <c r="M216" s="34" t="str">
        <f>IF(AND(Q216&lt;&gt;"",R216&lt;&gt;"",DATE(2026,10,0)&gt;=Q216,DATE(2026,9,1)&lt;=R216),"█","")</f>
        <v/>
      </c>
      <c r="N216" s="34" t="str">
        <f>IF(AND(Q216&lt;&gt;"",R216&lt;&gt;"",DATE(2026,11,0)&gt;=Q216,DATE(2026,10,1)&lt;=R216),"█","")</f>
        <v/>
      </c>
      <c r="O216" s="34" t="str">
        <f>IF(AND(Q216&lt;&gt;"",R216&lt;&gt;"",DATE(2026,12,0)&gt;=Q216,DATE(2026,11,1)&lt;=R216),"█","")</f>
        <v/>
      </c>
      <c r="P216" s="34" t="str">
        <f>IF(AND(Q216&lt;&gt;"",R216&lt;&gt;"",DATE(2026,12,31)&gt;=Q216,DATE(2026,12,1)&lt;=R216),"█","")</f>
        <v/>
      </c>
      <c r="Q216" s="7" t="str">
        <f>IF('Release Calendar'!I216&lt;&gt;"",'Release Calendar'!I216,"")</f>
        <v/>
      </c>
      <c r="R216" s="7" t="str">
        <f>IF('Release Calendar'!J216&lt;&gt;"",'Release Calendar'!J216,"")</f>
        <v/>
      </c>
    </row>
    <row r="217" spans="1:18" ht="20.100000000000001" customHeight="1">
      <c r="A217" s="14">
        <v>213</v>
      </c>
      <c r="B217" s="28" t="str">
        <f>IF('Release Calendar'!B217&lt;&gt;"",'Release Calendar'!B217,"")</f>
        <v/>
      </c>
      <c r="C217" s="29" t="str">
        <f>IF('Release Calendar'!K217&lt;&gt;"",'Release Calendar'!K217,"")</f>
        <v/>
      </c>
      <c r="D217" s="29" t="str">
        <f>IF('Release Calendar'!M217&lt;&gt;"",'Release Calendar'!M217,"")</f>
        <v/>
      </c>
      <c r="E217" s="30" t="str">
        <f>IF(AND(Q217&lt;&gt;"",R217&lt;&gt;"",DATE(2026,2,0)&gt;=Q217,DATE(2026,1,1)&lt;=R217),"█","")</f>
        <v/>
      </c>
      <c r="F217" s="30" t="str">
        <f>IF(AND(Q217&lt;&gt;"",R217&lt;&gt;"",DATE(2026,3,0)&gt;=Q217,DATE(2026,2,1)&lt;=R217),"█","")</f>
        <v/>
      </c>
      <c r="G217" s="30" t="str">
        <f>IF(AND(Q217&lt;&gt;"",R217&lt;&gt;"",DATE(2026,4,0)&gt;=Q217,DATE(2026,3,1)&lt;=R217),"█","")</f>
        <v/>
      </c>
      <c r="H217" s="30" t="str">
        <f>IF(AND(Q217&lt;&gt;"",R217&lt;&gt;"",DATE(2026,5,0)&gt;=Q217,DATE(2026,4,1)&lt;=R217),"█","")</f>
        <v/>
      </c>
      <c r="I217" s="30" t="str">
        <f>IF(AND(Q217&lt;&gt;"",R217&lt;&gt;"",DATE(2026,6,0)&gt;=Q217,DATE(2026,5,1)&lt;=R217),"█","")</f>
        <v/>
      </c>
      <c r="J217" s="30" t="str">
        <f>IF(AND(Q217&lt;&gt;"",R217&lt;&gt;"",DATE(2026,7,0)&gt;=Q217,DATE(2026,6,1)&lt;=R217),"█","")</f>
        <v/>
      </c>
      <c r="K217" s="30" t="str">
        <f>IF(AND(Q217&lt;&gt;"",R217&lt;&gt;"",DATE(2026,8,0)&gt;=Q217,DATE(2026,7,1)&lt;=R217),"█","")</f>
        <v/>
      </c>
      <c r="L217" s="30" t="str">
        <f>IF(AND(Q217&lt;&gt;"",R217&lt;&gt;"",DATE(2026,9,0)&gt;=Q217,DATE(2026,8,1)&lt;=R217),"█","")</f>
        <v/>
      </c>
      <c r="M217" s="30" t="str">
        <f>IF(AND(Q217&lt;&gt;"",R217&lt;&gt;"",DATE(2026,10,0)&gt;=Q217,DATE(2026,9,1)&lt;=R217),"█","")</f>
        <v/>
      </c>
      <c r="N217" s="30" t="str">
        <f>IF(AND(Q217&lt;&gt;"",R217&lt;&gt;"",DATE(2026,11,0)&gt;=Q217,DATE(2026,10,1)&lt;=R217),"█","")</f>
        <v/>
      </c>
      <c r="O217" s="30" t="str">
        <f>IF(AND(Q217&lt;&gt;"",R217&lt;&gt;"",DATE(2026,12,0)&gt;=Q217,DATE(2026,11,1)&lt;=R217),"█","")</f>
        <v/>
      </c>
      <c r="P217" s="30" t="str">
        <f>IF(AND(Q217&lt;&gt;"",R217&lt;&gt;"",DATE(2026,12,31)&gt;=Q217,DATE(2026,12,1)&lt;=R217),"█","")</f>
        <v/>
      </c>
      <c r="Q217" s="7" t="str">
        <f>IF('Release Calendar'!I217&lt;&gt;"",'Release Calendar'!I217,"")</f>
        <v/>
      </c>
      <c r="R217" s="7" t="str">
        <f>IF('Release Calendar'!J217&lt;&gt;"",'Release Calendar'!J217,"")</f>
        <v/>
      </c>
    </row>
    <row r="218" spans="1:18" ht="20.100000000000001" customHeight="1">
      <c r="A218" s="31">
        <v>214</v>
      </c>
      <c r="B218" s="32" t="str">
        <f>IF('Release Calendar'!B218&lt;&gt;"",'Release Calendar'!B218,"")</f>
        <v/>
      </c>
      <c r="C218" s="33" t="str">
        <f>IF('Release Calendar'!K218&lt;&gt;"",'Release Calendar'!K218,"")</f>
        <v/>
      </c>
      <c r="D218" s="33" t="str">
        <f>IF('Release Calendar'!M218&lt;&gt;"",'Release Calendar'!M218,"")</f>
        <v/>
      </c>
      <c r="E218" s="34" t="str">
        <f>IF(AND(Q218&lt;&gt;"",R218&lt;&gt;"",DATE(2026,2,0)&gt;=Q218,DATE(2026,1,1)&lt;=R218),"█","")</f>
        <v/>
      </c>
      <c r="F218" s="34" t="str">
        <f>IF(AND(Q218&lt;&gt;"",R218&lt;&gt;"",DATE(2026,3,0)&gt;=Q218,DATE(2026,2,1)&lt;=R218),"█","")</f>
        <v/>
      </c>
      <c r="G218" s="34" t="str">
        <f>IF(AND(Q218&lt;&gt;"",R218&lt;&gt;"",DATE(2026,4,0)&gt;=Q218,DATE(2026,3,1)&lt;=R218),"█","")</f>
        <v/>
      </c>
      <c r="H218" s="34" t="str">
        <f>IF(AND(Q218&lt;&gt;"",R218&lt;&gt;"",DATE(2026,5,0)&gt;=Q218,DATE(2026,4,1)&lt;=R218),"█","")</f>
        <v/>
      </c>
      <c r="I218" s="34" t="str">
        <f>IF(AND(Q218&lt;&gt;"",R218&lt;&gt;"",DATE(2026,6,0)&gt;=Q218,DATE(2026,5,1)&lt;=R218),"█","")</f>
        <v/>
      </c>
      <c r="J218" s="34" t="str">
        <f>IF(AND(Q218&lt;&gt;"",R218&lt;&gt;"",DATE(2026,7,0)&gt;=Q218,DATE(2026,6,1)&lt;=R218),"█","")</f>
        <v/>
      </c>
      <c r="K218" s="34" t="str">
        <f>IF(AND(Q218&lt;&gt;"",R218&lt;&gt;"",DATE(2026,8,0)&gt;=Q218,DATE(2026,7,1)&lt;=R218),"█","")</f>
        <v/>
      </c>
      <c r="L218" s="34" t="str">
        <f>IF(AND(Q218&lt;&gt;"",R218&lt;&gt;"",DATE(2026,9,0)&gt;=Q218,DATE(2026,8,1)&lt;=R218),"█","")</f>
        <v/>
      </c>
      <c r="M218" s="34" t="str">
        <f>IF(AND(Q218&lt;&gt;"",R218&lt;&gt;"",DATE(2026,10,0)&gt;=Q218,DATE(2026,9,1)&lt;=R218),"█","")</f>
        <v/>
      </c>
      <c r="N218" s="34" t="str">
        <f>IF(AND(Q218&lt;&gt;"",R218&lt;&gt;"",DATE(2026,11,0)&gt;=Q218,DATE(2026,10,1)&lt;=R218),"█","")</f>
        <v/>
      </c>
      <c r="O218" s="34" t="str">
        <f>IF(AND(Q218&lt;&gt;"",R218&lt;&gt;"",DATE(2026,12,0)&gt;=Q218,DATE(2026,11,1)&lt;=R218),"█","")</f>
        <v/>
      </c>
      <c r="P218" s="34" t="str">
        <f>IF(AND(Q218&lt;&gt;"",R218&lt;&gt;"",DATE(2026,12,31)&gt;=Q218,DATE(2026,12,1)&lt;=R218),"█","")</f>
        <v/>
      </c>
      <c r="Q218" s="7" t="str">
        <f>IF('Release Calendar'!I218&lt;&gt;"",'Release Calendar'!I218,"")</f>
        <v/>
      </c>
      <c r="R218" s="7" t="str">
        <f>IF('Release Calendar'!J218&lt;&gt;"",'Release Calendar'!J218,"")</f>
        <v/>
      </c>
    </row>
    <row r="219" spans="1:18" ht="20.100000000000001" customHeight="1">
      <c r="A219" s="14">
        <v>215</v>
      </c>
      <c r="B219" s="28" t="str">
        <f>IF('Release Calendar'!B219&lt;&gt;"",'Release Calendar'!B219,"")</f>
        <v/>
      </c>
      <c r="C219" s="29" t="str">
        <f>IF('Release Calendar'!K219&lt;&gt;"",'Release Calendar'!K219,"")</f>
        <v/>
      </c>
      <c r="D219" s="29" t="str">
        <f>IF('Release Calendar'!M219&lt;&gt;"",'Release Calendar'!M219,"")</f>
        <v/>
      </c>
      <c r="E219" s="30" t="str">
        <f>IF(AND(Q219&lt;&gt;"",R219&lt;&gt;"",DATE(2026,2,0)&gt;=Q219,DATE(2026,1,1)&lt;=R219),"█","")</f>
        <v/>
      </c>
      <c r="F219" s="30" t="str">
        <f>IF(AND(Q219&lt;&gt;"",R219&lt;&gt;"",DATE(2026,3,0)&gt;=Q219,DATE(2026,2,1)&lt;=R219),"█","")</f>
        <v/>
      </c>
      <c r="G219" s="30" t="str">
        <f>IF(AND(Q219&lt;&gt;"",R219&lt;&gt;"",DATE(2026,4,0)&gt;=Q219,DATE(2026,3,1)&lt;=R219),"█","")</f>
        <v/>
      </c>
      <c r="H219" s="30" t="str">
        <f>IF(AND(Q219&lt;&gt;"",R219&lt;&gt;"",DATE(2026,5,0)&gt;=Q219,DATE(2026,4,1)&lt;=R219),"█","")</f>
        <v/>
      </c>
      <c r="I219" s="30" t="str">
        <f>IF(AND(Q219&lt;&gt;"",R219&lt;&gt;"",DATE(2026,6,0)&gt;=Q219,DATE(2026,5,1)&lt;=R219),"█","")</f>
        <v/>
      </c>
      <c r="J219" s="30" t="str">
        <f>IF(AND(Q219&lt;&gt;"",R219&lt;&gt;"",DATE(2026,7,0)&gt;=Q219,DATE(2026,6,1)&lt;=R219),"█","")</f>
        <v/>
      </c>
      <c r="K219" s="30" t="str">
        <f>IF(AND(Q219&lt;&gt;"",R219&lt;&gt;"",DATE(2026,8,0)&gt;=Q219,DATE(2026,7,1)&lt;=R219),"█","")</f>
        <v/>
      </c>
      <c r="L219" s="30" t="str">
        <f>IF(AND(Q219&lt;&gt;"",R219&lt;&gt;"",DATE(2026,9,0)&gt;=Q219,DATE(2026,8,1)&lt;=R219),"█","")</f>
        <v/>
      </c>
      <c r="M219" s="30" t="str">
        <f>IF(AND(Q219&lt;&gt;"",R219&lt;&gt;"",DATE(2026,10,0)&gt;=Q219,DATE(2026,9,1)&lt;=R219),"█","")</f>
        <v/>
      </c>
      <c r="N219" s="30" t="str">
        <f>IF(AND(Q219&lt;&gt;"",R219&lt;&gt;"",DATE(2026,11,0)&gt;=Q219,DATE(2026,10,1)&lt;=R219),"█","")</f>
        <v/>
      </c>
      <c r="O219" s="30" t="str">
        <f>IF(AND(Q219&lt;&gt;"",R219&lt;&gt;"",DATE(2026,12,0)&gt;=Q219,DATE(2026,11,1)&lt;=R219),"█","")</f>
        <v/>
      </c>
      <c r="P219" s="30" t="str">
        <f>IF(AND(Q219&lt;&gt;"",R219&lt;&gt;"",DATE(2026,12,31)&gt;=Q219,DATE(2026,12,1)&lt;=R219),"█","")</f>
        <v/>
      </c>
      <c r="Q219" s="7" t="str">
        <f>IF('Release Calendar'!I219&lt;&gt;"",'Release Calendar'!I219,"")</f>
        <v/>
      </c>
      <c r="R219" s="7" t="str">
        <f>IF('Release Calendar'!J219&lt;&gt;"",'Release Calendar'!J219,"")</f>
        <v/>
      </c>
    </row>
    <row r="220" spans="1:18" ht="20.100000000000001" customHeight="1">
      <c r="A220" s="31">
        <v>216</v>
      </c>
      <c r="B220" s="32" t="str">
        <f>IF('Release Calendar'!B220&lt;&gt;"",'Release Calendar'!B220,"")</f>
        <v/>
      </c>
      <c r="C220" s="33" t="str">
        <f>IF('Release Calendar'!K220&lt;&gt;"",'Release Calendar'!K220,"")</f>
        <v/>
      </c>
      <c r="D220" s="33" t="str">
        <f>IF('Release Calendar'!M220&lt;&gt;"",'Release Calendar'!M220,"")</f>
        <v/>
      </c>
      <c r="E220" s="34" t="str">
        <f>IF(AND(Q220&lt;&gt;"",R220&lt;&gt;"",DATE(2026,2,0)&gt;=Q220,DATE(2026,1,1)&lt;=R220),"█","")</f>
        <v/>
      </c>
      <c r="F220" s="34" t="str">
        <f>IF(AND(Q220&lt;&gt;"",R220&lt;&gt;"",DATE(2026,3,0)&gt;=Q220,DATE(2026,2,1)&lt;=R220),"█","")</f>
        <v/>
      </c>
      <c r="G220" s="34" t="str">
        <f>IF(AND(Q220&lt;&gt;"",R220&lt;&gt;"",DATE(2026,4,0)&gt;=Q220,DATE(2026,3,1)&lt;=R220),"█","")</f>
        <v/>
      </c>
      <c r="H220" s="34" t="str">
        <f>IF(AND(Q220&lt;&gt;"",R220&lt;&gt;"",DATE(2026,5,0)&gt;=Q220,DATE(2026,4,1)&lt;=R220),"█","")</f>
        <v/>
      </c>
      <c r="I220" s="34" t="str">
        <f>IF(AND(Q220&lt;&gt;"",R220&lt;&gt;"",DATE(2026,6,0)&gt;=Q220,DATE(2026,5,1)&lt;=R220),"█","")</f>
        <v/>
      </c>
      <c r="J220" s="34" t="str">
        <f>IF(AND(Q220&lt;&gt;"",R220&lt;&gt;"",DATE(2026,7,0)&gt;=Q220,DATE(2026,6,1)&lt;=R220),"█","")</f>
        <v/>
      </c>
      <c r="K220" s="34" t="str">
        <f>IF(AND(Q220&lt;&gt;"",R220&lt;&gt;"",DATE(2026,8,0)&gt;=Q220,DATE(2026,7,1)&lt;=R220),"█","")</f>
        <v/>
      </c>
      <c r="L220" s="34" t="str">
        <f>IF(AND(Q220&lt;&gt;"",R220&lt;&gt;"",DATE(2026,9,0)&gt;=Q220,DATE(2026,8,1)&lt;=R220),"█","")</f>
        <v/>
      </c>
      <c r="M220" s="34" t="str">
        <f>IF(AND(Q220&lt;&gt;"",R220&lt;&gt;"",DATE(2026,10,0)&gt;=Q220,DATE(2026,9,1)&lt;=R220),"█","")</f>
        <v/>
      </c>
      <c r="N220" s="34" t="str">
        <f>IF(AND(Q220&lt;&gt;"",R220&lt;&gt;"",DATE(2026,11,0)&gt;=Q220,DATE(2026,10,1)&lt;=R220),"█","")</f>
        <v/>
      </c>
      <c r="O220" s="34" t="str">
        <f>IF(AND(Q220&lt;&gt;"",R220&lt;&gt;"",DATE(2026,12,0)&gt;=Q220,DATE(2026,11,1)&lt;=R220),"█","")</f>
        <v/>
      </c>
      <c r="P220" s="34" t="str">
        <f>IF(AND(Q220&lt;&gt;"",R220&lt;&gt;"",DATE(2026,12,31)&gt;=Q220,DATE(2026,12,1)&lt;=R220),"█","")</f>
        <v/>
      </c>
      <c r="Q220" s="7" t="str">
        <f>IF('Release Calendar'!I220&lt;&gt;"",'Release Calendar'!I220,"")</f>
        <v/>
      </c>
      <c r="R220" s="7" t="str">
        <f>IF('Release Calendar'!J220&lt;&gt;"",'Release Calendar'!J220,"")</f>
        <v/>
      </c>
    </row>
    <row r="221" spans="1:18" ht="20.100000000000001" customHeight="1">
      <c r="A221" s="14">
        <v>217</v>
      </c>
      <c r="B221" s="28" t="str">
        <f>IF('Release Calendar'!B221&lt;&gt;"",'Release Calendar'!B221,"")</f>
        <v/>
      </c>
      <c r="C221" s="29" t="str">
        <f>IF('Release Calendar'!K221&lt;&gt;"",'Release Calendar'!K221,"")</f>
        <v/>
      </c>
      <c r="D221" s="29" t="str">
        <f>IF('Release Calendar'!M221&lt;&gt;"",'Release Calendar'!M221,"")</f>
        <v/>
      </c>
      <c r="E221" s="30" t="str">
        <f>IF(AND(Q221&lt;&gt;"",R221&lt;&gt;"",DATE(2026,2,0)&gt;=Q221,DATE(2026,1,1)&lt;=R221),"█","")</f>
        <v/>
      </c>
      <c r="F221" s="30" t="str">
        <f>IF(AND(Q221&lt;&gt;"",R221&lt;&gt;"",DATE(2026,3,0)&gt;=Q221,DATE(2026,2,1)&lt;=R221),"█","")</f>
        <v/>
      </c>
      <c r="G221" s="30" t="str">
        <f>IF(AND(Q221&lt;&gt;"",R221&lt;&gt;"",DATE(2026,4,0)&gt;=Q221,DATE(2026,3,1)&lt;=R221),"█","")</f>
        <v/>
      </c>
      <c r="H221" s="30" t="str">
        <f>IF(AND(Q221&lt;&gt;"",R221&lt;&gt;"",DATE(2026,5,0)&gt;=Q221,DATE(2026,4,1)&lt;=R221),"█","")</f>
        <v/>
      </c>
      <c r="I221" s="30" t="str">
        <f>IF(AND(Q221&lt;&gt;"",R221&lt;&gt;"",DATE(2026,6,0)&gt;=Q221,DATE(2026,5,1)&lt;=R221),"█","")</f>
        <v/>
      </c>
      <c r="J221" s="30" t="str">
        <f>IF(AND(Q221&lt;&gt;"",R221&lt;&gt;"",DATE(2026,7,0)&gt;=Q221,DATE(2026,6,1)&lt;=R221),"█","")</f>
        <v/>
      </c>
      <c r="K221" s="30" t="str">
        <f>IF(AND(Q221&lt;&gt;"",R221&lt;&gt;"",DATE(2026,8,0)&gt;=Q221,DATE(2026,7,1)&lt;=R221),"█","")</f>
        <v/>
      </c>
      <c r="L221" s="30" t="str">
        <f>IF(AND(Q221&lt;&gt;"",R221&lt;&gt;"",DATE(2026,9,0)&gt;=Q221,DATE(2026,8,1)&lt;=R221),"█","")</f>
        <v/>
      </c>
      <c r="M221" s="30" t="str">
        <f>IF(AND(Q221&lt;&gt;"",R221&lt;&gt;"",DATE(2026,10,0)&gt;=Q221,DATE(2026,9,1)&lt;=R221),"█","")</f>
        <v/>
      </c>
      <c r="N221" s="30" t="str">
        <f>IF(AND(Q221&lt;&gt;"",R221&lt;&gt;"",DATE(2026,11,0)&gt;=Q221,DATE(2026,10,1)&lt;=R221),"█","")</f>
        <v/>
      </c>
      <c r="O221" s="30" t="str">
        <f>IF(AND(Q221&lt;&gt;"",R221&lt;&gt;"",DATE(2026,12,0)&gt;=Q221,DATE(2026,11,1)&lt;=R221),"█","")</f>
        <v/>
      </c>
      <c r="P221" s="30" t="str">
        <f>IF(AND(Q221&lt;&gt;"",R221&lt;&gt;"",DATE(2026,12,31)&gt;=Q221,DATE(2026,12,1)&lt;=R221),"█","")</f>
        <v/>
      </c>
      <c r="Q221" s="7" t="str">
        <f>IF('Release Calendar'!I221&lt;&gt;"",'Release Calendar'!I221,"")</f>
        <v/>
      </c>
      <c r="R221" s="7" t="str">
        <f>IF('Release Calendar'!J221&lt;&gt;"",'Release Calendar'!J221,"")</f>
        <v/>
      </c>
    </row>
    <row r="222" spans="1:18" ht="20.100000000000001" customHeight="1">
      <c r="A222" s="31">
        <v>218</v>
      </c>
      <c r="B222" s="32" t="str">
        <f>IF('Release Calendar'!B222&lt;&gt;"",'Release Calendar'!B222,"")</f>
        <v/>
      </c>
      <c r="C222" s="33" t="str">
        <f>IF('Release Calendar'!K222&lt;&gt;"",'Release Calendar'!K222,"")</f>
        <v/>
      </c>
      <c r="D222" s="33" t="str">
        <f>IF('Release Calendar'!M222&lt;&gt;"",'Release Calendar'!M222,"")</f>
        <v/>
      </c>
      <c r="E222" s="34" t="str">
        <f>IF(AND(Q222&lt;&gt;"",R222&lt;&gt;"",DATE(2026,2,0)&gt;=Q222,DATE(2026,1,1)&lt;=R222),"█","")</f>
        <v/>
      </c>
      <c r="F222" s="34" t="str">
        <f>IF(AND(Q222&lt;&gt;"",R222&lt;&gt;"",DATE(2026,3,0)&gt;=Q222,DATE(2026,2,1)&lt;=R222),"█","")</f>
        <v/>
      </c>
      <c r="G222" s="34" t="str">
        <f>IF(AND(Q222&lt;&gt;"",R222&lt;&gt;"",DATE(2026,4,0)&gt;=Q222,DATE(2026,3,1)&lt;=R222),"█","")</f>
        <v/>
      </c>
      <c r="H222" s="34" t="str">
        <f>IF(AND(Q222&lt;&gt;"",R222&lt;&gt;"",DATE(2026,5,0)&gt;=Q222,DATE(2026,4,1)&lt;=R222),"█","")</f>
        <v/>
      </c>
      <c r="I222" s="34" t="str">
        <f>IF(AND(Q222&lt;&gt;"",R222&lt;&gt;"",DATE(2026,6,0)&gt;=Q222,DATE(2026,5,1)&lt;=R222),"█","")</f>
        <v/>
      </c>
      <c r="J222" s="34" t="str">
        <f>IF(AND(Q222&lt;&gt;"",R222&lt;&gt;"",DATE(2026,7,0)&gt;=Q222,DATE(2026,6,1)&lt;=R222),"█","")</f>
        <v/>
      </c>
      <c r="K222" s="34" t="str">
        <f>IF(AND(Q222&lt;&gt;"",R222&lt;&gt;"",DATE(2026,8,0)&gt;=Q222,DATE(2026,7,1)&lt;=R222),"█","")</f>
        <v/>
      </c>
      <c r="L222" s="34" t="str">
        <f>IF(AND(Q222&lt;&gt;"",R222&lt;&gt;"",DATE(2026,9,0)&gt;=Q222,DATE(2026,8,1)&lt;=R222),"█","")</f>
        <v/>
      </c>
      <c r="M222" s="34" t="str">
        <f>IF(AND(Q222&lt;&gt;"",R222&lt;&gt;"",DATE(2026,10,0)&gt;=Q222,DATE(2026,9,1)&lt;=R222),"█","")</f>
        <v/>
      </c>
      <c r="N222" s="34" t="str">
        <f>IF(AND(Q222&lt;&gt;"",R222&lt;&gt;"",DATE(2026,11,0)&gt;=Q222,DATE(2026,10,1)&lt;=R222),"█","")</f>
        <v/>
      </c>
      <c r="O222" s="34" t="str">
        <f>IF(AND(Q222&lt;&gt;"",R222&lt;&gt;"",DATE(2026,12,0)&gt;=Q222,DATE(2026,11,1)&lt;=R222),"█","")</f>
        <v/>
      </c>
      <c r="P222" s="34" t="str">
        <f>IF(AND(Q222&lt;&gt;"",R222&lt;&gt;"",DATE(2026,12,31)&gt;=Q222,DATE(2026,12,1)&lt;=R222),"█","")</f>
        <v/>
      </c>
      <c r="Q222" s="7" t="str">
        <f>IF('Release Calendar'!I222&lt;&gt;"",'Release Calendar'!I222,"")</f>
        <v/>
      </c>
      <c r="R222" s="7" t="str">
        <f>IF('Release Calendar'!J222&lt;&gt;"",'Release Calendar'!J222,"")</f>
        <v/>
      </c>
    </row>
    <row r="223" spans="1:18" ht="20.100000000000001" customHeight="1">
      <c r="A223" s="14">
        <v>219</v>
      </c>
      <c r="B223" s="28" t="str">
        <f>IF('Release Calendar'!B223&lt;&gt;"",'Release Calendar'!B223,"")</f>
        <v/>
      </c>
      <c r="C223" s="29" t="str">
        <f>IF('Release Calendar'!K223&lt;&gt;"",'Release Calendar'!K223,"")</f>
        <v/>
      </c>
      <c r="D223" s="29" t="str">
        <f>IF('Release Calendar'!M223&lt;&gt;"",'Release Calendar'!M223,"")</f>
        <v/>
      </c>
      <c r="E223" s="30" t="str">
        <f>IF(AND(Q223&lt;&gt;"",R223&lt;&gt;"",DATE(2026,2,0)&gt;=Q223,DATE(2026,1,1)&lt;=R223),"█","")</f>
        <v/>
      </c>
      <c r="F223" s="30" t="str">
        <f>IF(AND(Q223&lt;&gt;"",R223&lt;&gt;"",DATE(2026,3,0)&gt;=Q223,DATE(2026,2,1)&lt;=R223),"█","")</f>
        <v/>
      </c>
      <c r="G223" s="30" t="str">
        <f>IF(AND(Q223&lt;&gt;"",R223&lt;&gt;"",DATE(2026,4,0)&gt;=Q223,DATE(2026,3,1)&lt;=R223),"█","")</f>
        <v/>
      </c>
      <c r="H223" s="30" t="str">
        <f>IF(AND(Q223&lt;&gt;"",R223&lt;&gt;"",DATE(2026,5,0)&gt;=Q223,DATE(2026,4,1)&lt;=R223),"█","")</f>
        <v/>
      </c>
      <c r="I223" s="30" t="str">
        <f>IF(AND(Q223&lt;&gt;"",R223&lt;&gt;"",DATE(2026,6,0)&gt;=Q223,DATE(2026,5,1)&lt;=R223),"█","")</f>
        <v/>
      </c>
      <c r="J223" s="30" t="str">
        <f>IF(AND(Q223&lt;&gt;"",R223&lt;&gt;"",DATE(2026,7,0)&gt;=Q223,DATE(2026,6,1)&lt;=R223),"█","")</f>
        <v/>
      </c>
      <c r="K223" s="30" t="str">
        <f>IF(AND(Q223&lt;&gt;"",R223&lt;&gt;"",DATE(2026,8,0)&gt;=Q223,DATE(2026,7,1)&lt;=R223),"█","")</f>
        <v/>
      </c>
      <c r="L223" s="30" t="str">
        <f>IF(AND(Q223&lt;&gt;"",R223&lt;&gt;"",DATE(2026,9,0)&gt;=Q223,DATE(2026,8,1)&lt;=R223),"█","")</f>
        <v/>
      </c>
      <c r="M223" s="30" t="str">
        <f>IF(AND(Q223&lt;&gt;"",R223&lt;&gt;"",DATE(2026,10,0)&gt;=Q223,DATE(2026,9,1)&lt;=R223),"█","")</f>
        <v/>
      </c>
      <c r="N223" s="30" t="str">
        <f>IF(AND(Q223&lt;&gt;"",R223&lt;&gt;"",DATE(2026,11,0)&gt;=Q223,DATE(2026,10,1)&lt;=R223),"█","")</f>
        <v/>
      </c>
      <c r="O223" s="30" t="str">
        <f>IF(AND(Q223&lt;&gt;"",R223&lt;&gt;"",DATE(2026,12,0)&gt;=Q223,DATE(2026,11,1)&lt;=R223),"█","")</f>
        <v/>
      </c>
      <c r="P223" s="30" t="str">
        <f>IF(AND(Q223&lt;&gt;"",R223&lt;&gt;"",DATE(2026,12,31)&gt;=Q223,DATE(2026,12,1)&lt;=R223),"█","")</f>
        <v/>
      </c>
      <c r="Q223" s="7" t="str">
        <f>IF('Release Calendar'!I223&lt;&gt;"",'Release Calendar'!I223,"")</f>
        <v/>
      </c>
      <c r="R223" s="7" t="str">
        <f>IF('Release Calendar'!J223&lt;&gt;"",'Release Calendar'!J223,"")</f>
        <v/>
      </c>
    </row>
    <row r="224" spans="1:18" ht="20.100000000000001" customHeight="1">
      <c r="A224" s="31">
        <v>220</v>
      </c>
      <c r="B224" s="32" t="str">
        <f>IF('Release Calendar'!B224&lt;&gt;"",'Release Calendar'!B224,"")</f>
        <v/>
      </c>
      <c r="C224" s="33" t="str">
        <f>IF('Release Calendar'!K224&lt;&gt;"",'Release Calendar'!K224,"")</f>
        <v/>
      </c>
      <c r="D224" s="33" t="str">
        <f>IF('Release Calendar'!M224&lt;&gt;"",'Release Calendar'!M224,"")</f>
        <v/>
      </c>
      <c r="E224" s="34" t="str">
        <f>IF(AND(Q224&lt;&gt;"",R224&lt;&gt;"",DATE(2026,2,0)&gt;=Q224,DATE(2026,1,1)&lt;=R224),"█","")</f>
        <v/>
      </c>
      <c r="F224" s="34" t="str">
        <f>IF(AND(Q224&lt;&gt;"",R224&lt;&gt;"",DATE(2026,3,0)&gt;=Q224,DATE(2026,2,1)&lt;=R224),"█","")</f>
        <v/>
      </c>
      <c r="G224" s="34" t="str">
        <f>IF(AND(Q224&lt;&gt;"",R224&lt;&gt;"",DATE(2026,4,0)&gt;=Q224,DATE(2026,3,1)&lt;=R224),"█","")</f>
        <v/>
      </c>
      <c r="H224" s="34" t="str">
        <f>IF(AND(Q224&lt;&gt;"",R224&lt;&gt;"",DATE(2026,5,0)&gt;=Q224,DATE(2026,4,1)&lt;=R224),"█","")</f>
        <v/>
      </c>
      <c r="I224" s="34" t="str">
        <f>IF(AND(Q224&lt;&gt;"",R224&lt;&gt;"",DATE(2026,6,0)&gt;=Q224,DATE(2026,5,1)&lt;=R224),"█","")</f>
        <v/>
      </c>
      <c r="J224" s="34" t="str">
        <f>IF(AND(Q224&lt;&gt;"",R224&lt;&gt;"",DATE(2026,7,0)&gt;=Q224,DATE(2026,6,1)&lt;=R224),"█","")</f>
        <v/>
      </c>
      <c r="K224" s="34" t="str">
        <f>IF(AND(Q224&lt;&gt;"",R224&lt;&gt;"",DATE(2026,8,0)&gt;=Q224,DATE(2026,7,1)&lt;=R224),"█","")</f>
        <v/>
      </c>
      <c r="L224" s="34" t="str">
        <f>IF(AND(Q224&lt;&gt;"",R224&lt;&gt;"",DATE(2026,9,0)&gt;=Q224,DATE(2026,8,1)&lt;=R224),"█","")</f>
        <v/>
      </c>
      <c r="M224" s="34" t="str">
        <f>IF(AND(Q224&lt;&gt;"",R224&lt;&gt;"",DATE(2026,10,0)&gt;=Q224,DATE(2026,9,1)&lt;=R224),"█","")</f>
        <v/>
      </c>
      <c r="N224" s="34" t="str">
        <f>IF(AND(Q224&lt;&gt;"",R224&lt;&gt;"",DATE(2026,11,0)&gt;=Q224,DATE(2026,10,1)&lt;=R224),"█","")</f>
        <v/>
      </c>
      <c r="O224" s="34" t="str">
        <f>IF(AND(Q224&lt;&gt;"",R224&lt;&gt;"",DATE(2026,12,0)&gt;=Q224,DATE(2026,11,1)&lt;=R224),"█","")</f>
        <v/>
      </c>
      <c r="P224" s="34" t="str">
        <f>IF(AND(Q224&lt;&gt;"",R224&lt;&gt;"",DATE(2026,12,31)&gt;=Q224,DATE(2026,12,1)&lt;=R224),"█","")</f>
        <v/>
      </c>
      <c r="Q224" s="7" t="str">
        <f>IF('Release Calendar'!I224&lt;&gt;"",'Release Calendar'!I224,"")</f>
        <v/>
      </c>
      <c r="R224" s="7" t="str">
        <f>IF('Release Calendar'!J224&lt;&gt;"",'Release Calendar'!J224,"")</f>
        <v/>
      </c>
    </row>
    <row r="225" spans="1:18" ht="20.100000000000001" customHeight="1">
      <c r="A225" s="14">
        <v>221</v>
      </c>
      <c r="B225" s="28" t="str">
        <f>IF('Release Calendar'!B225&lt;&gt;"",'Release Calendar'!B225,"")</f>
        <v/>
      </c>
      <c r="C225" s="29" t="str">
        <f>IF('Release Calendar'!K225&lt;&gt;"",'Release Calendar'!K225,"")</f>
        <v/>
      </c>
      <c r="D225" s="29" t="str">
        <f>IF('Release Calendar'!M225&lt;&gt;"",'Release Calendar'!M225,"")</f>
        <v/>
      </c>
      <c r="E225" s="30" t="str">
        <f>IF(AND(Q225&lt;&gt;"",R225&lt;&gt;"",DATE(2026,2,0)&gt;=Q225,DATE(2026,1,1)&lt;=R225),"█","")</f>
        <v/>
      </c>
      <c r="F225" s="30" t="str">
        <f>IF(AND(Q225&lt;&gt;"",R225&lt;&gt;"",DATE(2026,3,0)&gt;=Q225,DATE(2026,2,1)&lt;=R225),"█","")</f>
        <v/>
      </c>
      <c r="G225" s="30" t="str">
        <f>IF(AND(Q225&lt;&gt;"",R225&lt;&gt;"",DATE(2026,4,0)&gt;=Q225,DATE(2026,3,1)&lt;=R225),"█","")</f>
        <v/>
      </c>
      <c r="H225" s="30" t="str">
        <f>IF(AND(Q225&lt;&gt;"",R225&lt;&gt;"",DATE(2026,5,0)&gt;=Q225,DATE(2026,4,1)&lt;=R225),"█","")</f>
        <v/>
      </c>
      <c r="I225" s="30" t="str">
        <f>IF(AND(Q225&lt;&gt;"",R225&lt;&gt;"",DATE(2026,6,0)&gt;=Q225,DATE(2026,5,1)&lt;=R225),"█","")</f>
        <v/>
      </c>
      <c r="J225" s="30" t="str">
        <f>IF(AND(Q225&lt;&gt;"",R225&lt;&gt;"",DATE(2026,7,0)&gt;=Q225,DATE(2026,6,1)&lt;=R225),"█","")</f>
        <v/>
      </c>
      <c r="K225" s="30" t="str">
        <f>IF(AND(Q225&lt;&gt;"",R225&lt;&gt;"",DATE(2026,8,0)&gt;=Q225,DATE(2026,7,1)&lt;=R225),"█","")</f>
        <v/>
      </c>
      <c r="L225" s="30" t="str">
        <f>IF(AND(Q225&lt;&gt;"",R225&lt;&gt;"",DATE(2026,9,0)&gt;=Q225,DATE(2026,8,1)&lt;=R225),"█","")</f>
        <v/>
      </c>
      <c r="M225" s="30" t="str">
        <f>IF(AND(Q225&lt;&gt;"",R225&lt;&gt;"",DATE(2026,10,0)&gt;=Q225,DATE(2026,9,1)&lt;=R225),"█","")</f>
        <v/>
      </c>
      <c r="N225" s="30" t="str">
        <f>IF(AND(Q225&lt;&gt;"",R225&lt;&gt;"",DATE(2026,11,0)&gt;=Q225,DATE(2026,10,1)&lt;=R225),"█","")</f>
        <v/>
      </c>
      <c r="O225" s="30" t="str">
        <f>IF(AND(Q225&lt;&gt;"",R225&lt;&gt;"",DATE(2026,12,0)&gt;=Q225,DATE(2026,11,1)&lt;=R225),"█","")</f>
        <v/>
      </c>
      <c r="P225" s="30" t="str">
        <f>IF(AND(Q225&lt;&gt;"",R225&lt;&gt;"",DATE(2026,12,31)&gt;=Q225,DATE(2026,12,1)&lt;=R225),"█","")</f>
        <v/>
      </c>
      <c r="Q225" s="7" t="str">
        <f>IF('Release Calendar'!I225&lt;&gt;"",'Release Calendar'!I225,"")</f>
        <v/>
      </c>
      <c r="R225" s="7" t="str">
        <f>IF('Release Calendar'!J225&lt;&gt;"",'Release Calendar'!J225,"")</f>
        <v/>
      </c>
    </row>
    <row r="226" spans="1:18" ht="20.100000000000001" customHeight="1">
      <c r="A226" s="31">
        <v>222</v>
      </c>
      <c r="B226" s="32" t="str">
        <f>IF('Release Calendar'!B226&lt;&gt;"",'Release Calendar'!B226,"")</f>
        <v/>
      </c>
      <c r="C226" s="33" t="str">
        <f>IF('Release Calendar'!K226&lt;&gt;"",'Release Calendar'!K226,"")</f>
        <v/>
      </c>
      <c r="D226" s="33" t="str">
        <f>IF('Release Calendar'!M226&lt;&gt;"",'Release Calendar'!M226,"")</f>
        <v/>
      </c>
      <c r="E226" s="34" t="str">
        <f>IF(AND(Q226&lt;&gt;"",R226&lt;&gt;"",DATE(2026,2,0)&gt;=Q226,DATE(2026,1,1)&lt;=R226),"█","")</f>
        <v/>
      </c>
      <c r="F226" s="34" t="str">
        <f>IF(AND(Q226&lt;&gt;"",R226&lt;&gt;"",DATE(2026,3,0)&gt;=Q226,DATE(2026,2,1)&lt;=R226),"█","")</f>
        <v/>
      </c>
      <c r="G226" s="34" t="str">
        <f>IF(AND(Q226&lt;&gt;"",R226&lt;&gt;"",DATE(2026,4,0)&gt;=Q226,DATE(2026,3,1)&lt;=R226),"█","")</f>
        <v/>
      </c>
      <c r="H226" s="34" t="str">
        <f>IF(AND(Q226&lt;&gt;"",R226&lt;&gt;"",DATE(2026,5,0)&gt;=Q226,DATE(2026,4,1)&lt;=R226),"█","")</f>
        <v/>
      </c>
      <c r="I226" s="34" t="str">
        <f>IF(AND(Q226&lt;&gt;"",R226&lt;&gt;"",DATE(2026,6,0)&gt;=Q226,DATE(2026,5,1)&lt;=R226),"█","")</f>
        <v/>
      </c>
      <c r="J226" s="34" t="str">
        <f>IF(AND(Q226&lt;&gt;"",R226&lt;&gt;"",DATE(2026,7,0)&gt;=Q226,DATE(2026,6,1)&lt;=R226),"█","")</f>
        <v/>
      </c>
      <c r="K226" s="34" t="str">
        <f>IF(AND(Q226&lt;&gt;"",R226&lt;&gt;"",DATE(2026,8,0)&gt;=Q226,DATE(2026,7,1)&lt;=R226),"█","")</f>
        <v/>
      </c>
      <c r="L226" s="34" t="str">
        <f>IF(AND(Q226&lt;&gt;"",R226&lt;&gt;"",DATE(2026,9,0)&gt;=Q226,DATE(2026,8,1)&lt;=R226),"█","")</f>
        <v/>
      </c>
      <c r="M226" s="34" t="str">
        <f>IF(AND(Q226&lt;&gt;"",R226&lt;&gt;"",DATE(2026,10,0)&gt;=Q226,DATE(2026,9,1)&lt;=R226),"█","")</f>
        <v/>
      </c>
      <c r="N226" s="34" t="str">
        <f>IF(AND(Q226&lt;&gt;"",R226&lt;&gt;"",DATE(2026,11,0)&gt;=Q226,DATE(2026,10,1)&lt;=R226),"█","")</f>
        <v/>
      </c>
      <c r="O226" s="34" t="str">
        <f>IF(AND(Q226&lt;&gt;"",R226&lt;&gt;"",DATE(2026,12,0)&gt;=Q226,DATE(2026,11,1)&lt;=R226),"█","")</f>
        <v/>
      </c>
      <c r="P226" s="34" t="str">
        <f>IF(AND(Q226&lt;&gt;"",R226&lt;&gt;"",DATE(2026,12,31)&gt;=Q226,DATE(2026,12,1)&lt;=R226),"█","")</f>
        <v/>
      </c>
      <c r="Q226" s="7" t="str">
        <f>IF('Release Calendar'!I226&lt;&gt;"",'Release Calendar'!I226,"")</f>
        <v/>
      </c>
      <c r="R226" s="7" t="str">
        <f>IF('Release Calendar'!J226&lt;&gt;"",'Release Calendar'!J226,"")</f>
        <v/>
      </c>
    </row>
    <row r="227" spans="1:18" ht="20.100000000000001" customHeight="1">
      <c r="A227" s="14">
        <v>223</v>
      </c>
      <c r="B227" s="28" t="str">
        <f>IF('Release Calendar'!B227&lt;&gt;"",'Release Calendar'!B227,"")</f>
        <v/>
      </c>
      <c r="C227" s="29" t="str">
        <f>IF('Release Calendar'!K227&lt;&gt;"",'Release Calendar'!K227,"")</f>
        <v/>
      </c>
      <c r="D227" s="29" t="str">
        <f>IF('Release Calendar'!M227&lt;&gt;"",'Release Calendar'!M227,"")</f>
        <v/>
      </c>
      <c r="E227" s="30" t="str">
        <f>IF(AND(Q227&lt;&gt;"",R227&lt;&gt;"",DATE(2026,2,0)&gt;=Q227,DATE(2026,1,1)&lt;=R227),"█","")</f>
        <v/>
      </c>
      <c r="F227" s="30" t="str">
        <f>IF(AND(Q227&lt;&gt;"",R227&lt;&gt;"",DATE(2026,3,0)&gt;=Q227,DATE(2026,2,1)&lt;=R227),"█","")</f>
        <v/>
      </c>
      <c r="G227" s="30" t="str">
        <f>IF(AND(Q227&lt;&gt;"",R227&lt;&gt;"",DATE(2026,4,0)&gt;=Q227,DATE(2026,3,1)&lt;=R227),"█","")</f>
        <v/>
      </c>
      <c r="H227" s="30" t="str">
        <f>IF(AND(Q227&lt;&gt;"",R227&lt;&gt;"",DATE(2026,5,0)&gt;=Q227,DATE(2026,4,1)&lt;=R227),"█","")</f>
        <v/>
      </c>
      <c r="I227" s="30" t="str">
        <f>IF(AND(Q227&lt;&gt;"",R227&lt;&gt;"",DATE(2026,6,0)&gt;=Q227,DATE(2026,5,1)&lt;=R227),"█","")</f>
        <v/>
      </c>
      <c r="J227" s="30" t="str">
        <f>IF(AND(Q227&lt;&gt;"",R227&lt;&gt;"",DATE(2026,7,0)&gt;=Q227,DATE(2026,6,1)&lt;=R227),"█","")</f>
        <v/>
      </c>
      <c r="K227" s="30" t="str">
        <f>IF(AND(Q227&lt;&gt;"",R227&lt;&gt;"",DATE(2026,8,0)&gt;=Q227,DATE(2026,7,1)&lt;=R227),"█","")</f>
        <v/>
      </c>
      <c r="L227" s="30" t="str">
        <f>IF(AND(Q227&lt;&gt;"",R227&lt;&gt;"",DATE(2026,9,0)&gt;=Q227,DATE(2026,8,1)&lt;=R227),"█","")</f>
        <v/>
      </c>
      <c r="M227" s="30" t="str">
        <f>IF(AND(Q227&lt;&gt;"",R227&lt;&gt;"",DATE(2026,10,0)&gt;=Q227,DATE(2026,9,1)&lt;=R227),"█","")</f>
        <v/>
      </c>
      <c r="N227" s="30" t="str">
        <f>IF(AND(Q227&lt;&gt;"",R227&lt;&gt;"",DATE(2026,11,0)&gt;=Q227,DATE(2026,10,1)&lt;=R227),"█","")</f>
        <v/>
      </c>
      <c r="O227" s="30" t="str">
        <f>IF(AND(Q227&lt;&gt;"",R227&lt;&gt;"",DATE(2026,12,0)&gt;=Q227,DATE(2026,11,1)&lt;=R227),"█","")</f>
        <v/>
      </c>
      <c r="P227" s="30" t="str">
        <f>IF(AND(Q227&lt;&gt;"",R227&lt;&gt;"",DATE(2026,12,31)&gt;=Q227,DATE(2026,12,1)&lt;=R227),"█","")</f>
        <v/>
      </c>
      <c r="Q227" s="7" t="str">
        <f>IF('Release Calendar'!I227&lt;&gt;"",'Release Calendar'!I227,"")</f>
        <v/>
      </c>
      <c r="R227" s="7" t="str">
        <f>IF('Release Calendar'!J227&lt;&gt;"",'Release Calendar'!J227,"")</f>
        <v/>
      </c>
    </row>
    <row r="228" spans="1:18" ht="20.100000000000001" customHeight="1">
      <c r="A228" s="31">
        <v>224</v>
      </c>
      <c r="B228" s="32" t="str">
        <f>IF('Release Calendar'!B228&lt;&gt;"",'Release Calendar'!B228,"")</f>
        <v/>
      </c>
      <c r="C228" s="33" t="str">
        <f>IF('Release Calendar'!K228&lt;&gt;"",'Release Calendar'!K228,"")</f>
        <v/>
      </c>
      <c r="D228" s="33" t="str">
        <f>IF('Release Calendar'!M228&lt;&gt;"",'Release Calendar'!M228,"")</f>
        <v/>
      </c>
      <c r="E228" s="34" t="str">
        <f>IF(AND(Q228&lt;&gt;"",R228&lt;&gt;"",DATE(2026,2,0)&gt;=Q228,DATE(2026,1,1)&lt;=R228),"█","")</f>
        <v/>
      </c>
      <c r="F228" s="34" t="str">
        <f>IF(AND(Q228&lt;&gt;"",R228&lt;&gt;"",DATE(2026,3,0)&gt;=Q228,DATE(2026,2,1)&lt;=R228),"█","")</f>
        <v/>
      </c>
      <c r="G228" s="34" t="str">
        <f>IF(AND(Q228&lt;&gt;"",R228&lt;&gt;"",DATE(2026,4,0)&gt;=Q228,DATE(2026,3,1)&lt;=R228),"█","")</f>
        <v/>
      </c>
      <c r="H228" s="34" t="str">
        <f>IF(AND(Q228&lt;&gt;"",R228&lt;&gt;"",DATE(2026,5,0)&gt;=Q228,DATE(2026,4,1)&lt;=R228),"█","")</f>
        <v/>
      </c>
      <c r="I228" s="34" t="str">
        <f>IF(AND(Q228&lt;&gt;"",R228&lt;&gt;"",DATE(2026,6,0)&gt;=Q228,DATE(2026,5,1)&lt;=R228),"█","")</f>
        <v/>
      </c>
      <c r="J228" s="34" t="str">
        <f>IF(AND(Q228&lt;&gt;"",R228&lt;&gt;"",DATE(2026,7,0)&gt;=Q228,DATE(2026,6,1)&lt;=R228),"█","")</f>
        <v/>
      </c>
      <c r="K228" s="34" t="str">
        <f>IF(AND(Q228&lt;&gt;"",R228&lt;&gt;"",DATE(2026,8,0)&gt;=Q228,DATE(2026,7,1)&lt;=R228),"█","")</f>
        <v/>
      </c>
      <c r="L228" s="34" t="str">
        <f>IF(AND(Q228&lt;&gt;"",R228&lt;&gt;"",DATE(2026,9,0)&gt;=Q228,DATE(2026,8,1)&lt;=R228),"█","")</f>
        <v/>
      </c>
      <c r="M228" s="34" t="str">
        <f>IF(AND(Q228&lt;&gt;"",R228&lt;&gt;"",DATE(2026,10,0)&gt;=Q228,DATE(2026,9,1)&lt;=R228),"█","")</f>
        <v/>
      </c>
      <c r="N228" s="34" t="str">
        <f>IF(AND(Q228&lt;&gt;"",R228&lt;&gt;"",DATE(2026,11,0)&gt;=Q228,DATE(2026,10,1)&lt;=R228),"█","")</f>
        <v/>
      </c>
      <c r="O228" s="34" t="str">
        <f>IF(AND(Q228&lt;&gt;"",R228&lt;&gt;"",DATE(2026,12,0)&gt;=Q228,DATE(2026,11,1)&lt;=R228),"█","")</f>
        <v/>
      </c>
      <c r="P228" s="34" t="str">
        <f>IF(AND(Q228&lt;&gt;"",R228&lt;&gt;"",DATE(2026,12,31)&gt;=Q228,DATE(2026,12,1)&lt;=R228),"█","")</f>
        <v/>
      </c>
      <c r="Q228" s="7" t="str">
        <f>IF('Release Calendar'!I228&lt;&gt;"",'Release Calendar'!I228,"")</f>
        <v/>
      </c>
      <c r="R228" s="7" t="str">
        <f>IF('Release Calendar'!J228&lt;&gt;"",'Release Calendar'!J228,"")</f>
        <v/>
      </c>
    </row>
    <row r="229" spans="1:18" ht="20.100000000000001" customHeight="1">
      <c r="A229" s="14">
        <v>225</v>
      </c>
      <c r="B229" s="28" t="str">
        <f>IF('Release Calendar'!B229&lt;&gt;"",'Release Calendar'!B229,"")</f>
        <v/>
      </c>
      <c r="C229" s="29" t="str">
        <f>IF('Release Calendar'!K229&lt;&gt;"",'Release Calendar'!K229,"")</f>
        <v/>
      </c>
      <c r="D229" s="29" t="str">
        <f>IF('Release Calendar'!M229&lt;&gt;"",'Release Calendar'!M229,"")</f>
        <v/>
      </c>
      <c r="E229" s="30" t="str">
        <f>IF(AND(Q229&lt;&gt;"",R229&lt;&gt;"",DATE(2026,2,0)&gt;=Q229,DATE(2026,1,1)&lt;=R229),"█","")</f>
        <v/>
      </c>
      <c r="F229" s="30" t="str">
        <f>IF(AND(Q229&lt;&gt;"",R229&lt;&gt;"",DATE(2026,3,0)&gt;=Q229,DATE(2026,2,1)&lt;=R229),"█","")</f>
        <v/>
      </c>
      <c r="G229" s="30" t="str">
        <f>IF(AND(Q229&lt;&gt;"",R229&lt;&gt;"",DATE(2026,4,0)&gt;=Q229,DATE(2026,3,1)&lt;=R229),"█","")</f>
        <v/>
      </c>
      <c r="H229" s="30" t="str">
        <f>IF(AND(Q229&lt;&gt;"",R229&lt;&gt;"",DATE(2026,5,0)&gt;=Q229,DATE(2026,4,1)&lt;=R229),"█","")</f>
        <v/>
      </c>
      <c r="I229" s="30" t="str">
        <f>IF(AND(Q229&lt;&gt;"",R229&lt;&gt;"",DATE(2026,6,0)&gt;=Q229,DATE(2026,5,1)&lt;=R229),"█","")</f>
        <v/>
      </c>
      <c r="J229" s="30" t="str">
        <f>IF(AND(Q229&lt;&gt;"",R229&lt;&gt;"",DATE(2026,7,0)&gt;=Q229,DATE(2026,6,1)&lt;=R229),"█","")</f>
        <v/>
      </c>
      <c r="K229" s="30" t="str">
        <f>IF(AND(Q229&lt;&gt;"",R229&lt;&gt;"",DATE(2026,8,0)&gt;=Q229,DATE(2026,7,1)&lt;=R229),"█","")</f>
        <v/>
      </c>
      <c r="L229" s="30" t="str">
        <f>IF(AND(Q229&lt;&gt;"",R229&lt;&gt;"",DATE(2026,9,0)&gt;=Q229,DATE(2026,8,1)&lt;=R229),"█","")</f>
        <v/>
      </c>
      <c r="M229" s="30" t="str">
        <f>IF(AND(Q229&lt;&gt;"",R229&lt;&gt;"",DATE(2026,10,0)&gt;=Q229,DATE(2026,9,1)&lt;=R229),"█","")</f>
        <v/>
      </c>
      <c r="N229" s="30" t="str">
        <f>IF(AND(Q229&lt;&gt;"",R229&lt;&gt;"",DATE(2026,11,0)&gt;=Q229,DATE(2026,10,1)&lt;=R229),"█","")</f>
        <v/>
      </c>
      <c r="O229" s="30" t="str">
        <f>IF(AND(Q229&lt;&gt;"",R229&lt;&gt;"",DATE(2026,12,0)&gt;=Q229,DATE(2026,11,1)&lt;=R229),"█","")</f>
        <v/>
      </c>
      <c r="P229" s="30" t="str">
        <f>IF(AND(Q229&lt;&gt;"",R229&lt;&gt;"",DATE(2026,12,31)&gt;=Q229,DATE(2026,12,1)&lt;=R229),"█","")</f>
        <v/>
      </c>
      <c r="Q229" s="7" t="str">
        <f>IF('Release Calendar'!I229&lt;&gt;"",'Release Calendar'!I229,"")</f>
        <v/>
      </c>
      <c r="R229" s="7" t="str">
        <f>IF('Release Calendar'!J229&lt;&gt;"",'Release Calendar'!J229,"")</f>
        <v/>
      </c>
    </row>
    <row r="230" spans="1:18" ht="20.100000000000001" customHeight="1">
      <c r="A230" s="31">
        <v>226</v>
      </c>
      <c r="B230" s="32" t="str">
        <f>IF('Release Calendar'!B230&lt;&gt;"",'Release Calendar'!B230,"")</f>
        <v/>
      </c>
      <c r="C230" s="33" t="str">
        <f>IF('Release Calendar'!K230&lt;&gt;"",'Release Calendar'!K230,"")</f>
        <v/>
      </c>
      <c r="D230" s="33" t="str">
        <f>IF('Release Calendar'!M230&lt;&gt;"",'Release Calendar'!M230,"")</f>
        <v/>
      </c>
      <c r="E230" s="34" t="str">
        <f>IF(AND(Q230&lt;&gt;"",R230&lt;&gt;"",DATE(2026,2,0)&gt;=Q230,DATE(2026,1,1)&lt;=R230),"█","")</f>
        <v/>
      </c>
      <c r="F230" s="34" t="str">
        <f>IF(AND(Q230&lt;&gt;"",R230&lt;&gt;"",DATE(2026,3,0)&gt;=Q230,DATE(2026,2,1)&lt;=R230),"█","")</f>
        <v/>
      </c>
      <c r="G230" s="34" t="str">
        <f>IF(AND(Q230&lt;&gt;"",R230&lt;&gt;"",DATE(2026,4,0)&gt;=Q230,DATE(2026,3,1)&lt;=R230),"█","")</f>
        <v/>
      </c>
      <c r="H230" s="34" t="str">
        <f>IF(AND(Q230&lt;&gt;"",R230&lt;&gt;"",DATE(2026,5,0)&gt;=Q230,DATE(2026,4,1)&lt;=R230),"█","")</f>
        <v/>
      </c>
      <c r="I230" s="34" t="str">
        <f>IF(AND(Q230&lt;&gt;"",R230&lt;&gt;"",DATE(2026,6,0)&gt;=Q230,DATE(2026,5,1)&lt;=R230),"█","")</f>
        <v/>
      </c>
      <c r="J230" s="34" t="str">
        <f>IF(AND(Q230&lt;&gt;"",R230&lt;&gt;"",DATE(2026,7,0)&gt;=Q230,DATE(2026,6,1)&lt;=R230),"█","")</f>
        <v/>
      </c>
      <c r="K230" s="34" t="str">
        <f>IF(AND(Q230&lt;&gt;"",R230&lt;&gt;"",DATE(2026,8,0)&gt;=Q230,DATE(2026,7,1)&lt;=R230),"█","")</f>
        <v/>
      </c>
      <c r="L230" s="34" t="str">
        <f>IF(AND(Q230&lt;&gt;"",R230&lt;&gt;"",DATE(2026,9,0)&gt;=Q230,DATE(2026,8,1)&lt;=R230),"█","")</f>
        <v/>
      </c>
      <c r="M230" s="34" t="str">
        <f>IF(AND(Q230&lt;&gt;"",R230&lt;&gt;"",DATE(2026,10,0)&gt;=Q230,DATE(2026,9,1)&lt;=R230),"█","")</f>
        <v/>
      </c>
      <c r="N230" s="34" t="str">
        <f>IF(AND(Q230&lt;&gt;"",R230&lt;&gt;"",DATE(2026,11,0)&gt;=Q230,DATE(2026,10,1)&lt;=R230),"█","")</f>
        <v/>
      </c>
      <c r="O230" s="34" t="str">
        <f>IF(AND(Q230&lt;&gt;"",R230&lt;&gt;"",DATE(2026,12,0)&gt;=Q230,DATE(2026,11,1)&lt;=R230),"█","")</f>
        <v/>
      </c>
      <c r="P230" s="34" t="str">
        <f>IF(AND(Q230&lt;&gt;"",R230&lt;&gt;"",DATE(2026,12,31)&gt;=Q230,DATE(2026,12,1)&lt;=R230),"█","")</f>
        <v/>
      </c>
      <c r="Q230" s="7" t="str">
        <f>IF('Release Calendar'!I230&lt;&gt;"",'Release Calendar'!I230,"")</f>
        <v/>
      </c>
      <c r="R230" s="7" t="str">
        <f>IF('Release Calendar'!J230&lt;&gt;"",'Release Calendar'!J230,"")</f>
        <v/>
      </c>
    </row>
    <row r="231" spans="1:18" ht="20.100000000000001" customHeight="1">
      <c r="A231" s="14">
        <v>227</v>
      </c>
      <c r="B231" s="28" t="str">
        <f>IF('Release Calendar'!B231&lt;&gt;"",'Release Calendar'!B231,"")</f>
        <v/>
      </c>
      <c r="C231" s="29" t="str">
        <f>IF('Release Calendar'!K231&lt;&gt;"",'Release Calendar'!K231,"")</f>
        <v/>
      </c>
      <c r="D231" s="29" t="str">
        <f>IF('Release Calendar'!M231&lt;&gt;"",'Release Calendar'!M231,"")</f>
        <v/>
      </c>
      <c r="E231" s="30" t="str">
        <f>IF(AND(Q231&lt;&gt;"",R231&lt;&gt;"",DATE(2026,2,0)&gt;=Q231,DATE(2026,1,1)&lt;=R231),"█","")</f>
        <v/>
      </c>
      <c r="F231" s="30" t="str">
        <f>IF(AND(Q231&lt;&gt;"",R231&lt;&gt;"",DATE(2026,3,0)&gt;=Q231,DATE(2026,2,1)&lt;=R231),"█","")</f>
        <v/>
      </c>
      <c r="G231" s="30" t="str">
        <f>IF(AND(Q231&lt;&gt;"",R231&lt;&gt;"",DATE(2026,4,0)&gt;=Q231,DATE(2026,3,1)&lt;=R231),"█","")</f>
        <v/>
      </c>
      <c r="H231" s="30" t="str">
        <f>IF(AND(Q231&lt;&gt;"",R231&lt;&gt;"",DATE(2026,5,0)&gt;=Q231,DATE(2026,4,1)&lt;=R231),"█","")</f>
        <v/>
      </c>
      <c r="I231" s="30" t="str">
        <f>IF(AND(Q231&lt;&gt;"",R231&lt;&gt;"",DATE(2026,6,0)&gt;=Q231,DATE(2026,5,1)&lt;=R231),"█","")</f>
        <v/>
      </c>
      <c r="J231" s="30" t="str">
        <f>IF(AND(Q231&lt;&gt;"",R231&lt;&gt;"",DATE(2026,7,0)&gt;=Q231,DATE(2026,6,1)&lt;=R231),"█","")</f>
        <v/>
      </c>
      <c r="K231" s="30" t="str">
        <f>IF(AND(Q231&lt;&gt;"",R231&lt;&gt;"",DATE(2026,8,0)&gt;=Q231,DATE(2026,7,1)&lt;=R231),"█","")</f>
        <v/>
      </c>
      <c r="L231" s="30" t="str">
        <f>IF(AND(Q231&lt;&gt;"",R231&lt;&gt;"",DATE(2026,9,0)&gt;=Q231,DATE(2026,8,1)&lt;=R231),"█","")</f>
        <v/>
      </c>
      <c r="M231" s="30" t="str">
        <f>IF(AND(Q231&lt;&gt;"",R231&lt;&gt;"",DATE(2026,10,0)&gt;=Q231,DATE(2026,9,1)&lt;=R231),"█","")</f>
        <v/>
      </c>
      <c r="N231" s="30" t="str">
        <f>IF(AND(Q231&lt;&gt;"",R231&lt;&gt;"",DATE(2026,11,0)&gt;=Q231,DATE(2026,10,1)&lt;=R231),"█","")</f>
        <v/>
      </c>
      <c r="O231" s="30" t="str">
        <f>IF(AND(Q231&lt;&gt;"",R231&lt;&gt;"",DATE(2026,12,0)&gt;=Q231,DATE(2026,11,1)&lt;=R231),"█","")</f>
        <v/>
      </c>
      <c r="P231" s="30" t="str">
        <f>IF(AND(Q231&lt;&gt;"",R231&lt;&gt;"",DATE(2026,12,31)&gt;=Q231,DATE(2026,12,1)&lt;=R231),"█","")</f>
        <v/>
      </c>
      <c r="Q231" s="7" t="str">
        <f>IF('Release Calendar'!I231&lt;&gt;"",'Release Calendar'!I231,"")</f>
        <v/>
      </c>
      <c r="R231" s="7" t="str">
        <f>IF('Release Calendar'!J231&lt;&gt;"",'Release Calendar'!J231,"")</f>
        <v/>
      </c>
    </row>
    <row r="232" spans="1:18" ht="20.100000000000001" customHeight="1">
      <c r="A232" s="31">
        <v>228</v>
      </c>
      <c r="B232" s="32" t="str">
        <f>IF('Release Calendar'!B232&lt;&gt;"",'Release Calendar'!B232,"")</f>
        <v/>
      </c>
      <c r="C232" s="33" t="str">
        <f>IF('Release Calendar'!K232&lt;&gt;"",'Release Calendar'!K232,"")</f>
        <v/>
      </c>
      <c r="D232" s="33" t="str">
        <f>IF('Release Calendar'!M232&lt;&gt;"",'Release Calendar'!M232,"")</f>
        <v/>
      </c>
      <c r="E232" s="34" t="str">
        <f>IF(AND(Q232&lt;&gt;"",R232&lt;&gt;"",DATE(2026,2,0)&gt;=Q232,DATE(2026,1,1)&lt;=R232),"█","")</f>
        <v/>
      </c>
      <c r="F232" s="34" t="str">
        <f>IF(AND(Q232&lt;&gt;"",R232&lt;&gt;"",DATE(2026,3,0)&gt;=Q232,DATE(2026,2,1)&lt;=R232),"█","")</f>
        <v/>
      </c>
      <c r="G232" s="34" t="str">
        <f>IF(AND(Q232&lt;&gt;"",R232&lt;&gt;"",DATE(2026,4,0)&gt;=Q232,DATE(2026,3,1)&lt;=R232),"█","")</f>
        <v/>
      </c>
      <c r="H232" s="34" t="str">
        <f>IF(AND(Q232&lt;&gt;"",R232&lt;&gt;"",DATE(2026,5,0)&gt;=Q232,DATE(2026,4,1)&lt;=R232),"█","")</f>
        <v/>
      </c>
      <c r="I232" s="34" t="str">
        <f>IF(AND(Q232&lt;&gt;"",R232&lt;&gt;"",DATE(2026,6,0)&gt;=Q232,DATE(2026,5,1)&lt;=R232),"█","")</f>
        <v/>
      </c>
      <c r="J232" s="34" t="str">
        <f>IF(AND(Q232&lt;&gt;"",R232&lt;&gt;"",DATE(2026,7,0)&gt;=Q232,DATE(2026,6,1)&lt;=R232),"█","")</f>
        <v/>
      </c>
      <c r="K232" s="34" t="str">
        <f>IF(AND(Q232&lt;&gt;"",R232&lt;&gt;"",DATE(2026,8,0)&gt;=Q232,DATE(2026,7,1)&lt;=R232),"█","")</f>
        <v/>
      </c>
      <c r="L232" s="34" t="str">
        <f>IF(AND(Q232&lt;&gt;"",R232&lt;&gt;"",DATE(2026,9,0)&gt;=Q232,DATE(2026,8,1)&lt;=R232),"█","")</f>
        <v/>
      </c>
      <c r="M232" s="34" t="str">
        <f>IF(AND(Q232&lt;&gt;"",R232&lt;&gt;"",DATE(2026,10,0)&gt;=Q232,DATE(2026,9,1)&lt;=R232),"█","")</f>
        <v/>
      </c>
      <c r="N232" s="34" t="str">
        <f>IF(AND(Q232&lt;&gt;"",R232&lt;&gt;"",DATE(2026,11,0)&gt;=Q232,DATE(2026,10,1)&lt;=R232),"█","")</f>
        <v/>
      </c>
      <c r="O232" s="34" t="str">
        <f>IF(AND(Q232&lt;&gt;"",R232&lt;&gt;"",DATE(2026,12,0)&gt;=Q232,DATE(2026,11,1)&lt;=R232),"█","")</f>
        <v/>
      </c>
      <c r="P232" s="34" t="str">
        <f>IF(AND(Q232&lt;&gt;"",R232&lt;&gt;"",DATE(2026,12,31)&gt;=Q232,DATE(2026,12,1)&lt;=R232),"█","")</f>
        <v/>
      </c>
      <c r="Q232" s="7" t="str">
        <f>IF('Release Calendar'!I232&lt;&gt;"",'Release Calendar'!I232,"")</f>
        <v/>
      </c>
      <c r="R232" s="7" t="str">
        <f>IF('Release Calendar'!J232&lt;&gt;"",'Release Calendar'!J232,"")</f>
        <v/>
      </c>
    </row>
    <row r="233" spans="1:18" ht="20.100000000000001" customHeight="1">
      <c r="A233" s="14">
        <v>229</v>
      </c>
      <c r="B233" s="28" t="str">
        <f>IF('Release Calendar'!B233&lt;&gt;"",'Release Calendar'!B233,"")</f>
        <v/>
      </c>
      <c r="C233" s="29" t="str">
        <f>IF('Release Calendar'!K233&lt;&gt;"",'Release Calendar'!K233,"")</f>
        <v/>
      </c>
      <c r="D233" s="29" t="str">
        <f>IF('Release Calendar'!M233&lt;&gt;"",'Release Calendar'!M233,"")</f>
        <v/>
      </c>
      <c r="E233" s="30" t="str">
        <f>IF(AND(Q233&lt;&gt;"",R233&lt;&gt;"",DATE(2026,2,0)&gt;=Q233,DATE(2026,1,1)&lt;=R233),"█","")</f>
        <v/>
      </c>
      <c r="F233" s="30" t="str">
        <f>IF(AND(Q233&lt;&gt;"",R233&lt;&gt;"",DATE(2026,3,0)&gt;=Q233,DATE(2026,2,1)&lt;=R233),"█","")</f>
        <v/>
      </c>
      <c r="G233" s="30" t="str">
        <f>IF(AND(Q233&lt;&gt;"",R233&lt;&gt;"",DATE(2026,4,0)&gt;=Q233,DATE(2026,3,1)&lt;=R233),"█","")</f>
        <v/>
      </c>
      <c r="H233" s="30" t="str">
        <f>IF(AND(Q233&lt;&gt;"",R233&lt;&gt;"",DATE(2026,5,0)&gt;=Q233,DATE(2026,4,1)&lt;=R233),"█","")</f>
        <v/>
      </c>
      <c r="I233" s="30" t="str">
        <f>IF(AND(Q233&lt;&gt;"",R233&lt;&gt;"",DATE(2026,6,0)&gt;=Q233,DATE(2026,5,1)&lt;=R233),"█","")</f>
        <v/>
      </c>
      <c r="J233" s="30" t="str">
        <f>IF(AND(Q233&lt;&gt;"",R233&lt;&gt;"",DATE(2026,7,0)&gt;=Q233,DATE(2026,6,1)&lt;=R233),"█","")</f>
        <v/>
      </c>
      <c r="K233" s="30" t="str">
        <f>IF(AND(Q233&lt;&gt;"",R233&lt;&gt;"",DATE(2026,8,0)&gt;=Q233,DATE(2026,7,1)&lt;=R233),"█","")</f>
        <v/>
      </c>
      <c r="L233" s="30" t="str">
        <f>IF(AND(Q233&lt;&gt;"",R233&lt;&gt;"",DATE(2026,9,0)&gt;=Q233,DATE(2026,8,1)&lt;=R233),"█","")</f>
        <v/>
      </c>
      <c r="M233" s="30" t="str">
        <f>IF(AND(Q233&lt;&gt;"",R233&lt;&gt;"",DATE(2026,10,0)&gt;=Q233,DATE(2026,9,1)&lt;=R233),"█","")</f>
        <v/>
      </c>
      <c r="N233" s="30" t="str">
        <f>IF(AND(Q233&lt;&gt;"",R233&lt;&gt;"",DATE(2026,11,0)&gt;=Q233,DATE(2026,10,1)&lt;=R233),"█","")</f>
        <v/>
      </c>
      <c r="O233" s="30" t="str">
        <f>IF(AND(Q233&lt;&gt;"",R233&lt;&gt;"",DATE(2026,12,0)&gt;=Q233,DATE(2026,11,1)&lt;=R233),"█","")</f>
        <v/>
      </c>
      <c r="P233" s="30" t="str">
        <f>IF(AND(Q233&lt;&gt;"",R233&lt;&gt;"",DATE(2026,12,31)&gt;=Q233,DATE(2026,12,1)&lt;=R233),"█","")</f>
        <v/>
      </c>
      <c r="Q233" s="7" t="str">
        <f>IF('Release Calendar'!I233&lt;&gt;"",'Release Calendar'!I233,"")</f>
        <v/>
      </c>
      <c r="R233" s="7" t="str">
        <f>IF('Release Calendar'!J233&lt;&gt;"",'Release Calendar'!J233,"")</f>
        <v/>
      </c>
    </row>
    <row r="234" spans="1:18" ht="20.100000000000001" customHeight="1">
      <c r="A234" s="31">
        <v>230</v>
      </c>
      <c r="B234" s="32" t="str">
        <f>IF('Release Calendar'!B234&lt;&gt;"",'Release Calendar'!B234,"")</f>
        <v/>
      </c>
      <c r="C234" s="33" t="str">
        <f>IF('Release Calendar'!K234&lt;&gt;"",'Release Calendar'!K234,"")</f>
        <v/>
      </c>
      <c r="D234" s="33" t="str">
        <f>IF('Release Calendar'!M234&lt;&gt;"",'Release Calendar'!M234,"")</f>
        <v/>
      </c>
      <c r="E234" s="34" t="str">
        <f>IF(AND(Q234&lt;&gt;"",R234&lt;&gt;"",DATE(2026,2,0)&gt;=Q234,DATE(2026,1,1)&lt;=R234),"█","")</f>
        <v/>
      </c>
      <c r="F234" s="34" t="str">
        <f>IF(AND(Q234&lt;&gt;"",R234&lt;&gt;"",DATE(2026,3,0)&gt;=Q234,DATE(2026,2,1)&lt;=R234),"█","")</f>
        <v/>
      </c>
      <c r="G234" s="34" t="str">
        <f>IF(AND(Q234&lt;&gt;"",R234&lt;&gt;"",DATE(2026,4,0)&gt;=Q234,DATE(2026,3,1)&lt;=R234),"█","")</f>
        <v/>
      </c>
      <c r="H234" s="34" t="str">
        <f>IF(AND(Q234&lt;&gt;"",R234&lt;&gt;"",DATE(2026,5,0)&gt;=Q234,DATE(2026,4,1)&lt;=R234),"█","")</f>
        <v/>
      </c>
      <c r="I234" s="34" t="str">
        <f>IF(AND(Q234&lt;&gt;"",R234&lt;&gt;"",DATE(2026,6,0)&gt;=Q234,DATE(2026,5,1)&lt;=R234),"█","")</f>
        <v/>
      </c>
      <c r="J234" s="34" t="str">
        <f>IF(AND(Q234&lt;&gt;"",R234&lt;&gt;"",DATE(2026,7,0)&gt;=Q234,DATE(2026,6,1)&lt;=R234),"█","")</f>
        <v/>
      </c>
      <c r="K234" s="34" t="str">
        <f>IF(AND(Q234&lt;&gt;"",R234&lt;&gt;"",DATE(2026,8,0)&gt;=Q234,DATE(2026,7,1)&lt;=R234),"█","")</f>
        <v/>
      </c>
      <c r="L234" s="34" t="str">
        <f>IF(AND(Q234&lt;&gt;"",R234&lt;&gt;"",DATE(2026,9,0)&gt;=Q234,DATE(2026,8,1)&lt;=R234),"█","")</f>
        <v/>
      </c>
      <c r="M234" s="34" t="str">
        <f>IF(AND(Q234&lt;&gt;"",R234&lt;&gt;"",DATE(2026,10,0)&gt;=Q234,DATE(2026,9,1)&lt;=R234),"█","")</f>
        <v/>
      </c>
      <c r="N234" s="34" t="str">
        <f>IF(AND(Q234&lt;&gt;"",R234&lt;&gt;"",DATE(2026,11,0)&gt;=Q234,DATE(2026,10,1)&lt;=R234),"█","")</f>
        <v/>
      </c>
      <c r="O234" s="34" t="str">
        <f>IF(AND(Q234&lt;&gt;"",R234&lt;&gt;"",DATE(2026,12,0)&gt;=Q234,DATE(2026,11,1)&lt;=R234),"█","")</f>
        <v/>
      </c>
      <c r="P234" s="34" t="str">
        <f>IF(AND(Q234&lt;&gt;"",R234&lt;&gt;"",DATE(2026,12,31)&gt;=Q234,DATE(2026,12,1)&lt;=R234),"█","")</f>
        <v/>
      </c>
      <c r="Q234" s="7" t="str">
        <f>IF('Release Calendar'!I234&lt;&gt;"",'Release Calendar'!I234,"")</f>
        <v/>
      </c>
      <c r="R234" s="7" t="str">
        <f>IF('Release Calendar'!J234&lt;&gt;"",'Release Calendar'!J234,"")</f>
        <v/>
      </c>
    </row>
    <row r="235" spans="1:18" ht="20.100000000000001" customHeight="1">
      <c r="A235" s="14">
        <v>231</v>
      </c>
      <c r="B235" s="28" t="str">
        <f>IF('Release Calendar'!B235&lt;&gt;"",'Release Calendar'!B235,"")</f>
        <v/>
      </c>
      <c r="C235" s="29" t="str">
        <f>IF('Release Calendar'!K235&lt;&gt;"",'Release Calendar'!K235,"")</f>
        <v/>
      </c>
      <c r="D235" s="29" t="str">
        <f>IF('Release Calendar'!M235&lt;&gt;"",'Release Calendar'!M235,"")</f>
        <v/>
      </c>
      <c r="E235" s="30" t="str">
        <f>IF(AND(Q235&lt;&gt;"",R235&lt;&gt;"",DATE(2026,2,0)&gt;=Q235,DATE(2026,1,1)&lt;=R235),"█","")</f>
        <v/>
      </c>
      <c r="F235" s="30" t="str">
        <f>IF(AND(Q235&lt;&gt;"",R235&lt;&gt;"",DATE(2026,3,0)&gt;=Q235,DATE(2026,2,1)&lt;=R235),"█","")</f>
        <v/>
      </c>
      <c r="G235" s="30" t="str">
        <f>IF(AND(Q235&lt;&gt;"",R235&lt;&gt;"",DATE(2026,4,0)&gt;=Q235,DATE(2026,3,1)&lt;=R235),"█","")</f>
        <v/>
      </c>
      <c r="H235" s="30" t="str">
        <f>IF(AND(Q235&lt;&gt;"",R235&lt;&gt;"",DATE(2026,5,0)&gt;=Q235,DATE(2026,4,1)&lt;=R235),"█","")</f>
        <v/>
      </c>
      <c r="I235" s="30" t="str">
        <f>IF(AND(Q235&lt;&gt;"",R235&lt;&gt;"",DATE(2026,6,0)&gt;=Q235,DATE(2026,5,1)&lt;=R235),"█","")</f>
        <v/>
      </c>
      <c r="J235" s="30" t="str">
        <f>IF(AND(Q235&lt;&gt;"",R235&lt;&gt;"",DATE(2026,7,0)&gt;=Q235,DATE(2026,6,1)&lt;=R235),"█","")</f>
        <v/>
      </c>
      <c r="K235" s="30" t="str">
        <f>IF(AND(Q235&lt;&gt;"",R235&lt;&gt;"",DATE(2026,8,0)&gt;=Q235,DATE(2026,7,1)&lt;=R235),"█","")</f>
        <v/>
      </c>
      <c r="L235" s="30" t="str">
        <f>IF(AND(Q235&lt;&gt;"",R235&lt;&gt;"",DATE(2026,9,0)&gt;=Q235,DATE(2026,8,1)&lt;=R235),"█","")</f>
        <v/>
      </c>
      <c r="M235" s="30" t="str">
        <f>IF(AND(Q235&lt;&gt;"",R235&lt;&gt;"",DATE(2026,10,0)&gt;=Q235,DATE(2026,9,1)&lt;=R235),"█","")</f>
        <v/>
      </c>
      <c r="N235" s="30" t="str">
        <f>IF(AND(Q235&lt;&gt;"",R235&lt;&gt;"",DATE(2026,11,0)&gt;=Q235,DATE(2026,10,1)&lt;=R235),"█","")</f>
        <v/>
      </c>
      <c r="O235" s="30" t="str">
        <f>IF(AND(Q235&lt;&gt;"",R235&lt;&gt;"",DATE(2026,12,0)&gt;=Q235,DATE(2026,11,1)&lt;=R235),"█","")</f>
        <v/>
      </c>
      <c r="P235" s="30" t="str">
        <f>IF(AND(Q235&lt;&gt;"",R235&lt;&gt;"",DATE(2026,12,31)&gt;=Q235,DATE(2026,12,1)&lt;=R235),"█","")</f>
        <v/>
      </c>
      <c r="Q235" s="7" t="str">
        <f>IF('Release Calendar'!I235&lt;&gt;"",'Release Calendar'!I235,"")</f>
        <v/>
      </c>
      <c r="R235" s="7" t="str">
        <f>IF('Release Calendar'!J235&lt;&gt;"",'Release Calendar'!J235,"")</f>
        <v/>
      </c>
    </row>
    <row r="236" spans="1:18" ht="20.100000000000001" customHeight="1">
      <c r="A236" s="31">
        <v>232</v>
      </c>
      <c r="B236" s="32" t="str">
        <f>IF('Release Calendar'!B236&lt;&gt;"",'Release Calendar'!B236,"")</f>
        <v/>
      </c>
      <c r="C236" s="33" t="str">
        <f>IF('Release Calendar'!K236&lt;&gt;"",'Release Calendar'!K236,"")</f>
        <v/>
      </c>
      <c r="D236" s="33" t="str">
        <f>IF('Release Calendar'!M236&lt;&gt;"",'Release Calendar'!M236,"")</f>
        <v/>
      </c>
      <c r="E236" s="34" t="str">
        <f>IF(AND(Q236&lt;&gt;"",R236&lt;&gt;"",DATE(2026,2,0)&gt;=Q236,DATE(2026,1,1)&lt;=R236),"█","")</f>
        <v/>
      </c>
      <c r="F236" s="34" t="str">
        <f>IF(AND(Q236&lt;&gt;"",R236&lt;&gt;"",DATE(2026,3,0)&gt;=Q236,DATE(2026,2,1)&lt;=R236),"█","")</f>
        <v/>
      </c>
      <c r="G236" s="34" t="str">
        <f>IF(AND(Q236&lt;&gt;"",R236&lt;&gt;"",DATE(2026,4,0)&gt;=Q236,DATE(2026,3,1)&lt;=R236),"█","")</f>
        <v/>
      </c>
      <c r="H236" s="34" t="str">
        <f>IF(AND(Q236&lt;&gt;"",R236&lt;&gt;"",DATE(2026,5,0)&gt;=Q236,DATE(2026,4,1)&lt;=R236),"█","")</f>
        <v/>
      </c>
      <c r="I236" s="34" t="str">
        <f>IF(AND(Q236&lt;&gt;"",R236&lt;&gt;"",DATE(2026,6,0)&gt;=Q236,DATE(2026,5,1)&lt;=R236),"█","")</f>
        <v/>
      </c>
      <c r="J236" s="34" t="str">
        <f>IF(AND(Q236&lt;&gt;"",R236&lt;&gt;"",DATE(2026,7,0)&gt;=Q236,DATE(2026,6,1)&lt;=R236),"█","")</f>
        <v/>
      </c>
      <c r="K236" s="34" t="str">
        <f>IF(AND(Q236&lt;&gt;"",R236&lt;&gt;"",DATE(2026,8,0)&gt;=Q236,DATE(2026,7,1)&lt;=R236),"█","")</f>
        <v/>
      </c>
      <c r="L236" s="34" t="str">
        <f>IF(AND(Q236&lt;&gt;"",R236&lt;&gt;"",DATE(2026,9,0)&gt;=Q236,DATE(2026,8,1)&lt;=R236),"█","")</f>
        <v/>
      </c>
      <c r="M236" s="34" t="str">
        <f>IF(AND(Q236&lt;&gt;"",R236&lt;&gt;"",DATE(2026,10,0)&gt;=Q236,DATE(2026,9,1)&lt;=R236),"█","")</f>
        <v/>
      </c>
      <c r="N236" s="34" t="str">
        <f>IF(AND(Q236&lt;&gt;"",R236&lt;&gt;"",DATE(2026,11,0)&gt;=Q236,DATE(2026,10,1)&lt;=R236),"█","")</f>
        <v/>
      </c>
      <c r="O236" s="34" t="str">
        <f>IF(AND(Q236&lt;&gt;"",R236&lt;&gt;"",DATE(2026,12,0)&gt;=Q236,DATE(2026,11,1)&lt;=R236),"█","")</f>
        <v/>
      </c>
      <c r="P236" s="34" t="str">
        <f>IF(AND(Q236&lt;&gt;"",R236&lt;&gt;"",DATE(2026,12,31)&gt;=Q236,DATE(2026,12,1)&lt;=R236),"█","")</f>
        <v/>
      </c>
      <c r="Q236" s="7" t="str">
        <f>IF('Release Calendar'!I236&lt;&gt;"",'Release Calendar'!I236,"")</f>
        <v/>
      </c>
      <c r="R236" s="7" t="str">
        <f>IF('Release Calendar'!J236&lt;&gt;"",'Release Calendar'!J236,"")</f>
        <v/>
      </c>
    </row>
    <row r="237" spans="1:18" ht="20.100000000000001" customHeight="1">
      <c r="A237" s="14">
        <v>233</v>
      </c>
      <c r="B237" s="28" t="str">
        <f>IF('Release Calendar'!B237&lt;&gt;"",'Release Calendar'!B237,"")</f>
        <v/>
      </c>
      <c r="C237" s="29" t="str">
        <f>IF('Release Calendar'!K237&lt;&gt;"",'Release Calendar'!K237,"")</f>
        <v/>
      </c>
      <c r="D237" s="29" t="str">
        <f>IF('Release Calendar'!M237&lt;&gt;"",'Release Calendar'!M237,"")</f>
        <v/>
      </c>
      <c r="E237" s="30" t="str">
        <f>IF(AND(Q237&lt;&gt;"",R237&lt;&gt;"",DATE(2026,2,0)&gt;=Q237,DATE(2026,1,1)&lt;=R237),"█","")</f>
        <v/>
      </c>
      <c r="F237" s="30" t="str">
        <f>IF(AND(Q237&lt;&gt;"",R237&lt;&gt;"",DATE(2026,3,0)&gt;=Q237,DATE(2026,2,1)&lt;=R237),"█","")</f>
        <v/>
      </c>
      <c r="G237" s="30" t="str">
        <f>IF(AND(Q237&lt;&gt;"",R237&lt;&gt;"",DATE(2026,4,0)&gt;=Q237,DATE(2026,3,1)&lt;=R237),"█","")</f>
        <v/>
      </c>
      <c r="H237" s="30" t="str">
        <f>IF(AND(Q237&lt;&gt;"",R237&lt;&gt;"",DATE(2026,5,0)&gt;=Q237,DATE(2026,4,1)&lt;=R237),"█","")</f>
        <v/>
      </c>
      <c r="I237" s="30" t="str">
        <f>IF(AND(Q237&lt;&gt;"",R237&lt;&gt;"",DATE(2026,6,0)&gt;=Q237,DATE(2026,5,1)&lt;=R237),"█","")</f>
        <v/>
      </c>
      <c r="J237" s="30" t="str">
        <f>IF(AND(Q237&lt;&gt;"",R237&lt;&gt;"",DATE(2026,7,0)&gt;=Q237,DATE(2026,6,1)&lt;=R237),"█","")</f>
        <v/>
      </c>
      <c r="K237" s="30" t="str">
        <f>IF(AND(Q237&lt;&gt;"",R237&lt;&gt;"",DATE(2026,8,0)&gt;=Q237,DATE(2026,7,1)&lt;=R237),"█","")</f>
        <v/>
      </c>
      <c r="L237" s="30" t="str">
        <f>IF(AND(Q237&lt;&gt;"",R237&lt;&gt;"",DATE(2026,9,0)&gt;=Q237,DATE(2026,8,1)&lt;=R237),"█","")</f>
        <v/>
      </c>
      <c r="M237" s="30" t="str">
        <f>IF(AND(Q237&lt;&gt;"",R237&lt;&gt;"",DATE(2026,10,0)&gt;=Q237,DATE(2026,9,1)&lt;=R237),"█","")</f>
        <v/>
      </c>
      <c r="N237" s="30" t="str">
        <f>IF(AND(Q237&lt;&gt;"",R237&lt;&gt;"",DATE(2026,11,0)&gt;=Q237,DATE(2026,10,1)&lt;=R237),"█","")</f>
        <v/>
      </c>
      <c r="O237" s="30" t="str">
        <f>IF(AND(Q237&lt;&gt;"",R237&lt;&gt;"",DATE(2026,12,0)&gt;=Q237,DATE(2026,11,1)&lt;=R237),"█","")</f>
        <v/>
      </c>
      <c r="P237" s="30" t="str">
        <f>IF(AND(Q237&lt;&gt;"",R237&lt;&gt;"",DATE(2026,12,31)&gt;=Q237,DATE(2026,12,1)&lt;=R237),"█","")</f>
        <v/>
      </c>
      <c r="Q237" s="7" t="str">
        <f>IF('Release Calendar'!I237&lt;&gt;"",'Release Calendar'!I237,"")</f>
        <v/>
      </c>
      <c r="R237" s="7" t="str">
        <f>IF('Release Calendar'!J237&lt;&gt;"",'Release Calendar'!J237,"")</f>
        <v/>
      </c>
    </row>
    <row r="238" spans="1:18" ht="20.100000000000001" customHeight="1">
      <c r="A238" s="31">
        <v>234</v>
      </c>
      <c r="B238" s="32" t="str">
        <f>IF('Release Calendar'!B238&lt;&gt;"",'Release Calendar'!B238,"")</f>
        <v/>
      </c>
      <c r="C238" s="33" t="str">
        <f>IF('Release Calendar'!K238&lt;&gt;"",'Release Calendar'!K238,"")</f>
        <v/>
      </c>
      <c r="D238" s="33" t="str">
        <f>IF('Release Calendar'!M238&lt;&gt;"",'Release Calendar'!M238,"")</f>
        <v/>
      </c>
      <c r="E238" s="34" t="str">
        <f>IF(AND(Q238&lt;&gt;"",R238&lt;&gt;"",DATE(2026,2,0)&gt;=Q238,DATE(2026,1,1)&lt;=R238),"█","")</f>
        <v/>
      </c>
      <c r="F238" s="34" t="str">
        <f>IF(AND(Q238&lt;&gt;"",R238&lt;&gt;"",DATE(2026,3,0)&gt;=Q238,DATE(2026,2,1)&lt;=R238),"█","")</f>
        <v/>
      </c>
      <c r="G238" s="34" t="str">
        <f>IF(AND(Q238&lt;&gt;"",R238&lt;&gt;"",DATE(2026,4,0)&gt;=Q238,DATE(2026,3,1)&lt;=R238),"█","")</f>
        <v/>
      </c>
      <c r="H238" s="34" t="str">
        <f>IF(AND(Q238&lt;&gt;"",R238&lt;&gt;"",DATE(2026,5,0)&gt;=Q238,DATE(2026,4,1)&lt;=R238),"█","")</f>
        <v/>
      </c>
      <c r="I238" s="34" t="str">
        <f>IF(AND(Q238&lt;&gt;"",R238&lt;&gt;"",DATE(2026,6,0)&gt;=Q238,DATE(2026,5,1)&lt;=R238),"█","")</f>
        <v/>
      </c>
      <c r="J238" s="34" t="str">
        <f>IF(AND(Q238&lt;&gt;"",R238&lt;&gt;"",DATE(2026,7,0)&gt;=Q238,DATE(2026,6,1)&lt;=R238),"█","")</f>
        <v/>
      </c>
      <c r="K238" s="34" t="str">
        <f>IF(AND(Q238&lt;&gt;"",R238&lt;&gt;"",DATE(2026,8,0)&gt;=Q238,DATE(2026,7,1)&lt;=R238),"█","")</f>
        <v/>
      </c>
      <c r="L238" s="34" t="str">
        <f>IF(AND(Q238&lt;&gt;"",R238&lt;&gt;"",DATE(2026,9,0)&gt;=Q238,DATE(2026,8,1)&lt;=R238),"█","")</f>
        <v/>
      </c>
      <c r="M238" s="34" t="str">
        <f>IF(AND(Q238&lt;&gt;"",R238&lt;&gt;"",DATE(2026,10,0)&gt;=Q238,DATE(2026,9,1)&lt;=R238),"█","")</f>
        <v/>
      </c>
      <c r="N238" s="34" t="str">
        <f>IF(AND(Q238&lt;&gt;"",R238&lt;&gt;"",DATE(2026,11,0)&gt;=Q238,DATE(2026,10,1)&lt;=R238),"█","")</f>
        <v/>
      </c>
      <c r="O238" s="34" t="str">
        <f>IF(AND(Q238&lt;&gt;"",R238&lt;&gt;"",DATE(2026,12,0)&gt;=Q238,DATE(2026,11,1)&lt;=R238),"█","")</f>
        <v/>
      </c>
      <c r="P238" s="34" t="str">
        <f>IF(AND(Q238&lt;&gt;"",R238&lt;&gt;"",DATE(2026,12,31)&gt;=Q238,DATE(2026,12,1)&lt;=R238),"█","")</f>
        <v/>
      </c>
      <c r="Q238" s="7" t="str">
        <f>IF('Release Calendar'!I238&lt;&gt;"",'Release Calendar'!I238,"")</f>
        <v/>
      </c>
      <c r="R238" s="7" t="str">
        <f>IF('Release Calendar'!J238&lt;&gt;"",'Release Calendar'!J238,"")</f>
        <v/>
      </c>
    </row>
    <row r="239" spans="1:18" ht="20.100000000000001" customHeight="1">
      <c r="A239" s="14">
        <v>235</v>
      </c>
      <c r="B239" s="28" t="str">
        <f>IF('Release Calendar'!B239&lt;&gt;"",'Release Calendar'!B239,"")</f>
        <v/>
      </c>
      <c r="C239" s="29" t="str">
        <f>IF('Release Calendar'!K239&lt;&gt;"",'Release Calendar'!K239,"")</f>
        <v/>
      </c>
      <c r="D239" s="29" t="str">
        <f>IF('Release Calendar'!M239&lt;&gt;"",'Release Calendar'!M239,"")</f>
        <v/>
      </c>
      <c r="E239" s="30" t="str">
        <f>IF(AND(Q239&lt;&gt;"",R239&lt;&gt;"",DATE(2026,2,0)&gt;=Q239,DATE(2026,1,1)&lt;=R239),"█","")</f>
        <v/>
      </c>
      <c r="F239" s="30" t="str">
        <f>IF(AND(Q239&lt;&gt;"",R239&lt;&gt;"",DATE(2026,3,0)&gt;=Q239,DATE(2026,2,1)&lt;=R239),"█","")</f>
        <v/>
      </c>
      <c r="G239" s="30" t="str">
        <f>IF(AND(Q239&lt;&gt;"",R239&lt;&gt;"",DATE(2026,4,0)&gt;=Q239,DATE(2026,3,1)&lt;=R239),"█","")</f>
        <v/>
      </c>
      <c r="H239" s="30" t="str">
        <f>IF(AND(Q239&lt;&gt;"",R239&lt;&gt;"",DATE(2026,5,0)&gt;=Q239,DATE(2026,4,1)&lt;=R239),"█","")</f>
        <v/>
      </c>
      <c r="I239" s="30" t="str">
        <f>IF(AND(Q239&lt;&gt;"",R239&lt;&gt;"",DATE(2026,6,0)&gt;=Q239,DATE(2026,5,1)&lt;=R239),"█","")</f>
        <v/>
      </c>
      <c r="J239" s="30" t="str">
        <f>IF(AND(Q239&lt;&gt;"",R239&lt;&gt;"",DATE(2026,7,0)&gt;=Q239,DATE(2026,6,1)&lt;=R239),"█","")</f>
        <v/>
      </c>
      <c r="K239" s="30" t="str">
        <f>IF(AND(Q239&lt;&gt;"",R239&lt;&gt;"",DATE(2026,8,0)&gt;=Q239,DATE(2026,7,1)&lt;=R239),"█","")</f>
        <v/>
      </c>
      <c r="L239" s="30" t="str">
        <f>IF(AND(Q239&lt;&gt;"",R239&lt;&gt;"",DATE(2026,9,0)&gt;=Q239,DATE(2026,8,1)&lt;=R239),"█","")</f>
        <v/>
      </c>
      <c r="M239" s="30" t="str">
        <f>IF(AND(Q239&lt;&gt;"",R239&lt;&gt;"",DATE(2026,10,0)&gt;=Q239,DATE(2026,9,1)&lt;=R239),"█","")</f>
        <v/>
      </c>
      <c r="N239" s="30" t="str">
        <f>IF(AND(Q239&lt;&gt;"",R239&lt;&gt;"",DATE(2026,11,0)&gt;=Q239,DATE(2026,10,1)&lt;=R239),"█","")</f>
        <v/>
      </c>
      <c r="O239" s="30" t="str">
        <f>IF(AND(Q239&lt;&gt;"",R239&lt;&gt;"",DATE(2026,12,0)&gt;=Q239,DATE(2026,11,1)&lt;=R239),"█","")</f>
        <v/>
      </c>
      <c r="P239" s="30" t="str">
        <f>IF(AND(Q239&lt;&gt;"",R239&lt;&gt;"",DATE(2026,12,31)&gt;=Q239,DATE(2026,12,1)&lt;=R239),"█","")</f>
        <v/>
      </c>
      <c r="Q239" s="7" t="str">
        <f>IF('Release Calendar'!I239&lt;&gt;"",'Release Calendar'!I239,"")</f>
        <v/>
      </c>
      <c r="R239" s="7" t="str">
        <f>IF('Release Calendar'!J239&lt;&gt;"",'Release Calendar'!J239,"")</f>
        <v/>
      </c>
    </row>
    <row r="240" spans="1:18" ht="20.100000000000001" customHeight="1">
      <c r="A240" s="31">
        <v>236</v>
      </c>
      <c r="B240" s="32" t="str">
        <f>IF('Release Calendar'!B240&lt;&gt;"",'Release Calendar'!B240,"")</f>
        <v/>
      </c>
      <c r="C240" s="33" t="str">
        <f>IF('Release Calendar'!K240&lt;&gt;"",'Release Calendar'!K240,"")</f>
        <v/>
      </c>
      <c r="D240" s="33" t="str">
        <f>IF('Release Calendar'!M240&lt;&gt;"",'Release Calendar'!M240,"")</f>
        <v/>
      </c>
      <c r="E240" s="34" t="str">
        <f>IF(AND(Q240&lt;&gt;"",R240&lt;&gt;"",DATE(2026,2,0)&gt;=Q240,DATE(2026,1,1)&lt;=R240),"█","")</f>
        <v/>
      </c>
      <c r="F240" s="34" t="str">
        <f>IF(AND(Q240&lt;&gt;"",R240&lt;&gt;"",DATE(2026,3,0)&gt;=Q240,DATE(2026,2,1)&lt;=R240),"█","")</f>
        <v/>
      </c>
      <c r="G240" s="34" t="str">
        <f>IF(AND(Q240&lt;&gt;"",R240&lt;&gt;"",DATE(2026,4,0)&gt;=Q240,DATE(2026,3,1)&lt;=R240),"█","")</f>
        <v/>
      </c>
      <c r="H240" s="34" t="str">
        <f>IF(AND(Q240&lt;&gt;"",R240&lt;&gt;"",DATE(2026,5,0)&gt;=Q240,DATE(2026,4,1)&lt;=R240),"█","")</f>
        <v/>
      </c>
      <c r="I240" s="34" t="str">
        <f>IF(AND(Q240&lt;&gt;"",R240&lt;&gt;"",DATE(2026,6,0)&gt;=Q240,DATE(2026,5,1)&lt;=R240),"█","")</f>
        <v/>
      </c>
      <c r="J240" s="34" t="str">
        <f>IF(AND(Q240&lt;&gt;"",R240&lt;&gt;"",DATE(2026,7,0)&gt;=Q240,DATE(2026,6,1)&lt;=R240),"█","")</f>
        <v/>
      </c>
      <c r="K240" s="34" t="str">
        <f>IF(AND(Q240&lt;&gt;"",R240&lt;&gt;"",DATE(2026,8,0)&gt;=Q240,DATE(2026,7,1)&lt;=R240),"█","")</f>
        <v/>
      </c>
      <c r="L240" s="34" t="str">
        <f>IF(AND(Q240&lt;&gt;"",R240&lt;&gt;"",DATE(2026,9,0)&gt;=Q240,DATE(2026,8,1)&lt;=R240),"█","")</f>
        <v/>
      </c>
      <c r="M240" s="34" t="str">
        <f>IF(AND(Q240&lt;&gt;"",R240&lt;&gt;"",DATE(2026,10,0)&gt;=Q240,DATE(2026,9,1)&lt;=R240),"█","")</f>
        <v/>
      </c>
      <c r="N240" s="34" t="str">
        <f>IF(AND(Q240&lt;&gt;"",R240&lt;&gt;"",DATE(2026,11,0)&gt;=Q240,DATE(2026,10,1)&lt;=R240),"█","")</f>
        <v/>
      </c>
      <c r="O240" s="34" t="str">
        <f>IF(AND(Q240&lt;&gt;"",R240&lt;&gt;"",DATE(2026,12,0)&gt;=Q240,DATE(2026,11,1)&lt;=R240),"█","")</f>
        <v/>
      </c>
      <c r="P240" s="34" t="str">
        <f>IF(AND(Q240&lt;&gt;"",R240&lt;&gt;"",DATE(2026,12,31)&gt;=Q240,DATE(2026,12,1)&lt;=R240),"█","")</f>
        <v/>
      </c>
      <c r="Q240" s="7" t="str">
        <f>IF('Release Calendar'!I240&lt;&gt;"",'Release Calendar'!I240,"")</f>
        <v/>
      </c>
      <c r="R240" s="7" t="str">
        <f>IF('Release Calendar'!J240&lt;&gt;"",'Release Calendar'!J240,"")</f>
        <v/>
      </c>
    </row>
    <row r="241" spans="1:18" ht="20.100000000000001" customHeight="1">
      <c r="A241" s="14">
        <v>237</v>
      </c>
      <c r="B241" s="28" t="str">
        <f>IF('Release Calendar'!B241&lt;&gt;"",'Release Calendar'!B241,"")</f>
        <v/>
      </c>
      <c r="C241" s="29" t="str">
        <f>IF('Release Calendar'!K241&lt;&gt;"",'Release Calendar'!K241,"")</f>
        <v/>
      </c>
      <c r="D241" s="29" t="str">
        <f>IF('Release Calendar'!M241&lt;&gt;"",'Release Calendar'!M241,"")</f>
        <v/>
      </c>
      <c r="E241" s="30" t="str">
        <f>IF(AND(Q241&lt;&gt;"",R241&lt;&gt;"",DATE(2026,2,0)&gt;=Q241,DATE(2026,1,1)&lt;=R241),"█","")</f>
        <v/>
      </c>
      <c r="F241" s="30" t="str">
        <f>IF(AND(Q241&lt;&gt;"",R241&lt;&gt;"",DATE(2026,3,0)&gt;=Q241,DATE(2026,2,1)&lt;=R241),"█","")</f>
        <v/>
      </c>
      <c r="G241" s="30" t="str">
        <f>IF(AND(Q241&lt;&gt;"",R241&lt;&gt;"",DATE(2026,4,0)&gt;=Q241,DATE(2026,3,1)&lt;=R241),"█","")</f>
        <v/>
      </c>
      <c r="H241" s="30" t="str">
        <f>IF(AND(Q241&lt;&gt;"",R241&lt;&gt;"",DATE(2026,5,0)&gt;=Q241,DATE(2026,4,1)&lt;=R241),"█","")</f>
        <v/>
      </c>
      <c r="I241" s="30" t="str">
        <f>IF(AND(Q241&lt;&gt;"",R241&lt;&gt;"",DATE(2026,6,0)&gt;=Q241,DATE(2026,5,1)&lt;=R241),"█","")</f>
        <v/>
      </c>
      <c r="J241" s="30" t="str">
        <f>IF(AND(Q241&lt;&gt;"",R241&lt;&gt;"",DATE(2026,7,0)&gt;=Q241,DATE(2026,6,1)&lt;=R241),"█","")</f>
        <v/>
      </c>
      <c r="K241" s="30" t="str">
        <f>IF(AND(Q241&lt;&gt;"",R241&lt;&gt;"",DATE(2026,8,0)&gt;=Q241,DATE(2026,7,1)&lt;=R241),"█","")</f>
        <v/>
      </c>
      <c r="L241" s="30" t="str">
        <f>IF(AND(Q241&lt;&gt;"",R241&lt;&gt;"",DATE(2026,9,0)&gt;=Q241,DATE(2026,8,1)&lt;=R241),"█","")</f>
        <v/>
      </c>
      <c r="M241" s="30" t="str">
        <f>IF(AND(Q241&lt;&gt;"",R241&lt;&gt;"",DATE(2026,10,0)&gt;=Q241,DATE(2026,9,1)&lt;=R241),"█","")</f>
        <v/>
      </c>
      <c r="N241" s="30" t="str">
        <f>IF(AND(Q241&lt;&gt;"",R241&lt;&gt;"",DATE(2026,11,0)&gt;=Q241,DATE(2026,10,1)&lt;=R241),"█","")</f>
        <v/>
      </c>
      <c r="O241" s="30" t="str">
        <f>IF(AND(Q241&lt;&gt;"",R241&lt;&gt;"",DATE(2026,12,0)&gt;=Q241,DATE(2026,11,1)&lt;=R241),"█","")</f>
        <v/>
      </c>
      <c r="P241" s="30" t="str">
        <f>IF(AND(Q241&lt;&gt;"",R241&lt;&gt;"",DATE(2026,12,31)&gt;=Q241,DATE(2026,12,1)&lt;=R241),"█","")</f>
        <v/>
      </c>
      <c r="Q241" s="7" t="str">
        <f>IF('Release Calendar'!I241&lt;&gt;"",'Release Calendar'!I241,"")</f>
        <v/>
      </c>
      <c r="R241" s="7" t="str">
        <f>IF('Release Calendar'!J241&lt;&gt;"",'Release Calendar'!J241,"")</f>
        <v/>
      </c>
    </row>
    <row r="242" spans="1:18" ht="20.100000000000001" customHeight="1">
      <c r="A242" s="31">
        <v>238</v>
      </c>
      <c r="B242" s="32" t="str">
        <f>IF('Release Calendar'!B242&lt;&gt;"",'Release Calendar'!B242,"")</f>
        <v/>
      </c>
      <c r="C242" s="33" t="str">
        <f>IF('Release Calendar'!K242&lt;&gt;"",'Release Calendar'!K242,"")</f>
        <v/>
      </c>
      <c r="D242" s="33" t="str">
        <f>IF('Release Calendar'!M242&lt;&gt;"",'Release Calendar'!M242,"")</f>
        <v/>
      </c>
      <c r="E242" s="34" t="str">
        <f>IF(AND(Q242&lt;&gt;"",R242&lt;&gt;"",DATE(2026,2,0)&gt;=Q242,DATE(2026,1,1)&lt;=R242),"█","")</f>
        <v/>
      </c>
      <c r="F242" s="34" t="str">
        <f>IF(AND(Q242&lt;&gt;"",R242&lt;&gt;"",DATE(2026,3,0)&gt;=Q242,DATE(2026,2,1)&lt;=R242),"█","")</f>
        <v/>
      </c>
      <c r="G242" s="34" t="str">
        <f>IF(AND(Q242&lt;&gt;"",R242&lt;&gt;"",DATE(2026,4,0)&gt;=Q242,DATE(2026,3,1)&lt;=R242),"█","")</f>
        <v/>
      </c>
      <c r="H242" s="34" t="str">
        <f>IF(AND(Q242&lt;&gt;"",R242&lt;&gt;"",DATE(2026,5,0)&gt;=Q242,DATE(2026,4,1)&lt;=R242),"█","")</f>
        <v/>
      </c>
      <c r="I242" s="34" t="str">
        <f>IF(AND(Q242&lt;&gt;"",R242&lt;&gt;"",DATE(2026,6,0)&gt;=Q242,DATE(2026,5,1)&lt;=R242),"█","")</f>
        <v/>
      </c>
      <c r="J242" s="34" t="str">
        <f>IF(AND(Q242&lt;&gt;"",R242&lt;&gt;"",DATE(2026,7,0)&gt;=Q242,DATE(2026,6,1)&lt;=R242),"█","")</f>
        <v/>
      </c>
      <c r="K242" s="34" t="str">
        <f>IF(AND(Q242&lt;&gt;"",R242&lt;&gt;"",DATE(2026,8,0)&gt;=Q242,DATE(2026,7,1)&lt;=R242),"█","")</f>
        <v/>
      </c>
      <c r="L242" s="34" t="str">
        <f>IF(AND(Q242&lt;&gt;"",R242&lt;&gt;"",DATE(2026,9,0)&gt;=Q242,DATE(2026,8,1)&lt;=R242),"█","")</f>
        <v/>
      </c>
      <c r="M242" s="34" t="str">
        <f>IF(AND(Q242&lt;&gt;"",R242&lt;&gt;"",DATE(2026,10,0)&gt;=Q242,DATE(2026,9,1)&lt;=R242),"█","")</f>
        <v/>
      </c>
      <c r="N242" s="34" t="str">
        <f>IF(AND(Q242&lt;&gt;"",R242&lt;&gt;"",DATE(2026,11,0)&gt;=Q242,DATE(2026,10,1)&lt;=R242),"█","")</f>
        <v/>
      </c>
      <c r="O242" s="34" t="str">
        <f>IF(AND(Q242&lt;&gt;"",R242&lt;&gt;"",DATE(2026,12,0)&gt;=Q242,DATE(2026,11,1)&lt;=R242),"█","")</f>
        <v/>
      </c>
      <c r="P242" s="34" t="str">
        <f>IF(AND(Q242&lt;&gt;"",R242&lt;&gt;"",DATE(2026,12,31)&gt;=Q242,DATE(2026,12,1)&lt;=R242),"█","")</f>
        <v/>
      </c>
      <c r="Q242" s="7" t="str">
        <f>IF('Release Calendar'!I242&lt;&gt;"",'Release Calendar'!I242,"")</f>
        <v/>
      </c>
      <c r="R242" s="7" t="str">
        <f>IF('Release Calendar'!J242&lt;&gt;"",'Release Calendar'!J242,"")</f>
        <v/>
      </c>
    </row>
    <row r="243" spans="1:18" ht="20.100000000000001" customHeight="1">
      <c r="A243" s="14">
        <v>239</v>
      </c>
      <c r="B243" s="28" t="str">
        <f>IF('Release Calendar'!B243&lt;&gt;"",'Release Calendar'!B243,"")</f>
        <v/>
      </c>
      <c r="C243" s="29" t="str">
        <f>IF('Release Calendar'!K243&lt;&gt;"",'Release Calendar'!K243,"")</f>
        <v/>
      </c>
      <c r="D243" s="29" t="str">
        <f>IF('Release Calendar'!M243&lt;&gt;"",'Release Calendar'!M243,"")</f>
        <v/>
      </c>
      <c r="E243" s="30" t="str">
        <f>IF(AND(Q243&lt;&gt;"",R243&lt;&gt;"",DATE(2026,2,0)&gt;=Q243,DATE(2026,1,1)&lt;=R243),"█","")</f>
        <v/>
      </c>
      <c r="F243" s="30" t="str">
        <f>IF(AND(Q243&lt;&gt;"",R243&lt;&gt;"",DATE(2026,3,0)&gt;=Q243,DATE(2026,2,1)&lt;=R243),"█","")</f>
        <v/>
      </c>
      <c r="G243" s="30" t="str">
        <f>IF(AND(Q243&lt;&gt;"",R243&lt;&gt;"",DATE(2026,4,0)&gt;=Q243,DATE(2026,3,1)&lt;=R243),"█","")</f>
        <v/>
      </c>
      <c r="H243" s="30" t="str">
        <f>IF(AND(Q243&lt;&gt;"",R243&lt;&gt;"",DATE(2026,5,0)&gt;=Q243,DATE(2026,4,1)&lt;=R243),"█","")</f>
        <v/>
      </c>
      <c r="I243" s="30" t="str">
        <f>IF(AND(Q243&lt;&gt;"",R243&lt;&gt;"",DATE(2026,6,0)&gt;=Q243,DATE(2026,5,1)&lt;=R243),"█","")</f>
        <v/>
      </c>
      <c r="J243" s="30" t="str">
        <f>IF(AND(Q243&lt;&gt;"",R243&lt;&gt;"",DATE(2026,7,0)&gt;=Q243,DATE(2026,6,1)&lt;=R243),"█","")</f>
        <v/>
      </c>
      <c r="K243" s="30" t="str">
        <f>IF(AND(Q243&lt;&gt;"",R243&lt;&gt;"",DATE(2026,8,0)&gt;=Q243,DATE(2026,7,1)&lt;=R243),"█","")</f>
        <v/>
      </c>
      <c r="L243" s="30" t="str">
        <f>IF(AND(Q243&lt;&gt;"",R243&lt;&gt;"",DATE(2026,9,0)&gt;=Q243,DATE(2026,8,1)&lt;=R243),"█","")</f>
        <v/>
      </c>
      <c r="M243" s="30" t="str">
        <f>IF(AND(Q243&lt;&gt;"",R243&lt;&gt;"",DATE(2026,10,0)&gt;=Q243,DATE(2026,9,1)&lt;=R243),"█","")</f>
        <v/>
      </c>
      <c r="N243" s="30" t="str">
        <f>IF(AND(Q243&lt;&gt;"",R243&lt;&gt;"",DATE(2026,11,0)&gt;=Q243,DATE(2026,10,1)&lt;=R243),"█","")</f>
        <v/>
      </c>
      <c r="O243" s="30" t="str">
        <f>IF(AND(Q243&lt;&gt;"",R243&lt;&gt;"",DATE(2026,12,0)&gt;=Q243,DATE(2026,11,1)&lt;=R243),"█","")</f>
        <v/>
      </c>
      <c r="P243" s="30" t="str">
        <f>IF(AND(Q243&lt;&gt;"",R243&lt;&gt;"",DATE(2026,12,31)&gt;=Q243,DATE(2026,12,1)&lt;=R243),"█","")</f>
        <v/>
      </c>
      <c r="Q243" s="7" t="str">
        <f>IF('Release Calendar'!I243&lt;&gt;"",'Release Calendar'!I243,"")</f>
        <v/>
      </c>
      <c r="R243" s="7" t="str">
        <f>IF('Release Calendar'!J243&lt;&gt;"",'Release Calendar'!J243,"")</f>
        <v/>
      </c>
    </row>
    <row r="244" spans="1:18" ht="20.100000000000001" customHeight="1">
      <c r="A244" s="31">
        <v>240</v>
      </c>
      <c r="B244" s="32" t="str">
        <f>IF('Release Calendar'!B244&lt;&gt;"",'Release Calendar'!B244,"")</f>
        <v/>
      </c>
      <c r="C244" s="33" t="str">
        <f>IF('Release Calendar'!K244&lt;&gt;"",'Release Calendar'!K244,"")</f>
        <v/>
      </c>
      <c r="D244" s="33" t="str">
        <f>IF('Release Calendar'!M244&lt;&gt;"",'Release Calendar'!M244,"")</f>
        <v/>
      </c>
      <c r="E244" s="34" t="str">
        <f>IF(AND(Q244&lt;&gt;"",R244&lt;&gt;"",DATE(2026,2,0)&gt;=Q244,DATE(2026,1,1)&lt;=R244),"█","")</f>
        <v/>
      </c>
      <c r="F244" s="34" t="str">
        <f>IF(AND(Q244&lt;&gt;"",R244&lt;&gt;"",DATE(2026,3,0)&gt;=Q244,DATE(2026,2,1)&lt;=R244),"█","")</f>
        <v/>
      </c>
      <c r="G244" s="34" t="str">
        <f>IF(AND(Q244&lt;&gt;"",R244&lt;&gt;"",DATE(2026,4,0)&gt;=Q244,DATE(2026,3,1)&lt;=R244),"█","")</f>
        <v/>
      </c>
      <c r="H244" s="34" t="str">
        <f>IF(AND(Q244&lt;&gt;"",R244&lt;&gt;"",DATE(2026,5,0)&gt;=Q244,DATE(2026,4,1)&lt;=R244),"█","")</f>
        <v/>
      </c>
      <c r="I244" s="34" t="str">
        <f>IF(AND(Q244&lt;&gt;"",R244&lt;&gt;"",DATE(2026,6,0)&gt;=Q244,DATE(2026,5,1)&lt;=R244),"█","")</f>
        <v/>
      </c>
      <c r="J244" s="34" t="str">
        <f>IF(AND(Q244&lt;&gt;"",R244&lt;&gt;"",DATE(2026,7,0)&gt;=Q244,DATE(2026,6,1)&lt;=R244),"█","")</f>
        <v/>
      </c>
      <c r="K244" s="34" t="str">
        <f>IF(AND(Q244&lt;&gt;"",R244&lt;&gt;"",DATE(2026,8,0)&gt;=Q244,DATE(2026,7,1)&lt;=R244),"█","")</f>
        <v/>
      </c>
      <c r="L244" s="34" t="str">
        <f>IF(AND(Q244&lt;&gt;"",R244&lt;&gt;"",DATE(2026,9,0)&gt;=Q244,DATE(2026,8,1)&lt;=R244),"█","")</f>
        <v/>
      </c>
      <c r="M244" s="34" t="str">
        <f>IF(AND(Q244&lt;&gt;"",R244&lt;&gt;"",DATE(2026,10,0)&gt;=Q244,DATE(2026,9,1)&lt;=R244),"█","")</f>
        <v/>
      </c>
      <c r="N244" s="34" t="str">
        <f>IF(AND(Q244&lt;&gt;"",R244&lt;&gt;"",DATE(2026,11,0)&gt;=Q244,DATE(2026,10,1)&lt;=R244),"█","")</f>
        <v/>
      </c>
      <c r="O244" s="34" t="str">
        <f>IF(AND(Q244&lt;&gt;"",R244&lt;&gt;"",DATE(2026,12,0)&gt;=Q244,DATE(2026,11,1)&lt;=R244),"█","")</f>
        <v/>
      </c>
      <c r="P244" s="34" t="str">
        <f>IF(AND(Q244&lt;&gt;"",R244&lt;&gt;"",DATE(2026,12,31)&gt;=Q244,DATE(2026,12,1)&lt;=R244),"█","")</f>
        <v/>
      </c>
      <c r="Q244" s="7" t="str">
        <f>IF('Release Calendar'!I244&lt;&gt;"",'Release Calendar'!I244,"")</f>
        <v/>
      </c>
      <c r="R244" s="7" t="str">
        <f>IF('Release Calendar'!J244&lt;&gt;"",'Release Calendar'!J244,"")</f>
        <v/>
      </c>
    </row>
    <row r="245" spans="1:18" ht="20.100000000000001" customHeight="1">
      <c r="A245" s="14">
        <v>241</v>
      </c>
      <c r="B245" s="28" t="str">
        <f>IF('Release Calendar'!B245&lt;&gt;"",'Release Calendar'!B245,"")</f>
        <v/>
      </c>
      <c r="C245" s="29" t="str">
        <f>IF('Release Calendar'!K245&lt;&gt;"",'Release Calendar'!K245,"")</f>
        <v/>
      </c>
      <c r="D245" s="29" t="str">
        <f>IF('Release Calendar'!M245&lt;&gt;"",'Release Calendar'!M245,"")</f>
        <v/>
      </c>
      <c r="E245" s="30" t="str">
        <f>IF(AND(Q245&lt;&gt;"",R245&lt;&gt;"",DATE(2026,2,0)&gt;=Q245,DATE(2026,1,1)&lt;=R245),"█","")</f>
        <v/>
      </c>
      <c r="F245" s="30" t="str">
        <f>IF(AND(Q245&lt;&gt;"",R245&lt;&gt;"",DATE(2026,3,0)&gt;=Q245,DATE(2026,2,1)&lt;=R245),"█","")</f>
        <v/>
      </c>
      <c r="G245" s="30" t="str">
        <f>IF(AND(Q245&lt;&gt;"",R245&lt;&gt;"",DATE(2026,4,0)&gt;=Q245,DATE(2026,3,1)&lt;=R245),"█","")</f>
        <v/>
      </c>
      <c r="H245" s="30" t="str">
        <f>IF(AND(Q245&lt;&gt;"",R245&lt;&gt;"",DATE(2026,5,0)&gt;=Q245,DATE(2026,4,1)&lt;=R245),"█","")</f>
        <v/>
      </c>
      <c r="I245" s="30" t="str">
        <f>IF(AND(Q245&lt;&gt;"",R245&lt;&gt;"",DATE(2026,6,0)&gt;=Q245,DATE(2026,5,1)&lt;=R245),"█","")</f>
        <v/>
      </c>
      <c r="J245" s="30" t="str">
        <f>IF(AND(Q245&lt;&gt;"",R245&lt;&gt;"",DATE(2026,7,0)&gt;=Q245,DATE(2026,6,1)&lt;=R245),"█","")</f>
        <v/>
      </c>
      <c r="K245" s="30" t="str">
        <f>IF(AND(Q245&lt;&gt;"",R245&lt;&gt;"",DATE(2026,8,0)&gt;=Q245,DATE(2026,7,1)&lt;=R245),"█","")</f>
        <v/>
      </c>
      <c r="L245" s="30" t="str">
        <f>IF(AND(Q245&lt;&gt;"",R245&lt;&gt;"",DATE(2026,9,0)&gt;=Q245,DATE(2026,8,1)&lt;=R245),"█","")</f>
        <v/>
      </c>
      <c r="M245" s="30" t="str">
        <f>IF(AND(Q245&lt;&gt;"",R245&lt;&gt;"",DATE(2026,10,0)&gt;=Q245,DATE(2026,9,1)&lt;=R245),"█","")</f>
        <v/>
      </c>
      <c r="N245" s="30" t="str">
        <f>IF(AND(Q245&lt;&gt;"",R245&lt;&gt;"",DATE(2026,11,0)&gt;=Q245,DATE(2026,10,1)&lt;=R245),"█","")</f>
        <v/>
      </c>
      <c r="O245" s="30" t="str">
        <f>IF(AND(Q245&lt;&gt;"",R245&lt;&gt;"",DATE(2026,12,0)&gt;=Q245,DATE(2026,11,1)&lt;=R245),"█","")</f>
        <v/>
      </c>
      <c r="P245" s="30" t="str">
        <f>IF(AND(Q245&lt;&gt;"",R245&lt;&gt;"",DATE(2026,12,31)&gt;=Q245,DATE(2026,12,1)&lt;=R245),"█","")</f>
        <v/>
      </c>
      <c r="Q245" s="7" t="str">
        <f>IF('Release Calendar'!I245&lt;&gt;"",'Release Calendar'!I245,"")</f>
        <v/>
      </c>
      <c r="R245" s="7" t="str">
        <f>IF('Release Calendar'!J245&lt;&gt;"",'Release Calendar'!J245,"")</f>
        <v/>
      </c>
    </row>
    <row r="246" spans="1:18" ht="20.100000000000001" customHeight="1">
      <c r="A246" s="31">
        <v>242</v>
      </c>
      <c r="B246" s="32" t="str">
        <f>IF('Release Calendar'!B246&lt;&gt;"",'Release Calendar'!B246,"")</f>
        <v/>
      </c>
      <c r="C246" s="33" t="str">
        <f>IF('Release Calendar'!K246&lt;&gt;"",'Release Calendar'!K246,"")</f>
        <v/>
      </c>
      <c r="D246" s="33" t="str">
        <f>IF('Release Calendar'!M246&lt;&gt;"",'Release Calendar'!M246,"")</f>
        <v/>
      </c>
      <c r="E246" s="34" t="str">
        <f>IF(AND(Q246&lt;&gt;"",R246&lt;&gt;"",DATE(2026,2,0)&gt;=Q246,DATE(2026,1,1)&lt;=R246),"█","")</f>
        <v/>
      </c>
      <c r="F246" s="34" t="str">
        <f>IF(AND(Q246&lt;&gt;"",R246&lt;&gt;"",DATE(2026,3,0)&gt;=Q246,DATE(2026,2,1)&lt;=R246),"█","")</f>
        <v/>
      </c>
      <c r="G246" s="34" t="str">
        <f>IF(AND(Q246&lt;&gt;"",R246&lt;&gt;"",DATE(2026,4,0)&gt;=Q246,DATE(2026,3,1)&lt;=R246),"█","")</f>
        <v/>
      </c>
      <c r="H246" s="34" t="str">
        <f>IF(AND(Q246&lt;&gt;"",R246&lt;&gt;"",DATE(2026,5,0)&gt;=Q246,DATE(2026,4,1)&lt;=R246),"█","")</f>
        <v/>
      </c>
      <c r="I246" s="34" t="str">
        <f>IF(AND(Q246&lt;&gt;"",R246&lt;&gt;"",DATE(2026,6,0)&gt;=Q246,DATE(2026,5,1)&lt;=R246),"█","")</f>
        <v/>
      </c>
      <c r="J246" s="34" t="str">
        <f>IF(AND(Q246&lt;&gt;"",R246&lt;&gt;"",DATE(2026,7,0)&gt;=Q246,DATE(2026,6,1)&lt;=R246),"█","")</f>
        <v/>
      </c>
      <c r="K246" s="34" t="str">
        <f>IF(AND(Q246&lt;&gt;"",R246&lt;&gt;"",DATE(2026,8,0)&gt;=Q246,DATE(2026,7,1)&lt;=R246),"█","")</f>
        <v/>
      </c>
      <c r="L246" s="34" t="str">
        <f>IF(AND(Q246&lt;&gt;"",R246&lt;&gt;"",DATE(2026,9,0)&gt;=Q246,DATE(2026,8,1)&lt;=R246),"█","")</f>
        <v/>
      </c>
      <c r="M246" s="34" t="str">
        <f>IF(AND(Q246&lt;&gt;"",R246&lt;&gt;"",DATE(2026,10,0)&gt;=Q246,DATE(2026,9,1)&lt;=R246),"█","")</f>
        <v/>
      </c>
      <c r="N246" s="34" t="str">
        <f>IF(AND(Q246&lt;&gt;"",R246&lt;&gt;"",DATE(2026,11,0)&gt;=Q246,DATE(2026,10,1)&lt;=R246),"█","")</f>
        <v/>
      </c>
      <c r="O246" s="34" t="str">
        <f>IF(AND(Q246&lt;&gt;"",R246&lt;&gt;"",DATE(2026,12,0)&gt;=Q246,DATE(2026,11,1)&lt;=R246),"█","")</f>
        <v/>
      </c>
      <c r="P246" s="34" t="str">
        <f>IF(AND(Q246&lt;&gt;"",R246&lt;&gt;"",DATE(2026,12,31)&gt;=Q246,DATE(2026,12,1)&lt;=R246),"█","")</f>
        <v/>
      </c>
      <c r="Q246" s="7" t="str">
        <f>IF('Release Calendar'!I246&lt;&gt;"",'Release Calendar'!I246,"")</f>
        <v/>
      </c>
      <c r="R246" s="7" t="str">
        <f>IF('Release Calendar'!J246&lt;&gt;"",'Release Calendar'!J246,"")</f>
        <v/>
      </c>
    </row>
    <row r="247" spans="1:18" ht="20.100000000000001" customHeight="1">
      <c r="A247" s="14">
        <v>243</v>
      </c>
      <c r="B247" s="28" t="str">
        <f>IF('Release Calendar'!B247&lt;&gt;"",'Release Calendar'!B247,"")</f>
        <v/>
      </c>
      <c r="C247" s="29" t="str">
        <f>IF('Release Calendar'!K247&lt;&gt;"",'Release Calendar'!K247,"")</f>
        <v/>
      </c>
      <c r="D247" s="29" t="str">
        <f>IF('Release Calendar'!M247&lt;&gt;"",'Release Calendar'!M247,"")</f>
        <v/>
      </c>
      <c r="E247" s="30" t="str">
        <f>IF(AND(Q247&lt;&gt;"",R247&lt;&gt;"",DATE(2026,2,0)&gt;=Q247,DATE(2026,1,1)&lt;=R247),"█","")</f>
        <v/>
      </c>
      <c r="F247" s="30" t="str">
        <f>IF(AND(Q247&lt;&gt;"",R247&lt;&gt;"",DATE(2026,3,0)&gt;=Q247,DATE(2026,2,1)&lt;=R247),"█","")</f>
        <v/>
      </c>
      <c r="G247" s="30" t="str">
        <f>IF(AND(Q247&lt;&gt;"",R247&lt;&gt;"",DATE(2026,4,0)&gt;=Q247,DATE(2026,3,1)&lt;=R247),"█","")</f>
        <v/>
      </c>
      <c r="H247" s="30" t="str">
        <f>IF(AND(Q247&lt;&gt;"",R247&lt;&gt;"",DATE(2026,5,0)&gt;=Q247,DATE(2026,4,1)&lt;=R247),"█","")</f>
        <v/>
      </c>
      <c r="I247" s="30" t="str">
        <f>IF(AND(Q247&lt;&gt;"",R247&lt;&gt;"",DATE(2026,6,0)&gt;=Q247,DATE(2026,5,1)&lt;=R247),"█","")</f>
        <v/>
      </c>
      <c r="J247" s="30" t="str">
        <f>IF(AND(Q247&lt;&gt;"",R247&lt;&gt;"",DATE(2026,7,0)&gt;=Q247,DATE(2026,6,1)&lt;=R247),"█","")</f>
        <v/>
      </c>
      <c r="K247" s="30" t="str">
        <f>IF(AND(Q247&lt;&gt;"",R247&lt;&gt;"",DATE(2026,8,0)&gt;=Q247,DATE(2026,7,1)&lt;=R247),"█","")</f>
        <v/>
      </c>
      <c r="L247" s="30" t="str">
        <f>IF(AND(Q247&lt;&gt;"",R247&lt;&gt;"",DATE(2026,9,0)&gt;=Q247,DATE(2026,8,1)&lt;=R247),"█","")</f>
        <v/>
      </c>
      <c r="M247" s="30" t="str">
        <f>IF(AND(Q247&lt;&gt;"",R247&lt;&gt;"",DATE(2026,10,0)&gt;=Q247,DATE(2026,9,1)&lt;=R247),"█","")</f>
        <v/>
      </c>
      <c r="N247" s="30" t="str">
        <f>IF(AND(Q247&lt;&gt;"",R247&lt;&gt;"",DATE(2026,11,0)&gt;=Q247,DATE(2026,10,1)&lt;=R247),"█","")</f>
        <v/>
      </c>
      <c r="O247" s="30" t="str">
        <f>IF(AND(Q247&lt;&gt;"",R247&lt;&gt;"",DATE(2026,12,0)&gt;=Q247,DATE(2026,11,1)&lt;=R247),"█","")</f>
        <v/>
      </c>
      <c r="P247" s="30" t="str">
        <f>IF(AND(Q247&lt;&gt;"",R247&lt;&gt;"",DATE(2026,12,31)&gt;=Q247,DATE(2026,12,1)&lt;=R247),"█","")</f>
        <v/>
      </c>
      <c r="Q247" s="7" t="str">
        <f>IF('Release Calendar'!I247&lt;&gt;"",'Release Calendar'!I247,"")</f>
        <v/>
      </c>
      <c r="R247" s="7" t="str">
        <f>IF('Release Calendar'!J247&lt;&gt;"",'Release Calendar'!J247,"")</f>
        <v/>
      </c>
    </row>
    <row r="248" spans="1:18" ht="20.100000000000001" customHeight="1">
      <c r="A248" s="31">
        <v>244</v>
      </c>
      <c r="B248" s="32" t="str">
        <f>IF('Release Calendar'!B248&lt;&gt;"",'Release Calendar'!B248,"")</f>
        <v/>
      </c>
      <c r="C248" s="33" t="str">
        <f>IF('Release Calendar'!K248&lt;&gt;"",'Release Calendar'!K248,"")</f>
        <v/>
      </c>
      <c r="D248" s="33" t="str">
        <f>IF('Release Calendar'!M248&lt;&gt;"",'Release Calendar'!M248,"")</f>
        <v/>
      </c>
      <c r="E248" s="34" t="str">
        <f>IF(AND(Q248&lt;&gt;"",R248&lt;&gt;"",DATE(2026,2,0)&gt;=Q248,DATE(2026,1,1)&lt;=R248),"█","")</f>
        <v/>
      </c>
      <c r="F248" s="34" t="str">
        <f>IF(AND(Q248&lt;&gt;"",R248&lt;&gt;"",DATE(2026,3,0)&gt;=Q248,DATE(2026,2,1)&lt;=R248),"█","")</f>
        <v/>
      </c>
      <c r="G248" s="34" t="str">
        <f>IF(AND(Q248&lt;&gt;"",R248&lt;&gt;"",DATE(2026,4,0)&gt;=Q248,DATE(2026,3,1)&lt;=R248),"█","")</f>
        <v/>
      </c>
      <c r="H248" s="34" t="str">
        <f>IF(AND(Q248&lt;&gt;"",R248&lt;&gt;"",DATE(2026,5,0)&gt;=Q248,DATE(2026,4,1)&lt;=R248),"█","")</f>
        <v/>
      </c>
      <c r="I248" s="34" t="str">
        <f>IF(AND(Q248&lt;&gt;"",R248&lt;&gt;"",DATE(2026,6,0)&gt;=Q248,DATE(2026,5,1)&lt;=R248),"█","")</f>
        <v/>
      </c>
      <c r="J248" s="34" t="str">
        <f>IF(AND(Q248&lt;&gt;"",R248&lt;&gt;"",DATE(2026,7,0)&gt;=Q248,DATE(2026,6,1)&lt;=R248),"█","")</f>
        <v/>
      </c>
      <c r="K248" s="34" t="str">
        <f>IF(AND(Q248&lt;&gt;"",R248&lt;&gt;"",DATE(2026,8,0)&gt;=Q248,DATE(2026,7,1)&lt;=R248),"█","")</f>
        <v/>
      </c>
      <c r="L248" s="34" t="str">
        <f>IF(AND(Q248&lt;&gt;"",R248&lt;&gt;"",DATE(2026,9,0)&gt;=Q248,DATE(2026,8,1)&lt;=R248),"█","")</f>
        <v/>
      </c>
      <c r="M248" s="34" t="str">
        <f>IF(AND(Q248&lt;&gt;"",R248&lt;&gt;"",DATE(2026,10,0)&gt;=Q248,DATE(2026,9,1)&lt;=R248),"█","")</f>
        <v/>
      </c>
      <c r="N248" s="34" t="str">
        <f>IF(AND(Q248&lt;&gt;"",R248&lt;&gt;"",DATE(2026,11,0)&gt;=Q248,DATE(2026,10,1)&lt;=R248),"█","")</f>
        <v/>
      </c>
      <c r="O248" s="34" t="str">
        <f>IF(AND(Q248&lt;&gt;"",R248&lt;&gt;"",DATE(2026,12,0)&gt;=Q248,DATE(2026,11,1)&lt;=R248),"█","")</f>
        <v/>
      </c>
      <c r="P248" s="34" t="str">
        <f>IF(AND(Q248&lt;&gt;"",R248&lt;&gt;"",DATE(2026,12,31)&gt;=Q248,DATE(2026,12,1)&lt;=R248),"█","")</f>
        <v/>
      </c>
      <c r="Q248" s="7" t="str">
        <f>IF('Release Calendar'!I248&lt;&gt;"",'Release Calendar'!I248,"")</f>
        <v/>
      </c>
      <c r="R248" s="7" t="str">
        <f>IF('Release Calendar'!J248&lt;&gt;"",'Release Calendar'!J248,"")</f>
        <v/>
      </c>
    </row>
    <row r="249" spans="1:18" ht="20.100000000000001" customHeight="1">
      <c r="A249" s="14">
        <v>245</v>
      </c>
      <c r="B249" s="28" t="str">
        <f>IF('Release Calendar'!B249&lt;&gt;"",'Release Calendar'!B249,"")</f>
        <v/>
      </c>
      <c r="C249" s="29" t="str">
        <f>IF('Release Calendar'!K249&lt;&gt;"",'Release Calendar'!K249,"")</f>
        <v/>
      </c>
      <c r="D249" s="29" t="str">
        <f>IF('Release Calendar'!M249&lt;&gt;"",'Release Calendar'!M249,"")</f>
        <v/>
      </c>
      <c r="E249" s="30" t="str">
        <f>IF(AND(Q249&lt;&gt;"",R249&lt;&gt;"",DATE(2026,2,0)&gt;=Q249,DATE(2026,1,1)&lt;=R249),"█","")</f>
        <v/>
      </c>
      <c r="F249" s="30" t="str">
        <f>IF(AND(Q249&lt;&gt;"",R249&lt;&gt;"",DATE(2026,3,0)&gt;=Q249,DATE(2026,2,1)&lt;=R249),"█","")</f>
        <v/>
      </c>
      <c r="G249" s="30" t="str">
        <f>IF(AND(Q249&lt;&gt;"",R249&lt;&gt;"",DATE(2026,4,0)&gt;=Q249,DATE(2026,3,1)&lt;=R249),"█","")</f>
        <v/>
      </c>
      <c r="H249" s="30" t="str">
        <f>IF(AND(Q249&lt;&gt;"",R249&lt;&gt;"",DATE(2026,5,0)&gt;=Q249,DATE(2026,4,1)&lt;=R249),"█","")</f>
        <v/>
      </c>
      <c r="I249" s="30" t="str">
        <f>IF(AND(Q249&lt;&gt;"",R249&lt;&gt;"",DATE(2026,6,0)&gt;=Q249,DATE(2026,5,1)&lt;=R249),"█","")</f>
        <v/>
      </c>
      <c r="J249" s="30" t="str">
        <f>IF(AND(Q249&lt;&gt;"",R249&lt;&gt;"",DATE(2026,7,0)&gt;=Q249,DATE(2026,6,1)&lt;=R249),"█","")</f>
        <v/>
      </c>
      <c r="K249" s="30" t="str">
        <f>IF(AND(Q249&lt;&gt;"",R249&lt;&gt;"",DATE(2026,8,0)&gt;=Q249,DATE(2026,7,1)&lt;=R249),"█","")</f>
        <v/>
      </c>
      <c r="L249" s="30" t="str">
        <f>IF(AND(Q249&lt;&gt;"",R249&lt;&gt;"",DATE(2026,9,0)&gt;=Q249,DATE(2026,8,1)&lt;=R249),"█","")</f>
        <v/>
      </c>
      <c r="M249" s="30" t="str">
        <f>IF(AND(Q249&lt;&gt;"",R249&lt;&gt;"",DATE(2026,10,0)&gt;=Q249,DATE(2026,9,1)&lt;=R249),"█","")</f>
        <v/>
      </c>
      <c r="N249" s="30" t="str">
        <f>IF(AND(Q249&lt;&gt;"",R249&lt;&gt;"",DATE(2026,11,0)&gt;=Q249,DATE(2026,10,1)&lt;=R249),"█","")</f>
        <v/>
      </c>
      <c r="O249" s="30" t="str">
        <f>IF(AND(Q249&lt;&gt;"",R249&lt;&gt;"",DATE(2026,12,0)&gt;=Q249,DATE(2026,11,1)&lt;=R249),"█","")</f>
        <v/>
      </c>
      <c r="P249" s="30" t="str">
        <f>IF(AND(Q249&lt;&gt;"",R249&lt;&gt;"",DATE(2026,12,31)&gt;=Q249,DATE(2026,12,1)&lt;=R249),"█","")</f>
        <v/>
      </c>
      <c r="Q249" s="7" t="str">
        <f>IF('Release Calendar'!I249&lt;&gt;"",'Release Calendar'!I249,"")</f>
        <v/>
      </c>
      <c r="R249" s="7" t="str">
        <f>IF('Release Calendar'!J249&lt;&gt;"",'Release Calendar'!J249,"")</f>
        <v/>
      </c>
    </row>
    <row r="250" spans="1:18" ht="20.100000000000001" customHeight="1">
      <c r="A250" s="31">
        <v>246</v>
      </c>
      <c r="B250" s="32" t="str">
        <f>IF('Release Calendar'!B250&lt;&gt;"",'Release Calendar'!B250,"")</f>
        <v/>
      </c>
      <c r="C250" s="33" t="str">
        <f>IF('Release Calendar'!K250&lt;&gt;"",'Release Calendar'!K250,"")</f>
        <v/>
      </c>
      <c r="D250" s="33" t="str">
        <f>IF('Release Calendar'!M250&lt;&gt;"",'Release Calendar'!M250,"")</f>
        <v/>
      </c>
      <c r="E250" s="34" t="str">
        <f>IF(AND(Q250&lt;&gt;"",R250&lt;&gt;"",DATE(2026,2,0)&gt;=Q250,DATE(2026,1,1)&lt;=R250),"█","")</f>
        <v/>
      </c>
      <c r="F250" s="34" t="str">
        <f>IF(AND(Q250&lt;&gt;"",R250&lt;&gt;"",DATE(2026,3,0)&gt;=Q250,DATE(2026,2,1)&lt;=R250),"█","")</f>
        <v/>
      </c>
      <c r="G250" s="34" t="str">
        <f>IF(AND(Q250&lt;&gt;"",R250&lt;&gt;"",DATE(2026,4,0)&gt;=Q250,DATE(2026,3,1)&lt;=R250),"█","")</f>
        <v/>
      </c>
      <c r="H250" s="34" t="str">
        <f>IF(AND(Q250&lt;&gt;"",R250&lt;&gt;"",DATE(2026,5,0)&gt;=Q250,DATE(2026,4,1)&lt;=R250),"█","")</f>
        <v/>
      </c>
      <c r="I250" s="34" t="str">
        <f>IF(AND(Q250&lt;&gt;"",R250&lt;&gt;"",DATE(2026,6,0)&gt;=Q250,DATE(2026,5,1)&lt;=R250),"█","")</f>
        <v/>
      </c>
      <c r="J250" s="34" t="str">
        <f>IF(AND(Q250&lt;&gt;"",R250&lt;&gt;"",DATE(2026,7,0)&gt;=Q250,DATE(2026,6,1)&lt;=R250),"█","")</f>
        <v/>
      </c>
      <c r="K250" s="34" t="str">
        <f>IF(AND(Q250&lt;&gt;"",R250&lt;&gt;"",DATE(2026,8,0)&gt;=Q250,DATE(2026,7,1)&lt;=R250),"█","")</f>
        <v/>
      </c>
      <c r="L250" s="34" t="str">
        <f>IF(AND(Q250&lt;&gt;"",R250&lt;&gt;"",DATE(2026,9,0)&gt;=Q250,DATE(2026,8,1)&lt;=R250),"█","")</f>
        <v/>
      </c>
      <c r="M250" s="34" t="str">
        <f>IF(AND(Q250&lt;&gt;"",R250&lt;&gt;"",DATE(2026,10,0)&gt;=Q250,DATE(2026,9,1)&lt;=R250),"█","")</f>
        <v/>
      </c>
      <c r="N250" s="34" t="str">
        <f>IF(AND(Q250&lt;&gt;"",R250&lt;&gt;"",DATE(2026,11,0)&gt;=Q250,DATE(2026,10,1)&lt;=R250),"█","")</f>
        <v/>
      </c>
      <c r="O250" s="34" t="str">
        <f>IF(AND(Q250&lt;&gt;"",R250&lt;&gt;"",DATE(2026,12,0)&gt;=Q250,DATE(2026,11,1)&lt;=R250),"█","")</f>
        <v/>
      </c>
      <c r="P250" s="34" t="str">
        <f>IF(AND(Q250&lt;&gt;"",R250&lt;&gt;"",DATE(2026,12,31)&gt;=Q250,DATE(2026,12,1)&lt;=R250),"█","")</f>
        <v/>
      </c>
      <c r="Q250" s="7" t="str">
        <f>IF('Release Calendar'!I250&lt;&gt;"",'Release Calendar'!I250,"")</f>
        <v/>
      </c>
      <c r="R250" s="7" t="str">
        <f>IF('Release Calendar'!J250&lt;&gt;"",'Release Calendar'!J250,"")</f>
        <v/>
      </c>
    </row>
    <row r="251" spans="1:18" ht="20.100000000000001" customHeight="1">
      <c r="A251" s="14">
        <v>247</v>
      </c>
      <c r="B251" s="28" t="str">
        <f>IF('Release Calendar'!B251&lt;&gt;"",'Release Calendar'!B251,"")</f>
        <v/>
      </c>
      <c r="C251" s="29" t="str">
        <f>IF('Release Calendar'!K251&lt;&gt;"",'Release Calendar'!K251,"")</f>
        <v/>
      </c>
      <c r="D251" s="29" t="str">
        <f>IF('Release Calendar'!M251&lt;&gt;"",'Release Calendar'!M251,"")</f>
        <v/>
      </c>
      <c r="E251" s="30" t="str">
        <f>IF(AND(Q251&lt;&gt;"",R251&lt;&gt;"",DATE(2026,2,0)&gt;=Q251,DATE(2026,1,1)&lt;=R251),"█","")</f>
        <v/>
      </c>
      <c r="F251" s="30" t="str">
        <f>IF(AND(Q251&lt;&gt;"",R251&lt;&gt;"",DATE(2026,3,0)&gt;=Q251,DATE(2026,2,1)&lt;=R251),"█","")</f>
        <v/>
      </c>
      <c r="G251" s="30" t="str">
        <f>IF(AND(Q251&lt;&gt;"",R251&lt;&gt;"",DATE(2026,4,0)&gt;=Q251,DATE(2026,3,1)&lt;=R251),"█","")</f>
        <v/>
      </c>
      <c r="H251" s="30" t="str">
        <f>IF(AND(Q251&lt;&gt;"",R251&lt;&gt;"",DATE(2026,5,0)&gt;=Q251,DATE(2026,4,1)&lt;=R251),"█","")</f>
        <v/>
      </c>
      <c r="I251" s="30" t="str">
        <f>IF(AND(Q251&lt;&gt;"",R251&lt;&gt;"",DATE(2026,6,0)&gt;=Q251,DATE(2026,5,1)&lt;=R251),"█","")</f>
        <v/>
      </c>
      <c r="J251" s="30" t="str">
        <f>IF(AND(Q251&lt;&gt;"",R251&lt;&gt;"",DATE(2026,7,0)&gt;=Q251,DATE(2026,6,1)&lt;=R251),"█","")</f>
        <v/>
      </c>
      <c r="K251" s="30" t="str">
        <f>IF(AND(Q251&lt;&gt;"",R251&lt;&gt;"",DATE(2026,8,0)&gt;=Q251,DATE(2026,7,1)&lt;=R251),"█","")</f>
        <v/>
      </c>
      <c r="L251" s="30" t="str">
        <f>IF(AND(Q251&lt;&gt;"",R251&lt;&gt;"",DATE(2026,9,0)&gt;=Q251,DATE(2026,8,1)&lt;=R251),"█","")</f>
        <v/>
      </c>
      <c r="M251" s="30" t="str">
        <f>IF(AND(Q251&lt;&gt;"",R251&lt;&gt;"",DATE(2026,10,0)&gt;=Q251,DATE(2026,9,1)&lt;=R251),"█","")</f>
        <v/>
      </c>
      <c r="N251" s="30" t="str">
        <f>IF(AND(Q251&lt;&gt;"",R251&lt;&gt;"",DATE(2026,11,0)&gt;=Q251,DATE(2026,10,1)&lt;=R251),"█","")</f>
        <v/>
      </c>
      <c r="O251" s="30" t="str">
        <f>IF(AND(Q251&lt;&gt;"",R251&lt;&gt;"",DATE(2026,12,0)&gt;=Q251,DATE(2026,11,1)&lt;=R251),"█","")</f>
        <v/>
      </c>
      <c r="P251" s="30" t="str">
        <f>IF(AND(Q251&lt;&gt;"",R251&lt;&gt;"",DATE(2026,12,31)&gt;=Q251,DATE(2026,12,1)&lt;=R251),"█","")</f>
        <v/>
      </c>
      <c r="Q251" s="7" t="str">
        <f>IF('Release Calendar'!I251&lt;&gt;"",'Release Calendar'!I251,"")</f>
        <v/>
      </c>
      <c r="R251" s="7" t="str">
        <f>IF('Release Calendar'!J251&lt;&gt;"",'Release Calendar'!J251,"")</f>
        <v/>
      </c>
    </row>
    <row r="252" spans="1:18" ht="20.100000000000001" customHeight="1">
      <c r="A252" s="31">
        <v>248</v>
      </c>
      <c r="B252" s="32" t="str">
        <f>IF('Release Calendar'!B252&lt;&gt;"",'Release Calendar'!B252,"")</f>
        <v/>
      </c>
      <c r="C252" s="33" t="str">
        <f>IF('Release Calendar'!K252&lt;&gt;"",'Release Calendar'!K252,"")</f>
        <v/>
      </c>
      <c r="D252" s="33" t="str">
        <f>IF('Release Calendar'!M252&lt;&gt;"",'Release Calendar'!M252,"")</f>
        <v/>
      </c>
      <c r="E252" s="34" t="str">
        <f>IF(AND(Q252&lt;&gt;"",R252&lt;&gt;"",DATE(2026,2,0)&gt;=Q252,DATE(2026,1,1)&lt;=R252),"█","")</f>
        <v/>
      </c>
      <c r="F252" s="34" t="str">
        <f>IF(AND(Q252&lt;&gt;"",R252&lt;&gt;"",DATE(2026,3,0)&gt;=Q252,DATE(2026,2,1)&lt;=R252),"█","")</f>
        <v/>
      </c>
      <c r="G252" s="34" t="str">
        <f>IF(AND(Q252&lt;&gt;"",R252&lt;&gt;"",DATE(2026,4,0)&gt;=Q252,DATE(2026,3,1)&lt;=R252),"█","")</f>
        <v/>
      </c>
      <c r="H252" s="34" t="str">
        <f>IF(AND(Q252&lt;&gt;"",R252&lt;&gt;"",DATE(2026,5,0)&gt;=Q252,DATE(2026,4,1)&lt;=R252),"█","")</f>
        <v/>
      </c>
      <c r="I252" s="34" t="str">
        <f>IF(AND(Q252&lt;&gt;"",R252&lt;&gt;"",DATE(2026,6,0)&gt;=Q252,DATE(2026,5,1)&lt;=R252),"█","")</f>
        <v/>
      </c>
      <c r="J252" s="34" t="str">
        <f>IF(AND(Q252&lt;&gt;"",R252&lt;&gt;"",DATE(2026,7,0)&gt;=Q252,DATE(2026,6,1)&lt;=R252),"█","")</f>
        <v/>
      </c>
      <c r="K252" s="34" t="str">
        <f>IF(AND(Q252&lt;&gt;"",R252&lt;&gt;"",DATE(2026,8,0)&gt;=Q252,DATE(2026,7,1)&lt;=R252),"█","")</f>
        <v/>
      </c>
      <c r="L252" s="34" t="str">
        <f>IF(AND(Q252&lt;&gt;"",R252&lt;&gt;"",DATE(2026,9,0)&gt;=Q252,DATE(2026,8,1)&lt;=R252),"█","")</f>
        <v/>
      </c>
      <c r="M252" s="34" t="str">
        <f>IF(AND(Q252&lt;&gt;"",R252&lt;&gt;"",DATE(2026,10,0)&gt;=Q252,DATE(2026,9,1)&lt;=R252),"█","")</f>
        <v/>
      </c>
      <c r="N252" s="34" t="str">
        <f>IF(AND(Q252&lt;&gt;"",R252&lt;&gt;"",DATE(2026,11,0)&gt;=Q252,DATE(2026,10,1)&lt;=R252),"█","")</f>
        <v/>
      </c>
      <c r="O252" s="34" t="str">
        <f>IF(AND(Q252&lt;&gt;"",R252&lt;&gt;"",DATE(2026,12,0)&gt;=Q252,DATE(2026,11,1)&lt;=R252),"█","")</f>
        <v/>
      </c>
      <c r="P252" s="34" t="str">
        <f>IF(AND(Q252&lt;&gt;"",R252&lt;&gt;"",DATE(2026,12,31)&gt;=Q252,DATE(2026,12,1)&lt;=R252),"█","")</f>
        <v/>
      </c>
      <c r="Q252" s="7" t="str">
        <f>IF('Release Calendar'!I252&lt;&gt;"",'Release Calendar'!I252,"")</f>
        <v/>
      </c>
      <c r="R252" s="7" t="str">
        <f>IF('Release Calendar'!J252&lt;&gt;"",'Release Calendar'!J252,"")</f>
        <v/>
      </c>
    </row>
    <row r="253" spans="1:18" ht="20.100000000000001" customHeight="1">
      <c r="A253" s="14">
        <v>249</v>
      </c>
      <c r="B253" s="28" t="str">
        <f>IF('Release Calendar'!B253&lt;&gt;"",'Release Calendar'!B253,"")</f>
        <v/>
      </c>
      <c r="C253" s="29" t="str">
        <f>IF('Release Calendar'!K253&lt;&gt;"",'Release Calendar'!K253,"")</f>
        <v/>
      </c>
      <c r="D253" s="29" t="str">
        <f>IF('Release Calendar'!M253&lt;&gt;"",'Release Calendar'!M253,"")</f>
        <v/>
      </c>
      <c r="E253" s="30" t="str">
        <f>IF(AND(Q253&lt;&gt;"",R253&lt;&gt;"",DATE(2026,2,0)&gt;=Q253,DATE(2026,1,1)&lt;=R253),"█","")</f>
        <v/>
      </c>
      <c r="F253" s="30" t="str">
        <f>IF(AND(Q253&lt;&gt;"",R253&lt;&gt;"",DATE(2026,3,0)&gt;=Q253,DATE(2026,2,1)&lt;=R253),"█","")</f>
        <v/>
      </c>
      <c r="G253" s="30" t="str">
        <f>IF(AND(Q253&lt;&gt;"",R253&lt;&gt;"",DATE(2026,4,0)&gt;=Q253,DATE(2026,3,1)&lt;=R253),"█","")</f>
        <v/>
      </c>
      <c r="H253" s="30" t="str">
        <f>IF(AND(Q253&lt;&gt;"",R253&lt;&gt;"",DATE(2026,5,0)&gt;=Q253,DATE(2026,4,1)&lt;=R253),"█","")</f>
        <v/>
      </c>
      <c r="I253" s="30" t="str">
        <f>IF(AND(Q253&lt;&gt;"",R253&lt;&gt;"",DATE(2026,6,0)&gt;=Q253,DATE(2026,5,1)&lt;=R253),"█","")</f>
        <v/>
      </c>
      <c r="J253" s="30" t="str">
        <f>IF(AND(Q253&lt;&gt;"",R253&lt;&gt;"",DATE(2026,7,0)&gt;=Q253,DATE(2026,6,1)&lt;=R253),"█","")</f>
        <v/>
      </c>
      <c r="K253" s="30" t="str">
        <f>IF(AND(Q253&lt;&gt;"",R253&lt;&gt;"",DATE(2026,8,0)&gt;=Q253,DATE(2026,7,1)&lt;=R253),"█","")</f>
        <v/>
      </c>
      <c r="L253" s="30" t="str">
        <f>IF(AND(Q253&lt;&gt;"",R253&lt;&gt;"",DATE(2026,9,0)&gt;=Q253,DATE(2026,8,1)&lt;=R253),"█","")</f>
        <v/>
      </c>
      <c r="M253" s="30" t="str">
        <f>IF(AND(Q253&lt;&gt;"",R253&lt;&gt;"",DATE(2026,10,0)&gt;=Q253,DATE(2026,9,1)&lt;=R253),"█","")</f>
        <v/>
      </c>
      <c r="N253" s="30" t="str">
        <f>IF(AND(Q253&lt;&gt;"",R253&lt;&gt;"",DATE(2026,11,0)&gt;=Q253,DATE(2026,10,1)&lt;=R253),"█","")</f>
        <v/>
      </c>
      <c r="O253" s="30" t="str">
        <f>IF(AND(Q253&lt;&gt;"",R253&lt;&gt;"",DATE(2026,12,0)&gt;=Q253,DATE(2026,11,1)&lt;=R253),"█","")</f>
        <v/>
      </c>
      <c r="P253" s="30" t="str">
        <f>IF(AND(Q253&lt;&gt;"",R253&lt;&gt;"",DATE(2026,12,31)&gt;=Q253,DATE(2026,12,1)&lt;=R253),"█","")</f>
        <v/>
      </c>
      <c r="Q253" s="7" t="str">
        <f>IF('Release Calendar'!I253&lt;&gt;"",'Release Calendar'!I253,"")</f>
        <v/>
      </c>
      <c r="R253" s="7" t="str">
        <f>IF('Release Calendar'!J253&lt;&gt;"",'Release Calendar'!J253,"")</f>
        <v/>
      </c>
    </row>
    <row r="254" spans="1:18" ht="20.100000000000001" customHeight="1">
      <c r="A254" s="31">
        <v>250</v>
      </c>
      <c r="B254" s="32" t="str">
        <f>IF('Release Calendar'!B254&lt;&gt;"",'Release Calendar'!B254,"")</f>
        <v/>
      </c>
      <c r="C254" s="33" t="str">
        <f>IF('Release Calendar'!K254&lt;&gt;"",'Release Calendar'!K254,"")</f>
        <v/>
      </c>
      <c r="D254" s="33" t="str">
        <f>IF('Release Calendar'!M254&lt;&gt;"",'Release Calendar'!M254,"")</f>
        <v/>
      </c>
      <c r="E254" s="34" t="str">
        <f>IF(AND(Q254&lt;&gt;"",R254&lt;&gt;"",DATE(2026,2,0)&gt;=Q254,DATE(2026,1,1)&lt;=R254),"█","")</f>
        <v/>
      </c>
      <c r="F254" s="34" t="str">
        <f>IF(AND(Q254&lt;&gt;"",R254&lt;&gt;"",DATE(2026,3,0)&gt;=Q254,DATE(2026,2,1)&lt;=R254),"█","")</f>
        <v/>
      </c>
      <c r="G254" s="34" t="str">
        <f>IF(AND(Q254&lt;&gt;"",R254&lt;&gt;"",DATE(2026,4,0)&gt;=Q254,DATE(2026,3,1)&lt;=R254),"█","")</f>
        <v/>
      </c>
      <c r="H254" s="34" t="str">
        <f>IF(AND(Q254&lt;&gt;"",R254&lt;&gt;"",DATE(2026,5,0)&gt;=Q254,DATE(2026,4,1)&lt;=R254),"█","")</f>
        <v/>
      </c>
      <c r="I254" s="34" t="str">
        <f>IF(AND(Q254&lt;&gt;"",R254&lt;&gt;"",DATE(2026,6,0)&gt;=Q254,DATE(2026,5,1)&lt;=R254),"█","")</f>
        <v/>
      </c>
      <c r="J254" s="34" t="str">
        <f>IF(AND(Q254&lt;&gt;"",R254&lt;&gt;"",DATE(2026,7,0)&gt;=Q254,DATE(2026,6,1)&lt;=R254),"█","")</f>
        <v/>
      </c>
      <c r="K254" s="34" t="str">
        <f>IF(AND(Q254&lt;&gt;"",R254&lt;&gt;"",DATE(2026,8,0)&gt;=Q254,DATE(2026,7,1)&lt;=R254),"█","")</f>
        <v/>
      </c>
      <c r="L254" s="34" t="str">
        <f>IF(AND(Q254&lt;&gt;"",R254&lt;&gt;"",DATE(2026,9,0)&gt;=Q254,DATE(2026,8,1)&lt;=R254),"█","")</f>
        <v/>
      </c>
      <c r="M254" s="34" t="str">
        <f>IF(AND(Q254&lt;&gt;"",R254&lt;&gt;"",DATE(2026,10,0)&gt;=Q254,DATE(2026,9,1)&lt;=R254),"█","")</f>
        <v/>
      </c>
      <c r="N254" s="34" t="str">
        <f>IF(AND(Q254&lt;&gt;"",R254&lt;&gt;"",DATE(2026,11,0)&gt;=Q254,DATE(2026,10,1)&lt;=R254),"█","")</f>
        <v/>
      </c>
      <c r="O254" s="34" t="str">
        <f>IF(AND(Q254&lt;&gt;"",R254&lt;&gt;"",DATE(2026,12,0)&gt;=Q254,DATE(2026,11,1)&lt;=R254),"█","")</f>
        <v/>
      </c>
      <c r="P254" s="34" t="str">
        <f>IF(AND(Q254&lt;&gt;"",R254&lt;&gt;"",DATE(2026,12,31)&gt;=Q254,DATE(2026,12,1)&lt;=R254),"█","")</f>
        <v/>
      </c>
      <c r="Q254" s="7" t="str">
        <f>IF('Release Calendar'!I254&lt;&gt;"",'Release Calendar'!I254,"")</f>
        <v/>
      </c>
      <c r="R254" s="7" t="str">
        <f>IF('Release Calendar'!J254&lt;&gt;"",'Release Calendar'!J254,"")</f>
        <v/>
      </c>
    </row>
    <row r="255" spans="1:18" ht="20.100000000000001" customHeight="1">
      <c r="A255" s="14">
        <v>251</v>
      </c>
      <c r="B255" s="28" t="str">
        <f>IF('Release Calendar'!B255&lt;&gt;"",'Release Calendar'!B255,"")</f>
        <v/>
      </c>
      <c r="C255" s="29" t="str">
        <f>IF('Release Calendar'!K255&lt;&gt;"",'Release Calendar'!K255,"")</f>
        <v/>
      </c>
      <c r="D255" s="29" t="str">
        <f>IF('Release Calendar'!M255&lt;&gt;"",'Release Calendar'!M255,"")</f>
        <v/>
      </c>
      <c r="E255" s="30" t="str">
        <f>IF(AND(Q255&lt;&gt;"",R255&lt;&gt;"",DATE(2026,2,0)&gt;=Q255,DATE(2026,1,1)&lt;=R255),"█","")</f>
        <v/>
      </c>
      <c r="F255" s="30" t="str">
        <f>IF(AND(Q255&lt;&gt;"",R255&lt;&gt;"",DATE(2026,3,0)&gt;=Q255,DATE(2026,2,1)&lt;=R255),"█","")</f>
        <v/>
      </c>
      <c r="G255" s="30" t="str">
        <f>IF(AND(Q255&lt;&gt;"",R255&lt;&gt;"",DATE(2026,4,0)&gt;=Q255,DATE(2026,3,1)&lt;=R255),"█","")</f>
        <v/>
      </c>
      <c r="H255" s="30" t="str">
        <f>IF(AND(Q255&lt;&gt;"",R255&lt;&gt;"",DATE(2026,5,0)&gt;=Q255,DATE(2026,4,1)&lt;=R255),"█","")</f>
        <v/>
      </c>
      <c r="I255" s="30" t="str">
        <f>IF(AND(Q255&lt;&gt;"",R255&lt;&gt;"",DATE(2026,6,0)&gt;=Q255,DATE(2026,5,1)&lt;=R255),"█","")</f>
        <v/>
      </c>
      <c r="J255" s="30" t="str">
        <f>IF(AND(Q255&lt;&gt;"",R255&lt;&gt;"",DATE(2026,7,0)&gt;=Q255,DATE(2026,6,1)&lt;=R255),"█","")</f>
        <v/>
      </c>
      <c r="K255" s="30" t="str">
        <f>IF(AND(Q255&lt;&gt;"",R255&lt;&gt;"",DATE(2026,8,0)&gt;=Q255,DATE(2026,7,1)&lt;=R255),"█","")</f>
        <v/>
      </c>
      <c r="L255" s="30" t="str">
        <f>IF(AND(Q255&lt;&gt;"",R255&lt;&gt;"",DATE(2026,9,0)&gt;=Q255,DATE(2026,8,1)&lt;=R255),"█","")</f>
        <v/>
      </c>
      <c r="M255" s="30" t="str">
        <f>IF(AND(Q255&lt;&gt;"",R255&lt;&gt;"",DATE(2026,10,0)&gt;=Q255,DATE(2026,9,1)&lt;=R255),"█","")</f>
        <v/>
      </c>
      <c r="N255" s="30" t="str">
        <f>IF(AND(Q255&lt;&gt;"",R255&lt;&gt;"",DATE(2026,11,0)&gt;=Q255,DATE(2026,10,1)&lt;=R255),"█","")</f>
        <v/>
      </c>
      <c r="O255" s="30" t="str">
        <f>IF(AND(Q255&lt;&gt;"",R255&lt;&gt;"",DATE(2026,12,0)&gt;=Q255,DATE(2026,11,1)&lt;=R255),"█","")</f>
        <v/>
      </c>
      <c r="P255" s="30" t="str">
        <f>IF(AND(Q255&lt;&gt;"",R255&lt;&gt;"",DATE(2026,12,31)&gt;=Q255,DATE(2026,12,1)&lt;=R255),"█","")</f>
        <v/>
      </c>
      <c r="Q255" s="7" t="str">
        <f>IF('Release Calendar'!I255&lt;&gt;"",'Release Calendar'!I255,"")</f>
        <v/>
      </c>
      <c r="R255" s="7" t="str">
        <f>IF('Release Calendar'!J255&lt;&gt;"",'Release Calendar'!J255,"")</f>
        <v/>
      </c>
    </row>
    <row r="256" spans="1:18" ht="20.100000000000001" customHeight="1">
      <c r="A256" s="31">
        <v>252</v>
      </c>
      <c r="B256" s="32" t="str">
        <f>IF('Release Calendar'!B256&lt;&gt;"",'Release Calendar'!B256,"")</f>
        <v/>
      </c>
      <c r="C256" s="33" t="str">
        <f>IF('Release Calendar'!K256&lt;&gt;"",'Release Calendar'!K256,"")</f>
        <v/>
      </c>
      <c r="D256" s="33" t="str">
        <f>IF('Release Calendar'!M256&lt;&gt;"",'Release Calendar'!M256,"")</f>
        <v/>
      </c>
      <c r="E256" s="34" t="str">
        <f>IF(AND(Q256&lt;&gt;"",R256&lt;&gt;"",DATE(2026,2,0)&gt;=Q256,DATE(2026,1,1)&lt;=R256),"█","")</f>
        <v/>
      </c>
      <c r="F256" s="34" t="str">
        <f>IF(AND(Q256&lt;&gt;"",R256&lt;&gt;"",DATE(2026,3,0)&gt;=Q256,DATE(2026,2,1)&lt;=R256),"█","")</f>
        <v/>
      </c>
      <c r="G256" s="34" t="str">
        <f>IF(AND(Q256&lt;&gt;"",R256&lt;&gt;"",DATE(2026,4,0)&gt;=Q256,DATE(2026,3,1)&lt;=R256),"█","")</f>
        <v/>
      </c>
      <c r="H256" s="34" t="str">
        <f>IF(AND(Q256&lt;&gt;"",R256&lt;&gt;"",DATE(2026,5,0)&gt;=Q256,DATE(2026,4,1)&lt;=R256),"█","")</f>
        <v/>
      </c>
      <c r="I256" s="34" t="str">
        <f>IF(AND(Q256&lt;&gt;"",R256&lt;&gt;"",DATE(2026,6,0)&gt;=Q256,DATE(2026,5,1)&lt;=R256),"█","")</f>
        <v/>
      </c>
      <c r="J256" s="34" t="str">
        <f>IF(AND(Q256&lt;&gt;"",R256&lt;&gt;"",DATE(2026,7,0)&gt;=Q256,DATE(2026,6,1)&lt;=R256),"█","")</f>
        <v/>
      </c>
      <c r="K256" s="34" t="str">
        <f>IF(AND(Q256&lt;&gt;"",R256&lt;&gt;"",DATE(2026,8,0)&gt;=Q256,DATE(2026,7,1)&lt;=R256),"█","")</f>
        <v/>
      </c>
      <c r="L256" s="34" t="str">
        <f>IF(AND(Q256&lt;&gt;"",R256&lt;&gt;"",DATE(2026,9,0)&gt;=Q256,DATE(2026,8,1)&lt;=R256),"█","")</f>
        <v/>
      </c>
      <c r="M256" s="34" t="str">
        <f>IF(AND(Q256&lt;&gt;"",R256&lt;&gt;"",DATE(2026,10,0)&gt;=Q256,DATE(2026,9,1)&lt;=R256),"█","")</f>
        <v/>
      </c>
      <c r="N256" s="34" t="str">
        <f>IF(AND(Q256&lt;&gt;"",R256&lt;&gt;"",DATE(2026,11,0)&gt;=Q256,DATE(2026,10,1)&lt;=R256),"█","")</f>
        <v/>
      </c>
      <c r="O256" s="34" t="str">
        <f>IF(AND(Q256&lt;&gt;"",R256&lt;&gt;"",DATE(2026,12,0)&gt;=Q256,DATE(2026,11,1)&lt;=R256),"█","")</f>
        <v/>
      </c>
      <c r="P256" s="34" t="str">
        <f>IF(AND(Q256&lt;&gt;"",R256&lt;&gt;"",DATE(2026,12,31)&gt;=Q256,DATE(2026,12,1)&lt;=R256),"█","")</f>
        <v/>
      </c>
      <c r="Q256" s="7" t="str">
        <f>IF('Release Calendar'!I256&lt;&gt;"",'Release Calendar'!I256,"")</f>
        <v/>
      </c>
      <c r="R256" s="7" t="str">
        <f>IF('Release Calendar'!J256&lt;&gt;"",'Release Calendar'!J256,"")</f>
        <v/>
      </c>
    </row>
    <row r="257" spans="1:18" ht="20.100000000000001" customHeight="1">
      <c r="A257" s="14">
        <v>253</v>
      </c>
      <c r="B257" s="28" t="str">
        <f>IF('Release Calendar'!B257&lt;&gt;"",'Release Calendar'!B257,"")</f>
        <v/>
      </c>
      <c r="C257" s="29" t="str">
        <f>IF('Release Calendar'!K257&lt;&gt;"",'Release Calendar'!K257,"")</f>
        <v/>
      </c>
      <c r="D257" s="29" t="str">
        <f>IF('Release Calendar'!M257&lt;&gt;"",'Release Calendar'!M257,"")</f>
        <v/>
      </c>
      <c r="E257" s="30" t="str">
        <f>IF(AND(Q257&lt;&gt;"",R257&lt;&gt;"",DATE(2026,2,0)&gt;=Q257,DATE(2026,1,1)&lt;=R257),"█","")</f>
        <v/>
      </c>
      <c r="F257" s="30" t="str">
        <f>IF(AND(Q257&lt;&gt;"",R257&lt;&gt;"",DATE(2026,3,0)&gt;=Q257,DATE(2026,2,1)&lt;=R257),"█","")</f>
        <v/>
      </c>
      <c r="G257" s="30" t="str">
        <f>IF(AND(Q257&lt;&gt;"",R257&lt;&gt;"",DATE(2026,4,0)&gt;=Q257,DATE(2026,3,1)&lt;=R257),"█","")</f>
        <v/>
      </c>
      <c r="H257" s="30" t="str">
        <f>IF(AND(Q257&lt;&gt;"",R257&lt;&gt;"",DATE(2026,5,0)&gt;=Q257,DATE(2026,4,1)&lt;=R257),"█","")</f>
        <v/>
      </c>
      <c r="I257" s="30" t="str">
        <f>IF(AND(Q257&lt;&gt;"",R257&lt;&gt;"",DATE(2026,6,0)&gt;=Q257,DATE(2026,5,1)&lt;=R257),"█","")</f>
        <v/>
      </c>
      <c r="J257" s="30" t="str">
        <f>IF(AND(Q257&lt;&gt;"",R257&lt;&gt;"",DATE(2026,7,0)&gt;=Q257,DATE(2026,6,1)&lt;=R257),"█","")</f>
        <v/>
      </c>
      <c r="K257" s="30" t="str">
        <f>IF(AND(Q257&lt;&gt;"",R257&lt;&gt;"",DATE(2026,8,0)&gt;=Q257,DATE(2026,7,1)&lt;=R257),"█","")</f>
        <v/>
      </c>
      <c r="L257" s="30" t="str">
        <f>IF(AND(Q257&lt;&gt;"",R257&lt;&gt;"",DATE(2026,9,0)&gt;=Q257,DATE(2026,8,1)&lt;=R257),"█","")</f>
        <v/>
      </c>
      <c r="M257" s="30" t="str">
        <f>IF(AND(Q257&lt;&gt;"",R257&lt;&gt;"",DATE(2026,10,0)&gt;=Q257,DATE(2026,9,1)&lt;=R257),"█","")</f>
        <v/>
      </c>
      <c r="N257" s="30" t="str">
        <f>IF(AND(Q257&lt;&gt;"",R257&lt;&gt;"",DATE(2026,11,0)&gt;=Q257,DATE(2026,10,1)&lt;=R257),"█","")</f>
        <v/>
      </c>
      <c r="O257" s="30" t="str">
        <f>IF(AND(Q257&lt;&gt;"",R257&lt;&gt;"",DATE(2026,12,0)&gt;=Q257,DATE(2026,11,1)&lt;=R257),"█","")</f>
        <v/>
      </c>
      <c r="P257" s="30" t="str">
        <f>IF(AND(Q257&lt;&gt;"",R257&lt;&gt;"",DATE(2026,12,31)&gt;=Q257,DATE(2026,12,1)&lt;=R257),"█","")</f>
        <v/>
      </c>
      <c r="Q257" s="7" t="str">
        <f>IF('Release Calendar'!I257&lt;&gt;"",'Release Calendar'!I257,"")</f>
        <v/>
      </c>
      <c r="R257" s="7" t="str">
        <f>IF('Release Calendar'!J257&lt;&gt;"",'Release Calendar'!J257,"")</f>
        <v/>
      </c>
    </row>
    <row r="258" spans="1:18" ht="20.100000000000001" customHeight="1">
      <c r="A258" s="31">
        <v>254</v>
      </c>
      <c r="B258" s="32" t="str">
        <f>IF('Release Calendar'!B258&lt;&gt;"",'Release Calendar'!B258,"")</f>
        <v/>
      </c>
      <c r="C258" s="33" t="str">
        <f>IF('Release Calendar'!K258&lt;&gt;"",'Release Calendar'!K258,"")</f>
        <v/>
      </c>
      <c r="D258" s="33" t="str">
        <f>IF('Release Calendar'!M258&lt;&gt;"",'Release Calendar'!M258,"")</f>
        <v/>
      </c>
      <c r="E258" s="34" t="str">
        <f>IF(AND(Q258&lt;&gt;"",R258&lt;&gt;"",DATE(2026,2,0)&gt;=Q258,DATE(2026,1,1)&lt;=R258),"█","")</f>
        <v/>
      </c>
      <c r="F258" s="34" t="str">
        <f>IF(AND(Q258&lt;&gt;"",R258&lt;&gt;"",DATE(2026,3,0)&gt;=Q258,DATE(2026,2,1)&lt;=R258),"█","")</f>
        <v/>
      </c>
      <c r="G258" s="34" t="str">
        <f>IF(AND(Q258&lt;&gt;"",R258&lt;&gt;"",DATE(2026,4,0)&gt;=Q258,DATE(2026,3,1)&lt;=R258),"█","")</f>
        <v/>
      </c>
      <c r="H258" s="34" t="str">
        <f>IF(AND(Q258&lt;&gt;"",R258&lt;&gt;"",DATE(2026,5,0)&gt;=Q258,DATE(2026,4,1)&lt;=R258),"█","")</f>
        <v/>
      </c>
      <c r="I258" s="34" t="str">
        <f>IF(AND(Q258&lt;&gt;"",R258&lt;&gt;"",DATE(2026,6,0)&gt;=Q258,DATE(2026,5,1)&lt;=R258),"█","")</f>
        <v/>
      </c>
      <c r="J258" s="34" t="str">
        <f>IF(AND(Q258&lt;&gt;"",R258&lt;&gt;"",DATE(2026,7,0)&gt;=Q258,DATE(2026,6,1)&lt;=R258),"█","")</f>
        <v/>
      </c>
      <c r="K258" s="34" t="str">
        <f>IF(AND(Q258&lt;&gt;"",R258&lt;&gt;"",DATE(2026,8,0)&gt;=Q258,DATE(2026,7,1)&lt;=R258),"█","")</f>
        <v/>
      </c>
      <c r="L258" s="34" t="str">
        <f>IF(AND(Q258&lt;&gt;"",R258&lt;&gt;"",DATE(2026,9,0)&gt;=Q258,DATE(2026,8,1)&lt;=R258),"█","")</f>
        <v/>
      </c>
      <c r="M258" s="34" t="str">
        <f>IF(AND(Q258&lt;&gt;"",R258&lt;&gt;"",DATE(2026,10,0)&gt;=Q258,DATE(2026,9,1)&lt;=R258),"█","")</f>
        <v/>
      </c>
      <c r="N258" s="34" t="str">
        <f>IF(AND(Q258&lt;&gt;"",R258&lt;&gt;"",DATE(2026,11,0)&gt;=Q258,DATE(2026,10,1)&lt;=R258),"█","")</f>
        <v/>
      </c>
      <c r="O258" s="34" t="str">
        <f>IF(AND(Q258&lt;&gt;"",R258&lt;&gt;"",DATE(2026,12,0)&gt;=Q258,DATE(2026,11,1)&lt;=R258),"█","")</f>
        <v/>
      </c>
      <c r="P258" s="34" t="str">
        <f>IF(AND(Q258&lt;&gt;"",R258&lt;&gt;"",DATE(2026,12,31)&gt;=Q258,DATE(2026,12,1)&lt;=R258),"█","")</f>
        <v/>
      </c>
      <c r="Q258" s="7" t="str">
        <f>IF('Release Calendar'!I258&lt;&gt;"",'Release Calendar'!I258,"")</f>
        <v/>
      </c>
      <c r="R258" s="7" t="str">
        <f>IF('Release Calendar'!J258&lt;&gt;"",'Release Calendar'!J258,"")</f>
        <v/>
      </c>
    </row>
    <row r="259" spans="1:18" ht="20.100000000000001" customHeight="1">
      <c r="A259" s="14">
        <v>255</v>
      </c>
      <c r="B259" s="28" t="str">
        <f>IF('Release Calendar'!B259&lt;&gt;"",'Release Calendar'!B259,"")</f>
        <v/>
      </c>
      <c r="C259" s="29" t="str">
        <f>IF('Release Calendar'!K259&lt;&gt;"",'Release Calendar'!K259,"")</f>
        <v/>
      </c>
      <c r="D259" s="29" t="str">
        <f>IF('Release Calendar'!M259&lt;&gt;"",'Release Calendar'!M259,"")</f>
        <v/>
      </c>
      <c r="E259" s="30" t="str">
        <f>IF(AND(Q259&lt;&gt;"",R259&lt;&gt;"",DATE(2026,2,0)&gt;=Q259,DATE(2026,1,1)&lt;=R259),"█","")</f>
        <v/>
      </c>
      <c r="F259" s="30" t="str">
        <f>IF(AND(Q259&lt;&gt;"",R259&lt;&gt;"",DATE(2026,3,0)&gt;=Q259,DATE(2026,2,1)&lt;=R259),"█","")</f>
        <v/>
      </c>
      <c r="G259" s="30" t="str">
        <f>IF(AND(Q259&lt;&gt;"",R259&lt;&gt;"",DATE(2026,4,0)&gt;=Q259,DATE(2026,3,1)&lt;=R259),"█","")</f>
        <v/>
      </c>
      <c r="H259" s="30" t="str">
        <f>IF(AND(Q259&lt;&gt;"",R259&lt;&gt;"",DATE(2026,5,0)&gt;=Q259,DATE(2026,4,1)&lt;=R259),"█","")</f>
        <v/>
      </c>
      <c r="I259" s="30" t="str">
        <f>IF(AND(Q259&lt;&gt;"",R259&lt;&gt;"",DATE(2026,6,0)&gt;=Q259,DATE(2026,5,1)&lt;=R259),"█","")</f>
        <v/>
      </c>
      <c r="J259" s="30" t="str">
        <f>IF(AND(Q259&lt;&gt;"",R259&lt;&gt;"",DATE(2026,7,0)&gt;=Q259,DATE(2026,6,1)&lt;=R259),"█","")</f>
        <v/>
      </c>
      <c r="K259" s="30" t="str">
        <f>IF(AND(Q259&lt;&gt;"",R259&lt;&gt;"",DATE(2026,8,0)&gt;=Q259,DATE(2026,7,1)&lt;=R259),"█","")</f>
        <v/>
      </c>
      <c r="L259" s="30" t="str">
        <f>IF(AND(Q259&lt;&gt;"",R259&lt;&gt;"",DATE(2026,9,0)&gt;=Q259,DATE(2026,8,1)&lt;=R259),"█","")</f>
        <v/>
      </c>
      <c r="M259" s="30" t="str">
        <f>IF(AND(Q259&lt;&gt;"",R259&lt;&gt;"",DATE(2026,10,0)&gt;=Q259,DATE(2026,9,1)&lt;=R259),"█","")</f>
        <v/>
      </c>
      <c r="N259" s="30" t="str">
        <f>IF(AND(Q259&lt;&gt;"",R259&lt;&gt;"",DATE(2026,11,0)&gt;=Q259,DATE(2026,10,1)&lt;=R259),"█","")</f>
        <v/>
      </c>
      <c r="O259" s="30" t="str">
        <f>IF(AND(Q259&lt;&gt;"",R259&lt;&gt;"",DATE(2026,12,0)&gt;=Q259,DATE(2026,11,1)&lt;=R259),"█","")</f>
        <v/>
      </c>
      <c r="P259" s="30" t="str">
        <f>IF(AND(Q259&lt;&gt;"",R259&lt;&gt;"",DATE(2026,12,31)&gt;=Q259,DATE(2026,12,1)&lt;=R259),"█","")</f>
        <v/>
      </c>
      <c r="Q259" s="7" t="str">
        <f>IF('Release Calendar'!I259&lt;&gt;"",'Release Calendar'!I259,"")</f>
        <v/>
      </c>
      <c r="R259" s="7" t="str">
        <f>IF('Release Calendar'!J259&lt;&gt;"",'Release Calendar'!J259,"")</f>
        <v/>
      </c>
    </row>
    <row r="260" spans="1:18" ht="20.100000000000001" customHeight="1">
      <c r="A260" s="31">
        <v>256</v>
      </c>
      <c r="B260" s="32" t="str">
        <f>IF('Release Calendar'!B260&lt;&gt;"",'Release Calendar'!B260,"")</f>
        <v/>
      </c>
      <c r="C260" s="33" t="str">
        <f>IF('Release Calendar'!K260&lt;&gt;"",'Release Calendar'!K260,"")</f>
        <v/>
      </c>
      <c r="D260" s="33" t="str">
        <f>IF('Release Calendar'!M260&lt;&gt;"",'Release Calendar'!M260,"")</f>
        <v/>
      </c>
      <c r="E260" s="34" t="str">
        <f>IF(AND(Q260&lt;&gt;"",R260&lt;&gt;"",DATE(2026,2,0)&gt;=Q260,DATE(2026,1,1)&lt;=R260),"█","")</f>
        <v/>
      </c>
      <c r="F260" s="34" t="str">
        <f>IF(AND(Q260&lt;&gt;"",R260&lt;&gt;"",DATE(2026,3,0)&gt;=Q260,DATE(2026,2,1)&lt;=R260),"█","")</f>
        <v/>
      </c>
      <c r="G260" s="34" t="str">
        <f>IF(AND(Q260&lt;&gt;"",R260&lt;&gt;"",DATE(2026,4,0)&gt;=Q260,DATE(2026,3,1)&lt;=R260),"█","")</f>
        <v/>
      </c>
      <c r="H260" s="34" t="str">
        <f>IF(AND(Q260&lt;&gt;"",R260&lt;&gt;"",DATE(2026,5,0)&gt;=Q260,DATE(2026,4,1)&lt;=R260),"█","")</f>
        <v/>
      </c>
      <c r="I260" s="34" t="str">
        <f>IF(AND(Q260&lt;&gt;"",R260&lt;&gt;"",DATE(2026,6,0)&gt;=Q260,DATE(2026,5,1)&lt;=R260),"█","")</f>
        <v/>
      </c>
      <c r="J260" s="34" t="str">
        <f>IF(AND(Q260&lt;&gt;"",R260&lt;&gt;"",DATE(2026,7,0)&gt;=Q260,DATE(2026,6,1)&lt;=R260),"█","")</f>
        <v/>
      </c>
      <c r="K260" s="34" t="str">
        <f>IF(AND(Q260&lt;&gt;"",R260&lt;&gt;"",DATE(2026,8,0)&gt;=Q260,DATE(2026,7,1)&lt;=R260),"█","")</f>
        <v/>
      </c>
      <c r="L260" s="34" t="str">
        <f>IF(AND(Q260&lt;&gt;"",R260&lt;&gt;"",DATE(2026,9,0)&gt;=Q260,DATE(2026,8,1)&lt;=R260),"█","")</f>
        <v/>
      </c>
      <c r="M260" s="34" t="str">
        <f>IF(AND(Q260&lt;&gt;"",R260&lt;&gt;"",DATE(2026,10,0)&gt;=Q260,DATE(2026,9,1)&lt;=R260),"█","")</f>
        <v/>
      </c>
      <c r="N260" s="34" t="str">
        <f>IF(AND(Q260&lt;&gt;"",R260&lt;&gt;"",DATE(2026,11,0)&gt;=Q260,DATE(2026,10,1)&lt;=R260),"█","")</f>
        <v/>
      </c>
      <c r="O260" s="34" t="str">
        <f>IF(AND(Q260&lt;&gt;"",R260&lt;&gt;"",DATE(2026,12,0)&gt;=Q260,DATE(2026,11,1)&lt;=R260),"█","")</f>
        <v/>
      </c>
      <c r="P260" s="34" t="str">
        <f>IF(AND(Q260&lt;&gt;"",R260&lt;&gt;"",DATE(2026,12,31)&gt;=Q260,DATE(2026,12,1)&lt;=R260),"█","")</f>
        <v/>
      </c>
      <c r="Q260" s="7" t="str">
        <f>IF('Release Calendar'!I260&lt;&gt;"",'Release Calendar'!I260,"")</f>
        <v/>
      </c>
      <c r="R260" s="7" t="str">
        <f>IF('Release Calendar'!J260&lt;&gt;"",'Release Calendar'!J260,"")</f>
        <v/>
      </c>
    </row>
    <row r="261" spans="1:18" ht="20.100000000000001" customHeight="1">
      <c r="A261" s="14">
        <v>257</v>
      </c>
      <c r="B261" s="28" t="str">
        <f>IF('Release Calendar'!B261&lt;&gt;"",'Release Calendar'!B261,"")</f>
        <v/>
      </c>
      <c r="C261" s="29" t="str">
        <f>IF('Release Calendar'!K261&lt;&gt;"",'Release Calendar'!K261,"")</f>
        <v/>
      </c>
      <c r="D261" s="29" t="str">
        <f>IF('Release Calendar'!M261&lt;&gt;"",'Release Calendar'!M261,"")</f>
        <v/>
      </c>
      <c r="E261" s="30" t="str">
        <f>IF(AND(Q261&lt;&gt;"",R261&lt;&gt;"",DATE(2026,2,0)&gt;=Q261,DATE(2026,1,1)&lt;=R261),"█","")</f>
        <v/>
      </c>
      <c r="F261" s="30" t="str">
        <f>IF(AND(Q261&lt;&gt;"",R261&lt;&gt;"",DATE(2026,3,0)&gt;=Q261,DATE(2026,2,1)&lt;=R261),"█","")</f>
        <v/>
      </c>
      <c r="G261" s="30" t="str">
        <f>IF(AND(Q261&lt;&gt;"",R261&lt;&gt;"",DATE(2026,4,0)&gt;=Q261,DATE(2026,3,1)&lt;=R261),"█","")</f>
        <v/>
      </c>
      <c r="H261" s="30" t="str">
        <f>IF(AND(Q261&lt;&gt;"",R261&lt;&gt;"",DATE(2026,5,0)&gt;=Q261,DATE(2026,4,1)&lt;=R261),"█","")</f>
        <v/>
      </c>
      <c r="I261" s="30" t="str">
        <f>IF(AND(Q261&lt;&gt;"",R261&lt;&gt;"",DATE(2026,6,0)&gt;=Q261,DATE(2026,5,1)&lt;=R261),"█","")</f>
        <v/>
      </c>
      <c r="J261" s="30" t="str">
        <f>IF(AND(Q261&lt;&gt;"",R261&lt;&gt;"",DATE(2026,7,0)&gt;=Q261,DATE(2026,6,1)&lt;=R261),"█","")</f>
        <v/>
      </c>
      <c r="K261" s="30" t="str">
        <f>IF(AND(Q261&lt;&gt;"",R261&lt;&gt;"",DATE(2026,8,0)&gt;=Q261,DATE(2026,7,1)&lt;=R261),"█","")</f>
        <v/>
      </c>
      <c r="L261" s="30" t="str">
        <f>IF(AND(Q261&lt;&gt;"",R261&lt;&gt;"",DATE(2026,9,0)&gt;=Q261,DATE(2026,8,1)&lt;=R261),"█","")</f>
        <v/>
      </c>
      <c r="M261" s="30" t="str">
        <f>IF(AND(Q261&lt;&gt;"",R261&lt;&gt;"",DATE(2026,10,0)&gt;=Q261,DATE(2026,9,1)&lt;=R261),"█","")</f>
        <v/>
      </c>
      <c r="N261" s="30" t="str">
        <f>IF(AND(Q261&lt;&gt;"",R261&lt;&gt;"",DATE(2026,11,0)&gt;=Q261,DATE(2026,10,1)&lt;=R261),"█","")</f>
        <v/>
      </c>
      <c r="O261" s="30" t="str">
        <f>IF(AND(Q261&lt;&gt;"",R261&lt;&gt;"",DATE(2026,12,0)&gt;=Q261,DATE(2026,11,1)&lt;=R261),"█","")</f>
        <v/>
      </c>
      <c r="P261" s="30" t="str">
        <f>IF(AND(Q261&lt;&gt;"",R261&lt;&gt;"",DATE(2026,12,31)&gt;=Q261,DATE(2026,12,1)&lt;=R261),"█","")</f>
        <v/>
      </c>
      <c r="Q261" s="7" t="str">
        <f>IF('Release Calendar'!I261&lt;&gt;"",'Release Calendar'!I261,"")</f>
        <v/>
      </c>
      <c r="R261" s="7" t="str">
        <f>IF('Release Calendar'!J261&lt;&gt;"",'Release Calendar'!J261,"")</f>
        <v/>
      </c>
    </row>
    <row r="262" spans="1:18" ht="20.100000000000001" customHeight="1">
      <c r="A262" s="31">
        <v>258</v>
      </c>
      <c r="B262" s="32" t="str">
        <f>IF('Release Calendar'!B262&lt;&gt;"",'Release Calendar'!B262,"")</f>
        <v/>
      </c>
      <c r="C262" s="33" t="str">
        <f>IF('Release Calendar'!K262&lt;&gt;"",'Release Calendar'!K262,"")</f>
        <v/>
      </c>
      <c r="D262" s="33" t="str">
        <f>IF('Release Calendar'!M262&lt;&gt;"",'Release Calendar'!M262,"")</f>
        <v/>
      </c>
      <c r="E262" s="34" t="str">
        <f>IF(AND(Q262&lt;&gt;"",R262&lt;&gt;"",DATE(2026,2,0)&gt;=Q262,DATE(2026,1,1)&lt;=R262),"█","")</f>
        <v/>
      </c>
      <c r="F262" s="34" t="str">
        <f>IF(AND(Q262&lt;&gt;"",R262&lt;&gt;"",DATE(2026,3,0)&gt;=Q262,DATE(2026,2,1)&lt;=R262),"█","")</f>
        <v/>
      </c>
      <c r="G262" s="34" t="str">
        <f>IF(AND(Q262&lt;&gt;"",R262&lt;&gt;"",DATE(2026,4,0)&gt;=Q262,DATE(2026,3,1)&lt;=R262),"█","")</f>
        <v/>
      </c>
      <c r="H262" s="34" t="str">
        <f>IF(AND(Q262&lt;&gt;"",R262&lt;&gt;"",DATE(2026,5,0)&gt;=Q262,DATE(2026,4,1)&lt;=R262),"█","")</f>
        <v/>
      </c>
      <c r="I262" s="34" t="str">
        <f>IF(AND(Q262&lt;&gt;"",R262&lt;&gt;"",DATE(2026,6,0)&gt;=Q262,DATE(2026,5,1)&lt;=R262),"█","")</f>
        <v/>
      </c>
      <c r="J262" s="34" t="str">
        <f>IF(AND(Q262&lt;&gt;"",R262&lt;&gt;"",DATE(2026,7,0)&gt;=Q262,DATE(2026,6,1)&lt;=R262),"█","")</f>
        <v/>
      </c>
      <c r="K262" s="34" t="str">
        <f>IF(AND(Q262&lt;&gt;"",R262&lt;&gt;"",DATE(2026,8,0)&gt;=Q262,DATE(2026,7,1)&lt;=R262),"█","")</f>
        <v/>
      </c>
      <c r="L262" s="34" t="str">
        <f>IF(AND(Q262&lt;&gt;"",R262&lt;&gt;"",DATE(2026,9,0)&gt;=Q262,DATE(2026,8,1)&lt;=R262),"█","")</f>
        <v/>
      </c>
      <c r="M262" s="34" t="str">
        <f>IF(AND(Q262&lt;&gt;"",R262&lt;&gt;"",DATE(2026,10,0)&gt;=Q262,DATE(2026,9,1)&lt;=R262),"█","")</f>
        <v/>
      </c>
      <c r="N262" s="34" t="str">
        <f>IF(AND(Q262&lt;&gt;"",R262&lt;&gt;"",DATE(2026,11,0)&gt;=Q262,DATE(2026,10,1)&lt;=R262),"█","")</f>
        <v/>
      </c>
      <c r="O262" s="34" t="str">
        <f>IF(AND(Q262&lt;&gt;"",R262&lt;&gt;"",DATE(2026,12,0)&gt;=Q262,DATE(2026,11,1)&lt;=R262),"█","")</f>
        <v/>
      </c>
      <c r="P262" s="34" t="str">
        <f>IF(AND(Q262&lt;&gt;"",R262&lt;&gt;"",DATE(2026,12,31)&gt;=Q262,DATE(2026,12,1)&lt;=R262),"█","")</f>
        <v/>
      </c>
      <c r="Q262" s="7" t="str">
        <f>IF('Release Calendar'!I262&lt;&gt;"",'Release Calendar'!I262,"")</f>
        <v/>
      </c>
      <c r="R262" s="7" t="str">
        <f>IF('Release Calendar'!J262&lt;&gt;"",'Release Calendar'!J262,"")</f>
        <v/>
      </c>
    </row>
    <row r="263" spans="1:18" ht="20.100000000000001" customHeight="1">
      <c r="A263" s="14">
        <v>259</v>
      </c>
      <c r="B263" s="28" t="str">
        <f>IF('Release Calendar'!B263&lt;&gt;"",'Release Calendar'!B263,"")</f>
        <v/>
      </c>
      <c r="C263" s="29" t="str">
        <f>IF('Release Calendar'!K263&lt;&gt;"",'Release Calendar'!K263,"")</f>
        <v/>
      </c>
      <c r="D263" s="29" t="str">
        <f>IF('Release Calendar'!M263&lt;&gt;"",'Release Calendar'!M263,"")</f>
        <v/>
      </c>
      <c r="E263" s="30" t="str">
        <f>IF(AND(Q263&lt;&gt;"",R263&lt;&gt;"",DATE(2026,2,0)&gt;=Q263,DATE(2026,1,1)&lt;=R263),"█","")</f>
        <v/>
      </c>
      <c r="F263" s="30" t="str">
        <f>IF(AND(Q263&lt;&gt;"",R263&lt;&gt;"",DATE(2026,3,0)&gt;=Q263,DATE(2026,2,1)&lt;=R263),"█","")</f>
        <v/>
      </c>
      <c r="G263" s="30" t="str">
        <f>IF(AND(Q263&lt;&gt;"",R263&lt;&gt;"",DATE(2026,4,0)&gt;=Q263,DATE(2026,3,1)&lt;=R263),"█","")</f>
        <v/>
      </c>
      <c r="H263" s="30" t="str">
        <f>IF(AND(Q263&lt;&gt;"",R263&lt;&gt;"",DATE(2026,5,0)&gt;=Q263,DATE(2026,4,1)&lt;=R263),"█","")</f>
        <v/>
      </c>
      <c r="I263" s="30" t="str">
        <f>IF(AND(Q263&lt;&gt;"",R263&lt;&gt;"",DATE(2026,6,0)&gt;=Q263,DATE(2026,5,1)&lt;=R263),"█","")</f>
        <v/>
      </c>
      <c r="J263" s="30" t="str">
        <f>IF(AND(Q263&lt;&gt;"",R263&lt;&gt;"",DATE(2026,7,0)&gt;=Q263,DATE(2026,6,1)&lt;=R263),"█","")</f>
        <v/>
      </c>
      <c r="K263" s="30" t="str">
        <f>IF(AND(Q263&lt;&gt;"",R263&lt;&gt;"",DATE(2026,8,0)&gt;=Q263,DATE(2026,7,1)&lt;=R263),"█","")</f>
        <v/>
      </c>
      <c r="L263" s="30" t="str">
        <f>IF(AND(Q263&lt;&gt;"",R263&lt;&gt;"",DATE(2026,9,0)&gt;=Q263,DATE(2026,8,1)&lt;=R263),"█","")</f>
        <v/>
      </c>
      <c r="M263" s="30" t="str">
        <f>IF(AND(Q263&lt;&gt;"",R263&lt;&gt;"",DATE(2026,10,0)&gt;=Q263,DATE(2026,9,1)&lt;=R263),"█","")</f>
        <v/>
      </c>
      <c r="N263" s="30" t="str">
        <f>IF(AND(Q263&lt;&gt;"",R263&lt;&gt;"",DATE(2026,11,0)&gt;=Q263,DATE(2026,10,1)&lt;=R263),"█","")</f>
        <v/>
      </c>
      <c r="O263" s="30" t="str">
        <f>IF(AND(Q263&lt;&gt;"",R263&lt;&gt;"",DATE(2026,12,0)&gt;=Q263,DATE(2026,11,1)&lt;=R263),"█","")</f>
        <v/>
      </c>
      <c r="P263" s="30" t="str">
        <f>IF(AND(Q263&lt;&gt;"",R263&lt;&gt;"",DATE(2026,12,31)&gt;=Q263,DATE(2026,12,1)&lt;=R263),"█","")</f>
        <v/>
      </c>
      <c r="Q263" s="7" t="str">
        <f>IF('Release Calendar'!I263&lt;&gt;"",'Release Calendar'!I263,"")</f>
        <v/>
      </c>
      <c r="R263" s="7" t="str">
        <f>IF('Release Calendar'!J263&lt;&gt;"",'Release Calendar'!J263,"")</f>
        <v/>
      </c>
    </row>
    <row r="264" spans="1:18" ht="20.100000000000001" customHeight="1">
      <c r="A264" s="31">
        <v>260</v>
      </c>
      <c r="B264" s="32" t="str">
        <f>IF('Release Calendar'!B264&lt;&gt;"",'Release Calendar'!B264,"")</f>
        <v/>
      </c>
      <c r="C264" s="33" t="str">
        <f>IF('Release Calendar'!K264&lt;&gt;"",'Release Calendar'!K264,"")</f>
        <v/>
      </c>
      <c r="D264" s="33" t="str">
        <f>IF('Release Calendar'!M264&lt;&gt;"",'Release Calendar'!M264,"")</f>
        <v/>
      </c>
      <c r="E264" s="34" t="str">
        <f>IF(AND(Q264&lt;&gt;"",R264&lt;&gt;"",DATE(2026,2,0)&gt;=Q264,DATE(2026,1,1)&lt;=R264),"█","")</f>
        <v/>
      </c>
      <c r="F264" s="34" t="str">
        <f>IF(AND(Q264&lt;&gt;"",R264&lt;&gt;"",DATE(2026,3,0)&gt;=Q264,DATE(2026,2,1)&lt;=R264),"█","")</f>
        <v/>
      </c>
      <c r="G264" s="34" t="str">
        <f>IF(AND(Q264&lt;&gt;"",R264&lt;&gt;"",DATE(2026,4,0)&gt;=Q264,DATE(2026,3,1)&lt;=R264),"█","")</f>
        <v/>
      </c>
      <c r="H264" s="34" t="str">
        <f>IF(AND(Q264&lt;&gt;"",R264&lt;&gt;"",DATE(2026,5,0)&gt;=Q264,DATE(2026,4,1)&lt;=R264),"█","")</f>
        <v/>
      </c>
      <c r="I264" s="34" t="str">
        <f>IF(AND(Q264&lt;&gt;"",R264&lt;&gt;"",DATE(2026,6,0)&gt;=Q264,DATE(2026,5,1)&lt;=R264),"█","")</f>
        <v/>
      </c>
      <c r="J264" s="34" t="str">
        <f>IF(AND(Q264&lt;&gt;"",R264&lt;&gt;"",DATE(2026,7,0)&gt;=Q264,DATE(2026,6,1)&lt;=R264),"█","")</f>
        <v/>
      </c>
      <c r="K264" s="34" t="str">
        <f>IF(AND(Q264&lt;&gt;"",R264&lt;&gt;"",DATE(2026,8,0)&gt;=Q264,DATE(2026,7,1)&lt;=R264),"█","")</f>
        <v/>
      </c>
      <c r="L264" s="34" t="str">
        <f>IF(AND(Q264&lt;&gt;"",R264&lt;&gt;"",DATE(2026,9,0)&gt;=Q264,DATE(2026,8,1)&lt;=R264),"█","")</f>
        <v/>
      </c>
      <c r="M264" s="34" t="str">
        <f>IF(AND(Q264&lt;&gt;"",R264&lt;&gt;"",DATE(2026,10,0)&gt;=Q264,DATE(2026,9,1)&lt;=R264),"█","")</f>
        <v/>
      </c>
      <c r="N264" s="34" t="str">
        <f>IF(AND(Q264&lt;&gt;"",R264&lt;&gt;"",DATE(2026,11,0)&gt;=Q264,DATE(2026,10,1)&lt;=R264),"█","")</f>
        <v/>
      </c>
      <c r="O264" s="34" t="str">
        <f>IF(AND(Q264&lt;&gt;"",R264&lt;&gt;"",DATE(2026,12,0)&gt;=Q264,DATE(2026,11,1)&lt;=R264),"█","")</f>
        <v/>
      </c>
      <c r="P264" s="34" t="str">
        <f>IF(AND(Q264&lt;&gt;"",R264&lt;&gt;"",DATE(2026,12,31)&gt;=Q264,DATE(2026,12,1)&lt;=R264),"█","")</f>
        <v/>
      </c>
      <c r="Q264" s="7" t="str">
        <f>IF('Release Calendar'!I264&lt;&gt;"",'Release Calendar'!I264,"")</f>
        <v/>
      </c>
      <c r="R264" s="7" t="str">
        <f>IF('Release Calendar'!J264&lt;&gt;"",'Release Calendar'!J264,"")</f>
        <v/>
      </c>
    </row>
    <row r="265" spans="1:18" ht="20.100000000000001" customHeight="1">
      <c r="A265" s="14">
        <v>261</v>
      </c>
      <c r="B265" s="28" t="str">
        <f>IF('Release Calendar'!B265&lt;&gt;"",'Release Calendar'!B265,"")</f>
        <v/>
      </c>
      <c r="C265" s="29" t="str">
        <f>IF('Release Calendar'!K265&lt;&gt;"",'Release Calendar'!K265,"")</f>
        <v/>
      </c>
      <c r="D265" s="29" t="str">
        <f>IF('Release Calendar'!M265&lt;&gt;"",'Release Calendar'!M265,"")</f>
        <v/>
      </c>
      <c r="E265" s="30" t="str">
        <f>IF(AND(Q265&lt;&gt;"",R265&lt;&gt;"",DATE(2026,2,0)&gt;=Q265,DATE(2026,1,1)&lt;=R265),"█","")</f>
        <v/>
      </c>
      <c r="F265" s="30" t="str">
        <f>IF(AND(Q265&lt;&gt;"",R265&lt;&gt;"",DATE(2026,3,0)&gt;=Q265,DATE(2026,2,1)&lt;=R265),"█","")</f>
        <v/>
      </c>
      <c r="G265" s="30" t="str">
        <f>IF(AND(Q265&lt;&gt;"",R265&lt;&gt;"",DATE(2026,4,0)&gt;=Q265,DATE(2026,3,1)&lt;=R265),"█","")</f>
        <v/>
      </c>
      <c r="H265" s="30" t="str">
        <f>IF(AND(Q265&lt;&gt;"",R265&lt;&gt;"",DATE(2026,5,0)&gt;=Q265,DATE(2026,4,1)&lt;=R265),"█","")</f>
        <v/>
      </c>
      <c r="I265" s="30" t="str">
        <f>IF(AND(Q265&lt;&gt;"",R265&lt;&gt;"",DATE(2026,6,0)&gt;=Q265,DATE(2026,5,1)&lt;=R265),"█","")</f>
        <v/>
      </c>
      <c r="J265" s="30" t="str">
        <f>IF(AND(Q265&lt;&gt;"",R265&lt;&gt;"",DATE(2026,7,0)&gt;=Q265,DATE(2026,6,1)&lt;=R265),"█","")</f>
        <v/>
      </c>
      <c r="K265" s="30" t="str">
        <f>IF(AND(Q265&lt;&gt;"",R265&lt;&gt;"",DATE(2026,8,0)&gt;=Q265,DATE(2026,7,1)&lt;=R265),"█","")</f>
        <v/>
      </c>
      <c r="L265" s="30" t="str">
        <f>IF(AND(Q265&lt;&gt;"",R265&lt;&gt;"",DATE(2026,9,0)&gt;=Q265,DATE(2026,8,1)&lt;=R265),"█","")</f>
        <v/>
      </c>
      <c r="M265" s="30" t="str">
        <f>IF(AND(Q265&lt;&gt;"",R265&lt;&gt;"",DATE(2026,10,0)&gt;=Q265,DATE(2026,9,1)&lt;=R265),"█","")</f>
        <v/>
      </c>
      <c r="N265" s="30" t="str">
        <f>IF(AND(Q265&lt;&gt;"",R265&lt;&gt;"",DATE(2026,11,0)&gt;=Q265,DATE(2026,10,1)&lt;=R265),"█","")</f>
        <v/>
      </c>
      <c r="O265" s="30" t="str">
        <f>IF(AND(Q265&lt;&gt;"",R265&lt;&gt;"",DATE(2026,12,0)&gt;=Q265,DATE(2026,11,1)&lt;=R265),"█","")</f>
        <v/>
      </c>
      <c r="P265" s="30" t="str">
        <f>IF(AND(Q265&lt;&gt;"",R265&lt;&gt;"",DATE(2026,12,31)&gt;=Q265,DATE(2026,12,1)&lt;=R265),"█","")</f>
        <v/>
      </c>
      <c r="Q265" s="7" t="str">
        <f>IF('Release Calendar'!I265&lt;&gt;"",'Release Calendar'!I265,"")</f>
        <v/>
      </c>
      <c r="R265" s="7" t="str">
        <f>IF('Release Calendar'!J265&lt;&gt;"",'Release Calendar'!J265,"")</f>
        <v/>
      </c>
    </row>
    <row r="266" spans="1:18" ht="20.100000000000001" customHeight="1">
      <c r="A266" s="31">
        <v>262</v>
      </c>
      <c r="B266" s="32" t="str">
        <f>IF('Release Calendar'!B266&lt;&gt;"",'Release Calendar'!B266,"")</f>
        <v/>
      </c>
      <c r="C266" s="33" t="str">
        <f>IF('Release Calendar'!K266&lt;&gt;"",'Release Calendar'!K266,"")</f>
        <v/>
      </c>
      <c r="D266" s="33" t="str">
        <f>IF('Release Calendar'!M266&lt;&gt;"",'Release Calendar'!M266,"")</f>
        <v/>
      </c>
      <c r="E266" s="34" t="str">
        <f>IF(AND(Q266&lt;&gt;"",R266&lt;&gt;"",DATE(2026,2,0)&gt;=Q266,DATE(2026,1,1)&lt;=R266),"█","")</f>
        <v/>
      </c>
      <c r="F266" s="34" t="str">
        <f>IF(AND(Q266&lt;&gt;"",R266&lt;&gt;"",DATE(2026,3,0)&gt;=Q266,DATE(2026,2,1)&lt;=R266),"█","")</f>
        <v/>
      </c>
      <c r="G266" s="34" t="str">
        <f>IF(AND(Q266&lt;&gt;"",R266&lt;&gt;"",DATE(2026,4,0)&gt;=Q266,DATE(2026,3,1)&lt;=R266),"█","")</f>
        <v/>
      </c>
      <c r="H266" s="34" t="str">
        <f>IF(AND(Q266&lt;&gt;"",R266&lt;&gt;"",DATE(2026,5,0)&gt;=Q266,DATE(2026,4,1)&lt;=R266),"█","")</f>
        <v/>
      </c>
      <c r="I266" s="34" t="str">
        <f>IF(AND(Q266&lt;&gt;"",R266&lt;&gt;"",DATE(2026,6,0)&gt;=Q266,DATE(2026,5,1)&lt;=R266),"█","")</f>
        <v/>
      </c>
      <c r="J266" s="34" t="str">
        <f>IF(AND(Q266&lt;&gt;"",R266&lt;&gt;"",DATE(2026,7,0)&gt;=Q266,DATE(2026,6,1)&lt;=R266),"█","")</f>
        <v/>
      </c>
      <c r="K266" s="34" t="str">
        <f>IF(AND(Q266&lt;&gt;"",R266&lt;&gt;"",DATE(2026,8,0)&gt;=Q266,DATE(2026,7,1)&lt;=R266),"█","")</f>
        <v/>
      </c>
      <c r="L266" s="34" t="str">
        <f>IF(AND(Q266&lt;&gt;"",R266&lt;&gt;"",DATE(2026,9,0)&gt;=Q266,DATE(2026,8,1)&lt;=R266),"█","")</f>
        <v/>
      </c>
      <c r="M266" s="34" t="str">
        <f>IF(AND(Q266&lt;&gt;"",R266&lt;&gt;"",DATE(2026,10,0)&gt;=Q266,DATE(2026,9,1)&lt;=R266),"█","")</f>
        <v/>
      </c>
      <c r="N266" s="34" t="str">
        <f>IF(AND(Q266&lt;&gt;"",R266&lt;&gt;"",DATE(2026,11,0)&gt;=Q266,DATE(2026,10,1)&lt;=R266),"█","")</f>
        <v/>
      </c>
      <c r="O266" s="34" t="str">
        <f>IF(AND(Q266&lt;&gt;"",R266&lt;&gt;"",DATE(2026,12,0)&gt;=Q266,DATE(2026,11,1)&lt;=R266),"█","")</f>
        <v/>
      </c>
      <c r="P266" s="34" t="str">
        <f>IF(AND(Q266&lt;&gt;"",R266&lt;&gt;"",DATE(2026,12,31)&gt;=Q266,DATE(2026,12,1)&lt;=R266),"█","")</f>
        <v/>
      </c>
      <c r="Q266" s="7" t="str">
        <f>IF('Release Calendar'!I266&lt;&gt;"",'Release Calendar'!I266,"")</f>
        <v/>
      </c>
      <c r="R266" s="7" t="str">
        <f>IF('Release Calendar'!J266&lt;&gt;"",'Release Calendar'!J266,"")</f>
        <v/>
      </c>
    </row>
    <row r="267" spans="1:18" ht="20.100000000000001" customHeight="1">
      <c r="A267" s="14">
        <v>263</v>
      </c>
      <c r="B267" s="28" t="str">
        <f>IF('Release Calendar'!B267&lt;&gt;"",'Release Calendar'!B267,"")</f>
        <v/>
      </c>
      <c r="C267" s="29" t="str">
        <f>IF('Release Calendar'!K267&lt;&gt;"",'Release Calendar'!K267,"")</f>
        <v/>
      </c>
      <c r="D267" s="29" t="str">
        <f>IF('Release Calendar'!M267&lt;&gt;"",'Release Calendar'!M267,"")</f>
        <v/>
      </c>
      <c r="E267" s="30" t="str">
        <f>IF(AND(Q267&lt;&gt;"",R267&lt;&gt;"",DATE(2026,2,0)&gt;=Q267,DATE(2026,1,1)&lt;=R267),"█","")</f>
        <v/>
      </c>
      <c r="F267" s="30" t="str">
        <f>IF(AND(Q267&lt;&gt;"",R267&lt;&gt;"",DATE(2026,3,0)&gt;=Q267,DATE(2026,2,1)&lt;=R267),"█","")</f>
        <v/>
      </c>
      <c r="G267" s="30" t="str">
        <f>IF(AND(Q267&lt;&gt;"",R267&lt;&gt;"",DATE(2026,4,0)&gt;=Q267,DATE(2026,3,1)&lt;=R267),"█","")</f>
        <v/>
      </c>
      <c r="H267" s="30" t="str">
        <f>IF(AND(Q267&lt;&gt;"",R267&lt;&gt;"",DATE(2026,5,0)&gt;=Q267,DATE(2026,4,1)&lt;=R267),"█","")</f>
        <v/>
      </c>
      <c r="I267" s="30" t="str">
        <f>IF(AND(Q267&lt;&gt;"",R267&lt;&gt;"",DATE(2026,6,0)&gt;=Q267,DATE(2026,5,1)&lt;=R267),"█","")</f>
        <v/>
      </c>
      <c r="J267" s="30" t="str">
        <f>IF(AND(Q267&lt;&gt;"",R267&lt;&gt;"",DATE(2026,7,0)&gt;=Q267,DATE(2026,6,1)&lt;=R267),"█","")</f>
        <v/>
      </c>
      <c r="K267" s="30" t="str">
        <f>IF(AND(Q267&lt;&gt;"",R267&lt;&gt;"",DATE(2026,8,0)&gt;=Q267,DATE(2026,7,1)&lt;=R267),"█","")</f>
        <v/>
      </c>
      <c r="L267" s="30" t="str">
        <f>IF(AND(Q267&lt;&gt;"",R267&lt;&gt;"",DATE(2026,9,0)&gt;=Q267,DATE(2026,8,1)&lt;=R267),"█","")</f>
        <v/>
      </c>
      <c r="M267" s="30" t="str">
        <f>IF(AND(Q267&lt;&gt;"",R267&lt;&gt;"",DATE(2026,10,0)&gt;=Q267,DATE(2026,9,1)&lt;=R267),"█","")</f>
        <v/>
      </c>
      <c r="N267" s="30" t="str">
        <f>IF(AND(Q267&lt;&gt;"",R267&lt;&gt;"",DATE(2026,11,0)&gt;=Q267,DATE(2026,10,1)&lt;=R267),"█","")</f>
        <v/>
      </c>
      <c r="O267" s="30" t="str">
        <f>IF(AND(Q267&lt;&gt;"",R267&lt;&gt;"",DATE(2026,12,0)&gt;=Q267,DATE(2026,11,1)&lt;=R267),"█","")</f>
        <v/>
      </c>
      <c r="P267" s="30" t="str">
        <f>IF(AND(Q267&lt;&gt;"",R267&lt;&gt;"",DATE(2026,12,31)&gt;=Q267,DATE(2026,12,1)&lt;=R267),"█","")</f>
        <v/>
      </c>
      <c r="Q267" s="7" t="str">
        <f>IF('Release Calendar'!I267&lt;&gt;"",'Release Calendar'!I267,"")</f>
        <v/>
      </c>
      <c r="R267" s="7" t="str">
        <f>IF('Release Calendar'!J267&lt;&gt;"",'Release Calendar'!J267,"")</f>
        <v/>
      </c>
    </row>
    <row r="268" spans="1:18" ht="20.100000000000001" customHeight="1">
      <c r="A268" s="31">
        <v>264</v>
      </c>
      <c r="B268" s="32" t="str">
        <f>IF('Release Calendar'!B268&lt;&gt;"",'Release Calendar'!B268,"")</f>
        <v/>
      </c>
      <c r="C268" s="33" t="str">
        <f>IF('Release Calendar'!K268&lt;&gt;"",'Release Calendar'!K268,"")</f>
        <v/>
      </c>
      <c r="D268" s="33" t="str">
        <f>IF('Release Calendar'!M268&lt;&gt;"",'Release Calendar'!M268,"")</f>
        <v/>
      </c>
      <c r="E268" s="34" t="str">
        <f>IF(AND(Q268&lt;&gt;"",R268&lt;&gt;"",DATE(2026,2,0)&gt;=Q268,DATE(2026,1,1)&lt;=R268),"█","")</f>
        <v/>
      </c>
      <c r="F268" s="34" t="str">
        <f>IF(AND(Q268&lt;&gt;"",R268&lt;&gt;"",DATE(2026,3,0)&gt;=Q268,DATE(2026,2,1)&lt;=R268),"█","")</f>
        <v/>
      </c>
      <c r="G268" s="34" t="str">
        <f>IF(AND(Q268&lt;&gt;"",R268&lt;&gt;"",DATE(2026,4,0)&gt;=Q268,DATE(2026,3,1)&lt;=R268),"█","")</f>
        <v/>
      </c>
      <c r="H268" s="34" t="str">
        <f>IF(AND(Q268&lt;&gt;"",R268&lt;&gt;"",DATE(2026,5,0)&gt;=Q268,DATE(2026,4,1)&lt;=R268),"█","")</f>
        <v/>
      </c>
      <c r="I268" s="34" t="str">
        <f>IF(AND(Q268&lt;&gt;"",R268&lt;&gt;"",DATE(2026,6,0)&gt;=Q268,DATE(2026,5,1)&lt;=R268),"█","")</f>
        <v/>
      </c>
      <c r="J268" s="34" t="str">
        <f>IF(AND(Q268&lt;&gt;"",R268&lt;&gt;"",DATE(2026,7,0)&gt;=Q268,DATE(2026,6,1)&lt;=R268),"█","")</f>
        <v/>
      </c>
      <c r="K268" s="34" t="str">
        <f>IF(AND(Q268&lt;&gt;"",R268&lt;&gt;"",DATE(2026,8,0)&gt;=Q268,DATE(2026,7,1)&lt;=R268),"█","")</f>
        <v/>
      </c>
      <c r="L268" s="34" t="str">
        <f>IF(AND(Q268&lt;&gt;"",R268&lt;&gt;"",DATE(2026,9,0)&gt;=Q268,DATE(2026,8,1)&lt;=R268),"█","")</f>
        <v/>
      </c>
      <c r="M268" s="34" t="str">
        <f>IF(AND(Q268&lt;&gt;"",R268&lt;&gt;"",DATE(2026,10,0)&gt;=Q268,DATE(2026,9,1)&lt;=R268),"█","")</f>
        <v/>
      </c>
      <c r="N268" s="34" t="str">
        <f>IF(AND(Q268&lt;&gt;"",R268&lt;&gt;"",DATE(2026,11,0)&gt;=Q268,DATE(2026,10,1)&lt;=R268),"█","")</f>
        <v/>
      </c>
      <c r="O268" s="34" t="str">
        <f>IF(AND(Q268&lt;&gt;"",R268&lt;&gt;"",DATE(2026,12,0)&gt;=Q268,DATE(2026,11,1)&lt;=R268),"█","")</f>
        <v/>
      </c>
      <c r="P268" s="34" t="str">
        <f>IF(AND(Q268&lt;&gt;"",R268&lt;&gt;"",DATE(2026,12,31)&gt;=Q268,DATE(2026,12,1)&lt;=R268),"█","")</f>
        <v/>
      </c>
      <c r="Q268" s="7" t="str">
        <f>IF('Release Calendar'!I268&lt;&gt;"",'Release Calendar'!I268,"")</f>
        <v/>
      </c>
      <c r="R268" s="7" t="str">
        <f>IF('Release Calendar'!J268&lt;&gt;"",'Release Calendar'!J268,"")</f>
        <v/>
      </c>
    </row>
    <row r="269" spans="1:18" ht="20.100000000000001" customHeight="1">
      <c r="A269" s="14">
        <v>265</v>
      </c>
      <c r="B269" s="28" t="str">
        <f>IF('Release Calendar'!B269&lt;&gt;"",'Release Calendar'!B269,"")</f>
        <v/>
      </c>
      <c r="C269" s="29" t="str">
        <f>IF('Release Calendar'!K269&lt;&gt;"",'Release Calendar'!K269,"")</f>
        <v/>
      </c>
      <c r="D269" s="29" t="str">
        <f>IF('Release Calendar'!M269&lt;&gt;"",'Release Calendar'!M269,"")</f>
        <v/>
      </c>
      <c r="E269" s="30" t="str">
        <f>IF(AND(Q269&lt;&gt;"",R269&lt;&gt;"",DATE(2026,2,0)&gt;=Q269,DATE(2026,1,1)&lt;=R269),"█","")</f>
        <v/>
      </c>
      <c r="F269" s="30" t="str">
        <f>IF(AND(Q269&lt;&gt;"",R269&lt;&gt;"",DATE(2026,3,0)&gt;=Q269,DATE(2026,2,1)&lt;=R269),"█","")</f>
        <v/>
      </c>
      <c r="G269" s="30" t="str">
        <f>IF(AND(Q269&lt;&gt;"",R269&lt;&gt;"",DATE(2026,4,0)&gt;=Q269,DATE(2026,3,1)&lt;=R269),"█","")</f>
        <v/>
      </c>
      <c r="H269" s="30" t="str">
        <f>IF(AND(Q269&lt;&gt;"",R269&lt;&gt;"",DATE(2026,5,0)&gt;=Q269,DATE(2026,4,1)&lt;=R269),"█","")</f>
        <v/>
      </c>
      <c r="I269" s="30" t="str">
        <f>IF(AND(Q269&lt;&gt;"",R269&lt;&gt;"",DATE(2026,6,0)&gt;=Q269,DATE(2026,5,1)&lt;=R269),"█","")</f>
        <v/>
      </c>
      <c r="J269" s="30" t="str">
        <f>IF(AND(Q269&lt;&gt;"",R269&lt;&gt;"",DATE(2026,7,0)&gt;=Q269,DATE(2026,6,1)&lt;=R269),"█","")</f>
        <v/>
      </c>
      <c r="K269" s="30" t="str">
        <f>IF(AND(Q269&lt;&gt;"",R269&lt;&gt;"",DATE(2026,8,0)&gt;=Q269,DATE(2026,7,1)&lt;=R269),"█","")</f>
        <v/>
      </c>
      <c r="L269" s="30" t="str">
        <f>IF(AND(Q269&lt;&gt;"",R269&lt;&gt;"",DATE(2026,9,0)&gt;=Q269,DATE(2026,8,1)&lt;=R269),"█","")</f>
        <v/>
      </c>
      <c r="M269" s="30" t="str">
        <f>IF(AND(Q269&lt;&gt;"",R269&lt;&gt;"",DATE(2026,10,0)&gt;=Q269,DATE(2026,9,1)&lt;=R269),"█","")</f>
        <v/>
      </c>
      <c r="N269" s="30" t="str">
        <f>IF(AND(Q269&lt;&gt;"",R269&lt;&gt;"",DATE(2026,11,0)&gt;=Q269,DATE(2026,10,1)&lt;=R269),"█","")</f>
        <v/>
      </c>
      <c r="O269" s="30" t="str">
        <f>IF(AND(Q269&lt;&gt;"",R269&lt;&gt;"",DATE(2026,12,0)&gt;=Q269,DATE(2026,11,1)&lt;=R269),"█","")</f>
        <v/>
      </c>
      <c r="P269" s="30" t="str">
        <f>IF(AND(Q269&lt;&gt;"",R269&lt;&gt;"",DATE(2026,12,31)&gt;=Q269,DATE(2026,12,1)&lt;=R269),"█","")</f>
        <v/>
      </c>
      <c r="Q269" s="7" t="str">
        <f>IF('Release Calendar'!I269&lt;&gt;"",'Release Calendar'!I269,"")</f>
        <v/>
      </c>
      <c r="R269" s="7" t="str">
        <f>IF('Release Calendar'!J269&lt;&gt;"",'Release Calendar'!J269,"")</f>
        <v/>
      </c>
    </row>
    <row r="270" spans="1:18" ht="20.100000000000001" customHeight="1">
      <c r="A270" s="31">
        <v>266</v>
      </c>
      <c r="B270" s="32" t="str">
        <f>IF('Release Calendar'!B270&lt;&gt;"",'Release Calendar'!B270,"")</f>
        <v/>
      </c>
      <c r="C270" s="33" t="str">
        <f>IF('Release Calendar'!K270&lt;&gt;"",'Release Calendar'!K270,"")</f>
        <v/>
      </c>
      <c r="D270" s="33" t="str">
        <f>IF('Release Calendar'!M270&lt;&gt;"",'Release Calendar'!M270,"")</f>
        <v/>
      </c>
      <c r="E270" s="34" t="str">
        <f>IF(AND(Q270&lt;&gt;"",R270&lt;&gt;"",DATE(2026,2,0)&gt;=Q270,DATE(2026,1,1)&lt;=R270),"█","")</f>
        <v/>
      </c>
      <c r="F270" s="34" t="str">
        <f>IF(AND(Q270&lt;&gt;"",R270&lt;&gt;"",DATE(2026,3,0)&gt;=Q270,DATE(2026,2,1)&lt;=R270),"█","")</f>
        <v/>
      </c>
      <c r="G270" s="34" t="str">
        <f>IF(AND(Q270&lt;&gt;"",R270&lt;&gt;"",DATE(2026,4,0)&gt;=Q270,DATE(2026,3,1)&lt;=R270),"█","")</f>
        <v/>
      </c>
      <c r="H270" s="34" t="str">
        <f>IF(AND(Q270&lt;&gt;"",R270&lt;&gt;"",DATE(2026,5,0)&gt;=Q270,DATE(2026,4,1)&lt;=R270),"█","")</f>
        <v/>
      </c>
      <c r="I270" s="34" t="str">
        <f>IF(AND(Q270&lt;&gt;"",R270&lt;&gt;"",DATE(2026,6,0)&gt;=Q270,DATE(2026,5,1)&lt;=R270),"█","")</f>
        <v/>
      </c>
      <c r="J270" s="34" t="str">
        <f>IF(AND(Q270&lt;&gt;"",R270&lt;&gt;"",DATE(2026,7,0)&gt;=Q270,DATE(2026,6,1)&lt;=R270),"█","")</f>
        <v/>
      </c>
      <c r="K270" s="34" t="str">
        <f>IF(AND(Q270&lt;&gt;"",R270&lt;&gt;"",DATE(2026,8,0)&gt;=Q270,DATE(2026,7,1)&lt;=R270),"█","")</f>
        <v/>
      </c>
      <c r="L270" s="34" t="str">
        <f>IF(AND(Q270&lt;&gt;"",R270&lt;&gt;"",DATE(2026,9,0)&gt;=Q270,DATE(2026,8,1)&lt;=R270),"█","")</f>
        <v/>
      </c>
      <c r="M270" s="34" t="str">
        <f>IF(AND(Q270&lt;&gt;"",R270&lt;&gt;"",DATE(2026,10,0)&gt;=Q270,DATE(2026,9,1)&lt;=R270),"█","")</f>
        <v/>
      </c>
      <c r="N270" s="34" t="str">
        <f>IF(AND(Q270&lt;&gt;"",R270&lt;&gt;"",DATE(2026,11,0)&gt;=Q270,DATE(2026,10,1)&lt;=R270),"█","")</f>
        <v/>
      </c>
      <c r="O270" s="34" t="str">
        <f>IF(AND(Q270&lt;&gt;"",R270&lt;&gt;"",DATE(2026,12,0)&gt;=Q270,DATE(2026,11,1)&lt;=R270),"█","")</f>
        <v/>
      </c>
      <c r="P270" s="34" t="str">
        <f>IF(AND(Q270&lt;&gt;"",R270&lt;&gt;"",DATE(2026,12,31)&gt;=Q270,DATE(2026,12,1)&lt;=R270),"█","")</f>
        <v/>
      </c>
      <c r="Q270" s="7" t="str">
        <f>IF('Release Calendar'!I270&lt;&gt;"",'Release Calendar'!I270,"")</f>
        <v/>
      </c>
      <c r="R270" s="7" t="str">
        <f>IF('Release Calendar'!J270&lt;&gt;"",'Release Calendar'!J270,"")</f>
        <v/>
      </c>
    </row>
    <row r="271" spans="1:18" ht="20.100000000000001" customHeight="1">
      <c r="A271" s="14">
        <v>267</v>
      </c>
      <c r="B271" s="28" t="str">
        <f>IF('Release Calendar'!B271&lt;&gt;"",'Release Calendar'!B271,"")</f>
        <v/>
      </c>
      <c r="C271" s="29" t="str">
        <f>IF('Release Calendar'!K271&lt;&gt;"",'Release Calendar'!K271,"")</f>
        <v/>
      </c>
      <c r="D271" s="29" t="str">
        <f>IF('Release Calendar'!M271&lt;&gt;"",'Release Calendar'!M271,"")</f>
        <v/>
      </c>
      <c r="E271" s="30" t="str">
        <f>IF(AND(Q271&lt;&gt;"",R271&lt;&gt;"",DATE(2026,2,0)&gt;=Q271,DATE(2026,1,1)&lt;=R271),"█","")</f>
        <v/>
      </c>
      <c r="F271" s="30" t="str">
        <f>IF(AND(Q271&lt;&gt;"",R271&lt;&gt;"",DATE(2026,3,0)&gt;=Q271,DATE(2026,2,1)&lt;=R271),"█","")</f>
        <v/>
      </c>
      <c r="G271" s="30" t="str">
        <f>IF(AND(Q271&lt;&gt;"",R271&lt;&gt;"",DATE(2026,4,0)&gt;=Q271,DATE(2026,3,1)&lt;=R271),"█","")</f>
        <v/>
      </c>
      <c r="H271" s="30" t="str">
        <f>IF(AND(Q271&lt;&gt;"",R271&lt;&gt;"",DATE(2026,5,0)&gt;=Q271,DATE(2026,4,1)&lt;=R271),"█","")</f>
        <v/>
      </c>
      <c r="I271" s="30" t="str">
        <f>IF(AND(Q271&lt;&gt;"",R271&lt;&gt;"",DATE(2026,6,0)&gt;=Q271,DATE(2026,5,1)&lt;=R271),"█","")</f>
        <v/>
      </c>
      <c r="J271" s="30" t="str">
        <f>IF(AND(Q271&lt;&gt;"",R271&lt;&gt;"",DATE(2026,7,0)&gt;=Q271,DATE(2026,6,1)&lt;=R271),"█","")</f>
        <v/>
      </c>
      <c r="K271" s="30" t="str">
        <f>IF(AND(Q271&lt;&gt;"",R271&lt;&gt;"",DATE(2026,8,0)&gt;=Q271,DATE(2026,7,1)&lt;=R271),"█","")</f>
        <v/>
      </c>
      <c r="L271" s="30" t="str">
        <f>IF(AND(Q271&lt;&gt;"",R271&lt;&gt;"",DATE(2026,9,0)&gt;=Q271,DATE(2026,8,1)&lt;=R271),"█","")</f>
        <v/>
      </c>
      <c r="M271" s="30" t="str">
        <f>IF(AND(Q271&lt;&gt;"",R271&lt;&gt;"",DATE(2026,10,0)&gt;=Q271,DATE(2026,9,1)&lt;=R271),"█","")</f>
        <v/>
      </c>
      <c r="N271" s="30" t="str">
        <f>IF(AND(Q271&lt;&gt;"",R271&lt;&gt;"",DATE(2026,11,0)&gt;=Q271,DATE(2026,10,1)&lt;=R271),"█","")</f>
        <v/>
      </c>
      <c r="O271" s="30" t="str">
        <f>IF(AND(Q271&lt;&gt;"",R271&lt;&gt;"",DATE(2026,12,0)&gt;=Q271,DATE(2026,11,1)&lt;=R271),"█","")</f>
        <v/>
      </c>
      <c r="P271" s="30" t="str">
        <f>IF(AND(Q271&lt;&gt;"",R271&lt;&gt;"",DATE(2026,12,31)&gt;=Q271,DATE(2026,12,1)&lt;=R271),"█","")</f>
        <v/>
      </c>
      <c r="Q271" s="7" t="str">
        <f>IF('Release Calendar'!I271&lt;&gt;"",'Release Calendar'!I271,"")</f>
        <v/>
      </c>
      <c r="R271" s="7" t="str">
        <f>IF('Release Calendar'!J271&lt;&gt;"",'Release Calendar'!J271,"")</f>
        <v/>
      </c>
    </row>
    <row r="272" spans="1:18" ht="20.100000000000001" customHeight="1">
      <c r="A272" s="31">
        <v>268</v>
      </c>
      <c r="B272" s="32" t="str">
        <f>IF('Release Calendar'!B272&lt;&gt;"",'Release Calendar'!B272,"")</f>
        <v/>
      </c>
      <c r="C272" s="33" t="str">
        <f>IF('Release Calendar'!K272&lt;&gt;"",'Release Calendar'!K272,"")</f>
        <v/>
      </c>
      <c r="D272" s="33" t="str">
        <f>IF('Release Calendar'!M272&lt;&gt;"",'Release Calendar'!M272,"")</f>
        <v/>
      </c>
      <c r="E272" s="34" t="str">
        <f>IF(AND(Q272&lt;&gt;"",R272&lt;&gt;"",DATE(2026,2,0)&gt;=Q272,DATE(2026,1,1)&lt;=R272),"█","")</f>
        <v/>
      </c>
      <c r="F272" s="34" t="str">
        <f>IF(AND(Q272&lt;&gt;"",R272&lt;&gt;"",DATE(2026,3,0)&gt;=Q272,DATE(2026,2,1)&lt;=R272),"█","")</f>
        <v/>
      </c>
      <c r="G272" s="34" t="str">
        <f>IF(AND(Q272&lt;&gt;"",R272&lt;&gt;"",DATE(2026,4,0)&gt;=Q272,DATE(2026,3,1)&lt;=R272),"█","")</f>
        <v/>
      </c>
      <c r="H272" s="34" t="str">
        <f>IF(AND(Q272&lt;&gt;"",R272&lt;&gt;"",DATE(2026,5,0)&gt;=Q272,DATE(2026,4,1)&lt;=R272),"█","")</f>
        <v/>
      </c>
      <c r="I272" s="34" t="str">
        <f>IF(AND(Q272&lt;&gt;"",R272&lt;&gt;"",DATE(2026,6,0)&gt;=Q272,DATE(2026,5,1)&lt;=R272),"█","")</f>
        <v/>
      </c>
      <c r="J272" s="34" t="str">
        <f>IF(AND(Q272&lt;&gt;"",R272&lt;&gt;"",DATE(2026,7,0)&gt;=Q272,DATE(2026,6,1)&lt;=R272),"█","")</f>
        <v/>
      </c>
      <c r="K272" s="34" t="str">
        <f>IF(AND(Q272&lt;&gt;"",R272&lt;&gt;"",DATE(2026,8,0)&gt;=Q272,DATE(2026,7,1)&lt;=R272),"█","")</f>
        <v/>
      </c>
      <c r="L272" s="34" t="str">
        <f>IF(AND(Q272&lt;&gt;"",R272&lt;&gt;"",DATE(2026,9,0)&gt;=Q272,DATE(2026,8,1)&lt;=R272),"█","")</f>
        <v/>
      </c>
      <c r="M272" s="34" t="str">
        <f>IF(AND(Q272&lt;&gt;"",R272&lt;&gt;"",DATE(2026,10,0)&gt;=Q272,DATE(2026,9,1)&lt;=R272),"█","")</f>
        <v/>
      </c>
      <c r="N272" s="34" t="str">
        <f>IF(AND(Q272&lt;&gt;"",R272&lt;&gt;"",DATE(2026,11,0)&gt;=Q272,DATE(2026,10,1)&lt;=R272),"█","")</f>
        <v/>
      </c>
      <c r="O272" s="34" t="str">
        <f>IF(AND(Q272&lt;&gt;"",R272&lt;&gt;"",DATE(2026,12,0)&gt;=Q272,DATE(2026,11,1)&lt;=R272),"█","")</f>
        <v/>
      </c>
      <c r="P272" s="34" t="str">
        <f>IF(AND(Q272&lt;&gt;"",R272&lt;&gt;"",DATE(2026,12,31)&gt;=Q272,DATE(2026,12,1)&lt;=R272),"█","")</f>
        <v/>
      </c>
      <c r="Q272" s="7" t="str">
        <f>IF('Release Calendar'!I272&lt;&gt;"",'Release Calendar'!I272,"")</f>
        <v/>
      </c>
      <c r="R272" s="7" t="str">
        <f>IF('Release Calendar'!J272&lt;&gt;"",'Release Calendar'!J272,"")</f>
        <v/>
      </c>
    </row>
    <row r="273" spans="1:18" ht="20.100000000000001" customHeight="1">
      <c r="A273" s="14">
        <v>269</v>
      </c>
      <c r="B273" s="28" t="str">
        <f>IF('Release Calendar'!B273&lt;&gt;"",'Release Calendar'!B273,"")</f>
        <v/>
      </c>
      <c r="C273" s="29" t="str">
        <f>IF('Release Calendar'!K273&lt;&gt;"",'Release Calendar'!K273,"")</f>
        <v/>
      </c>
      <c r="D273" s="29" t="str">
        <f>IF('Release Calendar'!M273&lt;&gt;"",'Release Calendar'!M273,"")</f>
        <v/>
      </c>
      <c r="E273" s="30" t="str">
        <f>IF(AND(Q273&lt;&gt;"",R273&lt;&gt;"",DATE(2026,2,0)&gt;=Q273,DATE(2026,1,1)&lt;=R273),"█","")</f>
        <v/>
      </c>
      <c r="F273" s="30" t="str">
        <f>IF(AND(Q273&lt;&gt;"",R273&lt;&gt;"",DATE(2026,3,0)&gt;=Q273,DATE(2026,2,1)&lt;=R273),"█","")</f>
        <v/>
      </c>
      <c r="G273" s="30" t="str">
        <f>IF(AND(Q273&lt;&gt;"",R273&lt;&gt;"",DATE(2026,4,0)&gt;=Q273,DATE(2026,3,1)&lt;=R273),"█","")</f>
        <v/>
      </c>
      <c r="H273" s="30" t="str">
        <f>IF(AND(Q273&lt;&gt;"",R273&lt;&gt;"",DATE(2026,5,0)&gt;=Q273,DATE(2026,4,1)&lt;=R273),"█","")</f>
        <v/>
      </c>
      <c r="I273" s="30" t="str">
        <f>IF(AND(Q273&lt;&gt;"",R273&lt;&gt;"",DATE(2026,6,0)&gt;=Q273,DATE(2026,5,1)&lt;=R273),"█","")</f>
        <v/>
      </c>
      <c r="J273" s="30" t="str">
        <f>IF(AND(Q273&lt;&gt;"",R273&lt;&gt;"",DATE(2026,7,0)&gt;=Q273,DATE(2026,6,1)&lt;=R273),"█","")</f>
        <v/>
      </c>
      <c r="K273" s="30" t="str">
        <f>IF(AND(Q273&lt;&gt;"",R273&lt;&gt;"",DATE(2026,8,0)&gt;=Q273,DATE(2026,7,1)&lt;=R273),"█","")</f>
        <v/>
      </c>
      <c r="L273" s="30" t="str">
        <f>IF(AND(Q273&lt;&gt;"",R273&lt;&gt;"",DATE(2026,9,0)&gt;=Q273,DATE(2026,8,1)&lt;=R273),"█","")</f>
        <v/>
      </c>
      <c r="M273" s="30" t="str">
        <f>IF(AND(Q273&lt;&gt;"",R273&lt;&gt;"",DATE(2026,10,0)&gt;=Q273,DATE(2026,9,1)&lt;=R273),"█","")</f>
        <v/>
      </c>
      <c r="N273" s="30" t="str">
        <f>IF(AND(Q273&lt;&gt;"",R273&lt;&gt;"",DATE(2026,11,0)&gt;=Q273,DATE(2026,10,1)&lt;=R273),"█","")</f>
        <v/>
      </c>
      <c r="O273" s="30" t="str">
        <f>IF(AND(Q273&lt;&gt;"",R273&lt;&gt;"",DATE(2026,12,0)&gt;=Q273,DATE(2026,11,1)&lt;=R273),"█","")</f>
        <v/>
      </c>
      <c r="P273" s="30" t="str">
        <f>IF(AND(Q273&lt;&gt;"",R273&lt;&gt;"",DATE(2026,12,31)&gt;=Q273,DATE(2026,12,1)&lt;=R273),"█","")</f>
        <v/>
      </c>
      <c r="Q273" s="7" t="str">
        <f>IF('Release Calendar'!I273&lt;&gt;"",'Release Calendar'!I273,"")</f>
        <v/>
      </c>
      <c r="R273" s="7" t="str">
        <f>IF('Release Calendar'!J273&lt;&gt;"",'Release Calendar'!J273,"")</f>
        <v/>
      </c>
    </row>
    <row r="274" spans="1:18" ht="20.100000000000001" customHeight="1">
      <c r="A274" s="31">
        <v>270</v>
      </c>
      <c r="B274" s="32" t="str">
        <f>IF('Release Calendar'!B274&lt;&gt;"",'Release Calendar'!B274,"")</f>
        <v/>
      </c>
      <c r="C274" s="33" t="str">
        <f>IF('Release Calendar'!K274&lt;&gt;"",'Release Calendar'!K274,"")</f>
        <v/>
      </c>
      <c r="D274" s="33" t="str">
        <f>IF('Release Calendar'!M274&lt;&gt;"",'Release Calendar'!M274,"")</f>
        <v/>
      </c>
      <c r="E274" s="34" t="str">
        <f>IF(AND(Q274&lt;&gt;"",R274&lt;&gt;"",DATE(2026,2,0)&gt;=Q274,DATE(2026,1,1)&lt;=R274),"█","")</f>
        <v/>
      </c>
      <c r="F274" s="34" t="str">
        <f>IF(AND(Q274&lt;&gt;"",R274&lt;&gt;"",DATE(2026,3,0)&gt;=Q274,DATE(2026,2,1)&lt;=R274),"█","")</f>
        <v/>
      </c>
      <c r="G274" s="34" t="str">
        <f>IF(AND(Q274&lt;&gt;"",R274&lt;&gt;"",DATE(2026,4,0)&gt;=Q274,DATE(2026,3,1)&lt;=R274),"█","")</f>
        <v/>
      </c>
      <c r="H274" s="34" t="str">
        <f>IF(AND(Q274&lt;&gt;"",R274&lt;&gt;"",DATE(2026,5,0)&gt;=Q274,DATE(2026,4,1)&lt;=R274),"█","")</f>
        <v/>
      </c>
      <c r="I274" s="34" t="str">
        <f>IF(AND(Q274&lt;&gt;"",R274&lt;&gt;"",DATE(2026,6,0)&gt;=Q274,DATE(2026,5,1)&lt;=R274),"█","")</f>
        <v/>
      </c>
      <c r="J274" s="34" t="str">
        <f>IF(AND(Q274&lt;&gt;"",R274&lt;&gt;"",DATE(2026,7,0)&gt;=Q274,DATE(2026,6,1)&lt;=R274),"█","")</f>
        <v/>
      </c>
      <c r="K274" s="34" t="str">
        <f>IF(AND(Q274&lt;&gt;"",R274&lt;&gt;"",DATE(2026,8,0)&gt;=Q274,DATE(2026,7,1)&lt;=R274),"█","")</f>
        <v/>
      </c>
      <c r="L274" s="34" t="str">
        <f>IF(AND(Q274&lt;&gt;"",R274&lt;&gt;"",DATE(2026,9,0)&gt;=Q274,DATE(2026,8,1)&lt;=R274),"█","")</f>
        <v/>
      </c>
      <c r="M274" s="34" t="str">
        <f>IF(AND(Q274&lt;&gt;"",R274&lt;&gt;"",DATE(2026,10,0)&gt;=Q274,DATE(2026,9,1)&lt;=R274),"█","")</f>
        <v/>
      </c>
      <c r="N274" s="34" t="str">
        <f>IF(AND(Q274&lt;&gt;"",R274&lt;&gt;"",DATE(2026,11,0)&gt;=Q274,DATE(2026,10,1)&lt;=R274),"█","")</f>
        <v/>
      </c>
      <c r="O274" s="34" t="str">
        <f>IF(AND(Q274&lt;&gt;"",R274&lt;&gt;"",DATE(2026,12,0)&gt;=Q274,DATE(2026,11,1)&lt;=R274),"█","")</f>
        <v/>
      </c>
      <c r="P274" s="34" t="str">
        <f>IF(AND(Q274&lt;&gt;"",R274&lt;&gt;"",DATE(2026,12,31)&gt;=Q274,DATE(2026,12,1)&lt;=R274),"█","")</f>
        <v/>
      </c>
      <c r="Q274" s="7" t="str">
        <f>IF('Release Calendar'!I274&lt;&gt;"",'Release Calendar'!I274,"")</f>
        <v/>
      </c>
      <c r="R274" s="7" t="str">
        <f>IF('Release Calendar'!J274&lt;&gt;"",'Release Calendar'!J274,"")</f>
        <v/>
      </c>
    </row>
    <row r="275" spans="1:18" ht="20.100000000000001" customHeight="1">
      <c r="A275" s="14">
        <v>271</v>
      </c>
      <c r="B275" s="28" t="str">
        <f>IF('Release Calendar'!B275&lt;&gt;"",'Release Calendar'!B275,"")</f>
        <v/>
      </c>
      <c r="C275" s="29" t="str">
        <f>IF('Release Calendar'!K275&lt;&gt;"",'Release Calendar'!K275,"")</f>
        <v/>
      </c>
      <c r="D275" s="29" t="str">
        <f>IF('Release Calendar'!M275&lt;&gt;"",'Release Calendar'!M275,"")</f>
        <v/>
      </c>
      <c r="E275" s="30" t="str">
        <f>IF(AND(Q275&lt;&gt;"",R275&lt;&gt;"",DATE(2026,2,0)&gt;=Q275,DATE(2026,1,1)&lt;=R275),"█","")</f>
        <v/>
      </c>
      <c r="F275" s="30" t="str">
        <f>IF(AND(Q275&lt;&gt;"",R275&lt;&gt;"",DATE(2026,3,0)&gt;=Q275,DATE(2026,2,1)&lt;=R275),"█","")</f>
        <v/>
      </c>
      <c r="G275" s="30" t="str">
        <f>IF(AND(Q275&lt;&gt;"",R275&lt;&gt;"",DATE(2026,4,0)&gt;=Q275,DATE(2026,3,1)&lt;=R275),"█","")</f>
        <v/>
      </c>
      <c r="H275" s="30" t="str">
        <f>IF(AND(Q275&lt;&gt;"",R275&lt;&gt;"",DATE(2026,5,0)&gt;=Q275,DATE(2026,4,1)&lt;=R275),"█","")</f>
        <v/>
      </c>
      <c r="I275" s="30" t="str">
        <f>IF(AND(Q275&lt;&gt;"",R275&lt;&gt;"",DATE(2026,6,0)&gt;=Q275,DATE(2026,5,1)&lt;=R275),"█","")</f>
        <v/>
      </c>
      <c r="J275" s="30" t="str">
        <f>IF(AND(Q275&lt;&gt;"",R275&lt;&gt;"",DATE(2026,7,0)&gt;=Q275,DATE(2026,6,1)&lt;=R275),"█","")</f>
        <v/>
      </c>
      <c r="K275" s="30" t="str">
        <f>IF(AND(Q275&lt;&gt;"",R275&lt;&gt;"",DATE(2026,8,0)&gt;=Q275,DATE(2026,7,1)&lt;=R275),"█","")</f>
        <v/>
      </c>
      <c r="L275" s="30" t="str">
        <f>IF(AND(Q275&lt;&gt;"",R275&lt;&gt;"",DATE(2026,9,0)&gt;=Q275,DATE(2026,8,1)&lt;=R275),"█","")</f>
        <v/>
      </c>
      <c r="M275" s="30" t="str">
        <f>IF(AND(Q275&lt;&gt;"",R275&lt;&gt;"",DATE(2026,10,0)&gt;=Q275,DATE(2026,9,1)&lt;=R275),"█","")</f>
        <v/>
      </c>
      <c r="N275" s="30" t="str">
        <f>IF(AND(Q275&lt;&gt;"",R275&lt;&gt;"",DATE(2026,11,0)&gt;=Q275,DATE(2026,10,1)&lt;=R275),"█","")</f>
        <v/>
      </c>
      <c r="O275" s="30" t="str">
        <f>IF(AND(Q275&lt;&gt;"",R275&lt;&gt;"",DATE(2026,12,0)&gt;=Q275,DATE(2026,11,1)&lt;=R275),"█","")</f>
        <v/>
      </c>
      <c r="P275" s="30" t="str">
        <f>IF(AND(Q275&lt;&gt;"",R275&lt;&gt;"",DATE(2026,12,31)&gt;=Q275,DATE(2026,12,1)&lt;=R275),"█","")</f>
        <v/>
      </c>
      <c r="Q275" s="7" t="str">
        <f>IF('Release Calendar'!I275&lt;&gt;"",'Release Calendar'!I275,"")</f>
        <v/>
      </c>
      <c r="R275" s="7" t="str">
        <f>IF('Release Calendar'!J275&lt;&gt;"",'Release Calendar'!J275,"")</f>
        <v/>
      </c>
    </row>
    <row r="276" spans="1:18" ht="20.100000000000001" customHeight="1">
      <c r="A276" s="31">
        <v>272</v>
      </c>
      <c r="B276" s="32" t="str">
        <f>IF('Release Calendar'!B276&lt;&gt;"",'Release Calendar'!B276,"")</f>
        <v/>
      </c>
      <c r="C276" s="33" t="str">
        <f>IF('Release Calendar'!K276&lt;&gt;"",'Release Calendar'!K276,"")</f>
        <v/>
      </c>
      <c r="D276" s="33" t="str">
        <f>IF('Release Calendar'!M276&lt;&gt;"",'Release Calendar'!M276,"")</f>
        <v/>
      </c>
      <c r="E276" s="34" t="str">
        <f>IF(AND(Q276&lt;&gt;"",R276&lt;&gt;"",DATE(2026,2,0)&gt;=Q276,DATE(2026,1,1)&lt;=R276),"█","")</f>
        <v/>
      </c>
      <c r="F276" s="34" t="str">
        <f>IF(AND(Q276&lt;&gt;"",R276&lt;&gt;"",DATE(2026,3,0)&gt;=Q276,DATE(2026,2,1)&lt;=R276),"█","")</f>
        <v/>
      </c>
      <c r="G276" s="34" t="str">
        <f>IF(AND(Q276&lt;&gt;"",R276&lt;&gt;"",DATE(2026,4,0)&gt;=Q276,DATE(2026,3,1)&lt;=R276),"█","")</f>
        <v/>
      </c>
      <c r="H276" s="34" t="str">
        <f>IF(AND(Q276&lt;&gt;"",R276&lt;&gt;"",DATE(2026,5,0)&gt;=Q276,DATE(2026,4,1)&lt;=R276),"█","")</f>
        <v/>
      </c>
      <c r="I276" s="34" t="str">
        <f>IF(AND(Q276&lt;&gt;"",R276&lt;&gt;"",DATE(2026,6,0)&gt;=Q276,DATE(2026,5,1)&lt;=R276),"█","")</f>
        <v/>
      </c>
      <c r="J276" s="34" t="str">
        <f>IF(AND(Q276&lt;&gt;"",R276&lt;&gt;"",DATE(2026,7,0)&gt;=Q276,DATE(2026,6,1)&lt;=R276),"█","")</f>
        <v/>
      </c>
      <c r="K276" s="34" t="str">
        <f>IF(AND(Q276&lt;&gt;"",R276&lt;&gt;"",DATE(2026,8,0)&gt;=Q276,DATE(2026,7,1)&lt;=R276),"█","")</f>
        <v/>
      </c>
      <c r="L276" s="34" t="str">
        <f>IF(AND(Q276&lt;&gt;"",R276&lt;&gt;"",DATE(2026,9,0)&gt;=Q276,DATE(2026,8,1)&lt;=R276),"█","")</f>
        <v/>
      </c>
      <c r="M276" s="34" t="str">
        <f>IF(AND(Q276&lt;&gt;"",R276&lt;&gt;"",DATE(2026,10,0)&gt;=Q276,DATE(2026,9,1)&lt;=R276),"█","")</f>
        <v/>
      </c>
      <c r="N276" s="34" t="str">
        <f>IF(AND(Q276&lt;&gt;"",R276&lt;&gt;"",DATE(2026,11,0)&gt;=Q276,DATE(2026,10,1)&lt;=R276),"█","")</f>
        <v/>
      </c>
      <c r="O276" s="34" t="str">
        <f>IF(AND(Q276&lt;&gt;"",R276&lt;&gt;"",DATE(2026,12,0)&gt;=Q276,DATE(2026,11,1)&lt;=R276),"█","")</f>
        <v/>
      </c>
      <c r="P276" s="34" t="str">
        <f>IF(AND(Q276&lt;&gt;"",R276&lt;&gt;"",DATE(2026,12,31)&gt;=Q276,DATE(2026,12,1)&lt;=R276),"█","")</f>
        <v/>
      </c>
      <c r="Q276" s="7" t="str">
        <f>IF('Release Calendar'!I276&lt;&gt;"",'Release Calendar'!I276,"")</f>
        <v/>
      </c>
      <c r="R276" s="7" t="str">
        <f>IF('Release Calendar'!J276&lt;&gt;"",'Release Calendar'!J276,"")</f>
        <v/>
      </c>
    </row>
    <row r="277" spans="1:18" ht="20.100000000000001" customHeight="1">
      <c r="A277" s="14">
        <v>273</v>
      </c>
      <c r="B277" s="28" t="str">
        <f>IF('Release Calendar'!B277&lt;&gt;"",'Release Calendar'!B277,"")</f>
        <v/>
      </c>
      <c r="C277" s="29" t="str">
        <f>IF('Release Calendar'!K277&lt;&gt;"",'Release Calendar'!K277,"")</f>
        <v/>
      </c>
      <c r="D277" s="29" t="str">
        <f>IF('Release Calendar'!M277&lt;&gt;"",'Release Calendar'!M277,"")</f>
        <v/>
      </c>
      <c r="E277" s="30" t="str">
        <f>IF(AND(Q277&lt;&gt;"",R277&lt;&gt;"",DATE(2026,2,0)&gt;=Q277,DATE(2026,1,1)&lt;=R277),"█","")</f>
        <v/>
      </c>
      <c r="F277" s="30" t="str">
        <f>IF(AND(Q277&lt;&gt;"",R277&lt;&gt;"",DATE(2026,3,0)&gt;=Q277,DATE(2026,2,1)&lt;=R277),"█","")</f>
        <v/>
      </c>
      <c r="G277" s="30" t="str">
        <f>IF(AND(Q277&lt;&gt;"",R277&lt;&gt;"",DATE(2026,4,0)&gt;=Q277,DATE(2026,3,1)&lt;=R277),"█","")</f>
        <v/>
      </c>
      <c r="H277" s="30" t="str">
        <f>IF(AND(Q277&lt;&gt;"",R277&lt;&gt;"",DATE(2026,5,0)&gt;=Q277,DATE(2026,4,1)&lt;=R277),"█","")</f>
        <v/>
      </c>
      <c r="I277" s="30" t="str">
        <f>IF(AND(Q277&lt;&gt;"",R277&lt;&gt;"",DATE(2026,6,0)&gt;=Q277,DATE(2026,5,1)&lt;=R277),"█","")</f>
        <v/>
      </c>
      <c r="J277" s="30" t="str">
        <f>IF(AND(Q277&lt;&gt;"",R277&lt;&gt;"",DATE(2026,7,0)&gt;=Q277,DATE(2026,6,1)&lt;=R277),"█","")</f>
        <v/>
      </c>
      <c r="K277" s="30" t="str">
        <f>IF(AND(Q277&lt;&gt;"",R277&lt;&gt;"",DATE(2026,8,0)&gt;=Q277,DATE(2026,7,1)&lt;=R277),"█","")</f>
        <v/>
      </c>
      <c r="L277" s="30" t="str">
        <f>IF(AND(Q277&lt;&gt;"",R277&lt;&gt;"",DATE(2026,9,0)&gt;=Q277,DATE(2026,8,1)&lt;=R277),"█","")</f>
        <v/>
      </c>
      <c r="M277" s="30" t="str">
        <f>IF(AND(Q277&lt;&gt;"",R277&lt;&gt;"",DATE(2026,10,0)&gt;=Q277,DATE(2026,9,1)&lt;=R277),"█","")</f>
        <v/>
      </c>
      <c r="N277" s="30" t="str">
        <f>IF(AND(Q277&lt;&gt;"",R277&lt;&gt;"",DATE(2026,11,0)&gt;=Q277,DATE(2026,10,1)&lt;=R277),"█","")</f>
        <v/>
      </c>
      <c r="O277" s="30" t="str">
        <f>IF(AND(Q277&lt;&gt;"",R277&lt;&gt;"",DATE(2026,12,0)&gt;=Q277,DATE(2026,11,1)&lt;=R277),"█","")</f>
        <v/>
      </c>
      <c r="P277" s="30" t="str">
        <f>IF(AND(Q277&lt;&gt;"",R277&lt;&gt;"",DATE(2026,12,31)&gt;=Q277,DATE(2026,12,1)&lt;=R277),"█","")</f>
        <v/>
      </c>
      <c r="Q277" s="7" t="str">
        <f>IF('Release Calendar'!I277&lt;&gt;"",'Release Calendar'!I277,"")</f>
        <v/>
      </c>
      <c r="R277" s="7" t="str">
        <f>IF('Release Calendar'!J277&lt;&gt;"",'Release Calendar'!J277,"")</f>
        <v/>
      </c>
    </row>
    <row r="278" spans="1:18" ht="20.100000000000001" customHeight="1">
      <c r="A278" s="31">
        <v>274</v>
      </c>
      <c r="B278" s="32" t="str">
        <f>IF('Release Calendar'!B278&lt;&gt;"",'Release Calendar'!B278,"")</f>
        <v/>
      </c>
      <c r="C278" s="33" t="str">
        <f>IF('Release Calendar'!K278&lt;&gt;"",'Release Calendar'!K278,"")</f>
        <v/>
      </c>
      <c r="D278" s="33" t="str">
        <f>IF('Release Calendar'!M278&lt;&gt;"",'Release Calendar'!M278,"")</f>
        <v/>
      </c>
      <c r="E278" s="34" t="str">
        <f>IF(AND(Q278&lt;&gt;"",R278&lt;&gt;"",DATE(2026,2,0)&gt;=Q278,DATE(2026,1,1)&lt;=R278),"█","")</f>
        <v/>
      </c>
      <c r="F278" s="34" t="str">
        <f>IF(AND(Q278&lt;&gt;"",R278&lt;&gt;"",DATE(2026,3,0)&gt;=Q278,DATE(2026,2,1)&lt;=R278),"█","")</f>
        <v/>
      </c>
      <c r="G278" s="34" t="str">
        <f>IF(AND(Q278&lt;&gt;"",R278&lt;&gt;"",DATE(2026,4,0)&gt;=Q278,DATE(2026,3,1)&lt;=R278),"█","")</f>
        <v/>
      </c>
      <c r="H278" s="34" t="str">
        <f>IF(AND(Q278&lt;&gt;"",R278&lt;&gt;"",DATE(2026,5,0)&gt;=Q278,DATE(2026,4,1)&lt;=R278),"█","")</f>
        <v/>
      </c>
      <c r="I278" s="34" t="str">
        <f>IF(AND(Q278&lt;&gt;"",R278&lt;&gt;"",DATE(2026,6,0)&gt;=Q278,DATE(2026,5,1)&lt;=R278),"█","")</f>
        <v/>
      </c>
      <c r="J278" s="34" t="str">
        <f>IF(AND(Q278&lt;&gt;"",R278&lt;&gt;"",DATE(2026,7,0)&gt;=Q278,DATE(2026,6,1)&lt;=R278),"█","")</f>
        <v/>
      </c>
      <c r="K278" s="34" t="str">
        <f>IF(AND(Q278&lt;&gt;"",R278&lt;&gt;"",DATE(2026,8,0)&gt;=Q278,DATE(2026,7,1)&lt;=R278),"█","")</f>
        <v/>
      </c>
      <c r="L278" s="34" t="str">
        <f>IF(AND(Q278&lt;&gt;"",R278&lt;&gt;"",DATE(2026,9,0)&gt;=Q278,DATE(2026,8,1)&lt;=R278),"█","")</f>
        <v/>
      </c>
      <c r="M278" s="34" t="str">
        <f>IF(AND(Q278&lt;&gt;"",R278&lt;&gt;"",DATE(2026,10,0)&gt;=Q278,DATE(2026,9,1)&lt;=R278),"█","")</f>
        <v/>
      </c>
      <c r="N278" s="34" t="str">
        <f>IF(AND(Q278&lt;&gt;"",R278&lt;&gt;"",DATE(2026,11,0)&gt;=Q278,DATE(2026,10,1)&lt;=R278),"█","")</f>
        <v/>
      </c>
      <c r="O278" s="34" t="str">
        <f>IF(AND(Q278&lt;&gt;"",R278&lt;&gt;"",DATE(2026,12,0)&gt;=Q278,DATE(2026,11,1)&lt;=R278),"█","")</f>
        <v/>
      </c>
      <c r="P278" s="34" t="str">
        <f>IF(AND(Q278&lt;&gt;"",R278&lt;&gt;"",DATE(2026,12,31)&gt;=Q278,DATE(2026,12,1)&lt;=R278),"█","")</f>
        <v/>
      </c>
      <c r="Q278" s="7" t="str">
        <f>IF('Release Calendar'!I278&lt;&gt;"",'Release Calendar'!I278,"")</f>
        <v/>
      </c>
      <c r="R278" s="7" t="str">
        <f>IF('Release Calendar'!J278&lt;&gt;"",'Release Calendar'!J278,"")</f>
        <v/>
      </c>
    </row>
    <row r="279" spans="1:18" ht="20.100000000000001" customHeight="1">
      <c r="A279" s="14">
        <v>275</v>
      </c>
      <c r="B279" s="28" t="str">
        <f>IF('Release Calendar'!B279&lt;&gt;"",'Release Calendar'!B279,"")</f>
        <v/>
      </c>
      <c r="C279" s="29" t="str">
        <f>IF('Release Calendar'!K279&lt;&gt;"",'Release Calendar'!K279,"")</f>
        <v/>
      </c>
      <c r="D279" s="29" t="str">
        <f>IF('Release Calendar'!M279&lt;&gt;"",'Release Calendar'!M279,"")</f>
        <v/>
      </c>
      <c r="E279" s="30" t="str">
        <f>IF(AND(Q279&lt;&gt;"",R279&lt;&gt;"",DATE(2026,2,0)&gt;=Q279,DATE(2026,1,1)&lt;=R279),"█","")</f>
        <v/>
      </c>
      <c r="F279" s="30" t="str">
        <f>IF(AND(Q279&lt;&gt;"",R279&lt;&gt;"",DATE(2026,3,0)&gt;=Q279,DATE(2026,2,1)&lt;=R279),"█","")</f>
        <v/>
      </c>
      <c r="G279" s="30" t="str">
        <f>IF(AND(Q279&lt;&gt;"",R279&lt;&gt;"",DATE(2026,4,0)&gt;=Q279,DATE(2026,3,1)&lt;=R279),"█","")</f>
        <v/>
      </c>
      <c r="H279" s="30" t="str">
        <f>IF(AND(Q279&lt;&gt;"",R279&lt;&gt;"",DATE(2026,5,0)&gt;=Q279,DATE(2026,4,1)&lt;=R279),"█","")</f>
        <v/>
      </c>
      <c r="I279" s="30" t="str">
        <f>IF(AND(Q279&lt;&gt;"",R279&lt;&gt;"",DATE(2026,6,0)&gt;=Q279,DATE(2026,5,1)&lt;=R279),"█","")</f>
        <v/>
      </c>
      <c r="J279" s="30" t="str">
        <f>IF(AND(Q279&lt;&gt;"",R279&lt;&gt;"",DATE(2026,7,0)&gt;=Q279,DATE(2026,6,1)&lt;=R279),"█","")</f>
        <v/>
      </c>
      <c r="K279" s="30" t="str">
        <f>IF(AND(Q279&lt;&gt;"",R279&lt;&gt;"",DATE(2026,8,0)&gt;=Q279,DATE(2026,7,1)&lt;=R279),"█","")</f>
        <v/>
      </c>
      <c r="L279" s="30" t="str">
        <f>IF(AND(Q279&lt;&gt;"",R279&lt;&gt;"",DATE(2026,9,0)&gt;=Q279,DATE(2026,8,1)&lt;=R279),"█","")</f>
        <v/>
      </c>
      <c r="M279" s="30" t="str">
        <f>IF(AND(Q279&lt;&gt;"",R279&lt;&gt;"",DATE(2026,10,0)&gt;=Q279,DATE(2026,9,1)&lt;=R279),"█","")</f>
        <v/>
      </c>
      <c r="N279" s="30" t="str">
        <f>IF(AND(Q279&lt;&gt;"",R279&lt;&gt;"",DATE(2026,11,0)&gt;=Q279,DATE(2026,10,1)&lt;=R279),"█","")</f>
        <v/>
      </c>
      <c r="O279" s="30" t="str">
        <f>IF(AND(Q279&lt;&gt;"",R279&lt;&gt;"",DATE(2026,12,0)&gt;=Q279,DATE(2026,11,1)&lt;=R279),"█","")</f>
        <v/>
      </c>
      <c r="P279" s="30" t="str">
        <f>IF(AND(Q279&lt;&gt;"",R279&lt;&gt;"",DATE(2026,12,31)&gt;=Q279,DATE(2026,12,1)&lt;=R279),"█","")</f>
        <v/>
      </c>
      <c r="Q279" s="7" t="str">
        <f>IF('Release Calendar'!I279&lt;&gt;"",'Release Calendar'!I279,"")</f>
        <v/>
      </c>
      <c r="R279" s="7" t="str">
        <f>IF('Release Calendar'!J279&lt;&gt;"",'Release Calendar'!J279,"")</f>
        <v/>
      </c>
    </row>
    <row r="280" spans="1:18" ht="20.100000000000001" customHeight="1">
      <c r="A280" s="31">
        <v>276</v>
      </c>
      <c r="B280" s="32" t="str">
        <f>IF('Release Calendar'!B280&lt;&gt;"",'Release Calendar'!B280,"")</f>
        <v/>
      </c>
      <c r="C280" s="33" t="str">
        <f>IF('Release Calendar'!K280&lt;&gt;"",'Release Calendar'!K280,"")</f>
        <v/>
      </c>
      <c r="D280" s="33" t="str">
        <f>IF('Release Calendar'!M280&lt;&gt;"",'Release Calendar'!M280,"")</f>
        <v/>
      </c>
      <c r="E280" s="34" t="str">
        <f>IF(AND(Q280&lt;&gt;"",R280&lt;&gt;"",DATE(2026,2,0)&gt;=Q280,DATE(2026,1,1)&lt;=R280),"█","")</f>
        <v/>
      </c>
      <c r="F280" s="34" t="str">
        <f>IF(AND(Q280&lt;&gt;"",R280&lt;&gt;"",DATE(2026,3,0)&gt;=Q280,DATE(2026,2,1)&lt;=R280),"█","")</f>
        <v/>
      </c>
      <c r="G280" s="34" t="str">
        <f>IF(AND(Q280&lt;&gt;"",R280&lt;&gt;"",DATE(2026,4,0)&gt;=Q280,DATE(2026,3,1)&lt;=R280),"█","")</f>
        <v/>
      </c>
      <c r="H280" s="34" t="str">
        <f>IF(AND(Q280&lt;&gt;"",R280&lt;&gt;"",DATE(2026,5,0)&gt;=Q280,DATE(2026,4,1)&lt;=R280),"█","")</f>
        <v/>
      </c>
      <c r="I280" s="34" t="str">
        <f>IF(AND(Q280&lt;&gt;"",R280&lt;&gt;"",DATE(2026,6,0)&gt;=Q280,DATE(2026,5,1)&lt;=R280),"█","")</f>
        <v/>
      </c>
      <c r="J280" s="34" t="str">
        <f>IF(AND(Q280&lt;&gt;"",R280&lt;&gt;"",DATE(2026,7,0)&gt;=Q280,DATE(2026,6,1)&lt;=R280),"█","")</f>
        <v/>
      </c>
      <c r="K280" s="34" t="str">
        <f>IF(AND(Q280&lt;&gt;"",R280&lt;&gt;"",DATE(2026,8,0)&gt;=Q280,DATE(2026,7,1)&lt;=R280),"█","")</f>
        <v/>
      </c>
      <c r="L280" s="34" t="str">
        <f>IF(AND(Q280&lt;&gt;"",R280&lt;&gt;"",DATE(2026,9,0)&gt;=Q280,DATE(2026,8,1)&lt;=R280),"█","")</f>
        <v/>
      </c>
      <c r="M280" s="34" t="str">
        <f>IF(AND(Q280&lt;&gt;"",R280&lt;&gt;"",DATE(2026,10,0)&gt;=Q280,DATE(2026,9,1)&lt;=R280),"█","")</f>
        <v/>
      </c>
      <c r="N280" s="34" t="str">
        <f>IF(AND(Q280&lt;&gt;"",R280&lt;&gt;"",DATE(2026,11,0)&gt;=Q280,DATE(2026,10,1)&lt;=R280),"█","")</f>
        <v/>
      </c>
      <c r="O280" s="34" t="str">
        <f>IF(AND(Q280&lt;&gt;"",R280&lt;&gt;"",DATE(2026,12,0)&gt;=Q280,DATE(2026,11,1)&lt;=R280),"█","")</f>
        <v/>
      </c>
      <c r="P280" s="34" t="str">
        <f>IF(AND(Q280&lt;&gt;"",R280&lt;&gt;"",DATE(2026,12,31)&gt;=Q280,DATE(2026,12,1)&lt;=R280),"█","")</f>
        <v/>
      </c>
      <c r="Q280" s="7" t="str">
        <f>IF('Release Calendar'!I280&lt;&gt;"",'Release Calendar'!I280,"")</f>
        <v/>
      </c>
      <c r="R280" s="7" t="str">
        <f>IF('Release Calendar'!J280&lt;&gt;"",'Release Calendar'!J280,"")</f>
        <v/>
      </c>
    </row>
    <row r="281" spans="1:18" ht="20.100000000000001" customHeight="1">
      <c r="A281" s="14">
        <v>277</v>
      </c>
      <c r="B281" s="28" t="str">
        <f>IF('Release Calendar'!B281&lt;&gt;"",'Release Calendar'!B281,"")</f>
        <v/>
      </c>
      <c r="C281" s="29" t="str">
        <f>IF('Release Calendar'!K281&lt;&gt;"",'Release Calendar'!K281,"")</f>
        <v/>
      </c>
      <c r="D281" s="29" t="str">
        <f>IF('Release Calendar'!M281&lt;&gt;"",'Release Calendar'!M281,"")</f>
        <v/>
      </c>
      <c r="E281" s="30" t="str">
        <f>IF(AND(Q281&lt;&gt;"",R281&lt;&gt;"",DATE(2026,2,0)&gt;=Q281,DATE(2026,1,1)&lt;=R281),"█","")</f>
        <v/>
      </c>
      <c r="F281" s="30" t="str">
        <f>IF(AND(Q281&lt;&gt;"",R281&lt;&gt;"",DATE(2026,3,0)&gt;=Q281,DATE(2026,2,1)&lt;=R281),"█","")</f>
        <v/>
      </c>
      <c r="G281" s="30" t="str">
        <f>IF(AND(Q281&lt;&gt;"",R281&lt;&gt;"",DATE(2026,4,0)&gt;=Q281,DATE(2026,3,1)&lt;=R281),"█","")</f>
        <v/>
      </c>
      <c r="H281" s="30" t="str">
        <f>IF(AND(Q281&lt;&gt;"",R281&lt;&gt;"",DATE(2026,5,0)&gt;=Q281,DATE(2026,4,1)&lt;=R281),"█","")</f>
        <v/>
      </c>
      <c r="I281" s="30" t="str">
        <f>IF(AND(Q281&lt;&gt;"",R281&lt;&gt;"",DATE(2026,6,0)&gt;=Q281,DATE(2026,5,1)&lt;=R281),"█","")</f>
        <v/>
      </c>
      <c r="J281" s="30" t="str">
        <f>IF(AND(Q281&lt;&gt;"",R281&lt;&gt;"",DATE(2026,7,0)&gt;=Q281,DATE(2026,6,1)&lt;=R281),"█","")</f>
        <v/>
      </c>
      <c r="K281" s="30" t="str">
        <f>IF(AND(Q281&lt;&gt;"",R281&lt;&gt;"",DATE(2026,8,0)&gt;=Q281,DATE(2026,7,1)&lt;=R281),"█","")</f>
        <v/>
      </c>
      <c r="L281" s="30" t="str">
        <f>IF(AND(Q281&lt;&gt;"",R281&lt;&gt;"",DATE(2026,9,0)&gt;=Q281,DATE(2026,8,1)&lt;=R281),"█","")</f>
        <v/>
      </c>
      <c r="M281" s="30" t="str">
        <f>IF(AND(Q281&lt;&gt;"",R281&lt;&gt;"",DATE(2026,10,0)&gt;=Q281,DATE(2026,9,1)&lt;=R281),"█","")</f>
        <v/>
      </c>
      <c r="N281" s="30" t="str">
        <f>IF(AND(Q281&lt;&gt;"",R281&lt;&gt;"",DATE(2026,11,0)&gt;=Q281,DATE(2026,10,1)&lt;=R281),"█","")</f>
        <v/>
      </c>
      <c r="O281" s="30" t="str">
        <f>IF(AND(Q281&lt;&gt;"",R281&lt;&gt;"",DATE(2026,12,0)&gt;=Q281,DATE(2026,11,1)&lt;=R281),"█","")</f>
        <v/>
      </c>
      <c r="P281" s="30" t="str">
        <f>IF(AND(Q281&lt;&gt;"",R281&lt;&gt;"",DATE(2026,12,31)&gt;=Q281,DATE(2026,12,1)&lt;=R281),"█","")</f>
        <v/>
      </c>
      <c r="Q281" s="7" t="str">
        <f>IF('Release Calendar'!I281&lt;&gt;"",'Release Calendar'!I281,"")</f>
        <v/>
      </c>
      <c r="R281" s="7" t="str">
        <f>IF('Release Calendar'!J281&lt;&gt;"",'Release Calendar'!J281,"")</f>
        <v/>
      </c>
    </row>
    <row r="282" spans="1:18" ht="20.100000000000001" customHeight="1">
      <c r="A282" s="31">
        <v>278</v>
      </c>
      <c r="B282" s="32" t="str">
        <f>IF('Release Calendar'!B282&lt;&gt;"",'Release Calendar'!B282,"")</f>
        <v/>
      </c>
      <c r="C282" s="33" t="str">
        <f>IF('Release Calendar'!K282&lt;&gt;"",'Release Calendar'!K282,"")</f>
        <v/>
      </c>
      <c r="D282" s="33" t="str">
        <f>IF('Release Calendar'!M282&lt;&gt;"",'Release Calendar'!M282,"")</f>
        <v/>
      </c>
      <c r="E282" s="34" t="str">
        <f>IF(AND(Q282&lt;&gt;"",R282&lt;&gt;"",DATE(2026,2,0)&gt;=Q282,DATE(2026,1,1)&lt;=R282),"█","")</f>
        <v/>
      </c>
      <c r="F282" s="34" t="str">
        <f>IF(AND(Q282&lt;&gt;"",R282&lt;&gt;"",DATE(2026,3,0)&gt;=Q282,DATE(2026,2,1)&lt;=R282),"█","")</f>
        <v/>
      </c>
      <c r="G282" s="34" t="str">
        <f>IF(AND(Q282&lt;&gt;"",R282&lt;&gt;"",DATE(2026,4,0)&gt;=Q282,DATE(2026,3,1)&lt;=R282),"█","")</f>
        <v/>
      </c>
      <c r="H282" s="34" t="str">
        <f>IF(AND(Q282&lt;&gt;"",R282&lt;&gt;"",DATE(2026,5,0)&gt;=Q282,DATE(2026,4,1)&lt;=R282),"█","")</f>
        <v/>
      </c>
      <c r="I282" s="34" t="str">
        <f>IF(AND(Q282&lt;&gt;"",R282&lt;&gt;"",DATE(2026,6,0)&gt;=Q282,DATE(2026,5,1)&lt;=R282),"█","")</f>
        <v/>
      </c>
      <c r="J282" s="34" t="str">
        <f>IF(AND(Q282&lt;&gt;"",R282&lt;&gt;"",DATE(2026,7,0)&gt;=Q282,DATE(2026,6,1)&lt;=R282),"█","")</f>
        <v/>
      </c>
      <c r="K282" s="34" t="str">
        <f>IF(AND(Q282&lt;&gt;"",R282&lt;&gt;"",DATE(2026,8,0)&gt;=Q282,DATE(2026,7,1)&lt;=R282),"█","")</f>
        <v/>
      </c>
      <c r="L282" s="34" t="str">
        <f>IF(AND(Q282&lt;&gt;"",R282&lt;&gt;"",DATE(2026,9,0)&gt;=Q282,DATE(2026,8,1)&lt;=R282),"█","")</f>
        <v/>
      </c>
      <c r="M282" s="34" t="str">
        <f>IF(AND(Q282&lt;&gt;"",R282&lt;&gt;"",DATE(2026,10,0)&gt;=Q282,DATE(2026,9,1)&lt;=R282),"█","")</f>
        <v/>
      </c>
      <c r="N282" s="34" t="str">
        <f>IF(AND(Q282&lt;&gt;"",R282&lt;&gt;"",DATE(2026,11,0)&gt;=Q282,DATE(2026,10,1)&lt;=R282),"█","")</f>
        <v/>
      </c>
      <c r="O282" s="34" t="str">
        <f>IF(AND(Q282&lt;&gt;"",R282&lt;&gt;"",DATE(2026,12,0)&gt;=Q282,DATE(2026,11,1)&lt;=R282),"█","")</f>
        <v/>
      </c>
      <c r="P282" s="34" t="str">
        <f>IF(AND(Q282&lt;&gt;"",R282&lt;&gt;"",DATE(2026,12,31)&gt;=Q282,DATE(2026,12,1)&lt;=R282),"█","")</f>
        <v/>
      </c>
      <c r="Q282" s="7" t="str">
        <f>IF('Release Calendar'!I282&lt;&gt;"",'Release Calendar'!I282,"")</f>
        <v/>
      </c>
      <c r="R282" s="7" t="str">
        <f>IF('Release Calendar'!J282&lt;&gt;"",'Release Calendar'!J282,"")</f>
        <v/>
      </c>
    </row>
    <row r="283" spans="1:18" ht="20.100000000000001" customHeight="1">
      <c r="A283" s="14">
        <v>279</v>
      </c>
      <c r="B283" s="28" t="str">
        <f>IF('Release Calendar'!B283&lt;&gt;"",'Release Calendar'!B283,"")</f>
        <v/>
      </c>
      <c r="C283" s="29" t="str">
        <f>IF('Release Calendar'!K283&lt;&gt;"",'Release Calendar'!K283,"")</f>
        <v/>
      </c>
      <c r="D283" s="29" t="str">
        <f>IF('Release Calendar'!M283&lt;&gt;"",'Release Calendar'!M283,"")</f>
        <v/>
      </c>
      <c r="E283" s="30" t="str">
        <f>IF(AND(Q283&lt;&gt;"",R283&lt;&gt;"",DATE(2026,2,0)&gt;=Q283,DATE(2026,1,1)&lt;=R283),"█","")</f>
        <v/>
      </c>
      <c r="F283" s="30" t="str">
        <f>IF(AND(Q283&lt;&gt;"",R283&lt;&gt;"",DATE(2026,3,0)&gt;=Q283,DATE(2026,2,1)&lt;=R283),"█","")</f>
        <v/>
      </c>
      <c r="G283" s="30" t="str">
        <f>IF(AND(Q283&lt;&gt;"",R283&lt;&gt;"",DATE(2026,4,0)&gt;=Q283,DATE(2026,3,1)&lt;=R283),"█","")</f>
        <v/>
      </c>
      <c r="H283" s="30" t="str">
        <f>IF(AND(Q283&lt;&gt;"",R283&lt;&gt;"",DATE(2026,5,0)&gt;=Q283,DATE(2026,4,1)&lt;=R283),"█","")</f>
        <v/>
      </c>
      <c r="I283" s="30" t="str">
        <f>IF(AND(Q283&lt;&gt;"",R283&lt;&gt;"",DATE(2026,6,0)&gt;=Q283,DATE(2026,5,1)&lt;=R283),"█","")</f>
        <v/>
      </c>
      <c r="J283" s="30" t="str">
        <f>IF(AND(Q283&lt;&gt;"",R283&lt;&gt;"",DATE(2026,7,0)&gt;=Q283,DATE(2026,6,1)&lt;=R283),"█","")</f>
        <v/>
      </c>
      <c r="K283" s="30" t="str">
        <f>IF(AND(Q283&lt;&gt;"",R283&lt;&gt;"",DATE(2026,8,0)&gt;=Q283,DATE(2026,7,1)&lt;=R283),"█","")</f>
        <v/>
      </c>
      <c r="L283" s="30" t="str">
        <f>IF(AND(Q283&lt;&gt;"",R283&lt;&gt;"",DATE(2026,9,0)&gt;=Q283,DATE(2026,8,1)&lt;=R283),"█","")</f>
        <v/>
      </c>
      <c r="M283" s="30" t="str">
        <f>IF(AND(Q283&lt;&gt;"",R283&lt;&gt;"",DATE(2026,10,0)&gt;=Q283,DATE(2026,9,1)&lt;=R283),"█","")</f>
        <v/>
      </c>
      <c r="N283" s="30" t="str">
        <f>IF(AND(Q283&lt;&gt;"",R283&lt;&gt;"",DATE(2026,11,0)&gt;=Q283,DATE(2026,10,1)&lt;=R283),"█","")</f>
        <v/>
      </c>
      <c r="O283" s="30" t="str">
        <f>IF(AND(Q283&lt;&gt;"",R283&lt;&gt;"",DATE(2026,12,0)&gt;=Q283,DATE(2026,11,1)&lt;=R283),"█","")</f>
        <v/>
      </c>
      <c r="P283" s="30" t="str">
        <f>IF(AND(Q283&lt;&gt;"",R283&lt;&gt;"",DATE(2026,12,31)&gt;=Q283,DATE(2026,12,1)&lt;=R283),"█","")</f>
        <v/>
      </c>
      <c r="Q283" s="7" t="str">
        <f>IF('Release Calendar'!I283&lt;&gt;"",'Release Calendar'!I283,"")</f>
        <v/>
      </c>
      <c r="R283" s="7" t="str">
        <f>IF('Release Calendar'!J283&lt;&gt;"",'Release Calendar'!J283,"")</f>
        <v/>
      </c>
    </row>
    <row r="284" spans="1:18" ht="20.100000000000001" customHeight="1">
      <c r="A284" s="31">
        <v>280</v>
      </c>
      <c r="B284" s="32" t="str">
        <f>IF('Release Calendar'!B284&lt;&gt;"",'Release Calendar'!B284,"")</f>
        <v/>
      </c>
      <c r="C284" s="33" t="str">
        <f>IF('Release Calendar'!K284&lt;&gt;"",'Release Calendar'!K284,"")</f>
        <v/>
      </c>
      <c r="D284" s="33" t="str">
        <f>IF('Release Calendar'!M284&lt;&gt;"",'Release Calendar'!M284,"")</f>
        <v/>
      </c>
      <c r="E284" s="34" t="str">
        <f>IF(AND(Q284&lt;&gt;"",R284&lt;&gt;"",DATE(2026,2,0)&gt;=Q284,DATE(2026,1,1)&lt;=R284),"█","")</f>
        <v/>
      </c>
      <c r="F284" s="34" t="str">
        <f>IF(AND(Q284&lt;&gt;"",R284&lt;&gt;"",DATE(2026,3,0)&gt;=Q284,DATE(2026,2,1)&lt;=R284),"█","")</f>
        <v/>
      </c>
      <c r="G284" s="34" t="str">
        <f>IF(AND(Q284&lt;&gt;"",R284&lt;&gt;"",DATE(2026,4,0)&gt;=Q284,DATE(2026,3,1)&lt;=R284),"█","")</f>
        <v/>
      </c>
      <c r="H284" s="34" t="str">
        <f>IF(AND(Q284&lt;&gt;"",R284&lt;&gt;"",DATE(2026,5,0)&gt;=Q284,DATE(2026,4,1)&lt;=R284),"█","")</f>
        <v/>
      </c>
      <c r="I284" s="34" t="str">
        <f>IF(AND(Q284&lt;&gt;"",R284&lt;&gt;"",DATE(2026,6,0)&gt;=Q284,DATE(2026,5,1)&lt;=R284),"█","")</f>
        <v/>
      </c>
      <c r="J284" s="34" t="str">
        <f>IF(AND(Q284&lt;&gt;"",R284&lt;&gt;"",DATE(2026,7,0)&gt;=Q284,DATE(2026,6,1)&lt;=R284),"█","")</f>
        <v/>
      </c>
      <c r="K284" s="34" t="str">
        <f>IF(AND(Q284&lt;&gt;"",R284&lt;&gt;"",DATE(2026,8,0)&gt;=Q284,DATE(2026,7,1)&lt;=R284),"█","")</f>
        <v/>
      </c>
      <c r="L284" s="34" t="str">
        <f>IF(AND(Q284&lt;&gt;"",R284&lt;&gt;"",DATE(2026,9,0)&gt;=Q284,DATE(2026,8,1)&lt;=R284),"█","")</f>
        <v/>
      </c>
      <c r="M284" s="34" t="str">
        <f>IF(AND(Q284&lt;&gt;"",R284&lt;&gt;"",DATE(2026,10,0)&gt;=Q284,DATE(2026,9,1)&lt;=R284),"█","")</f>
        <v/>
      </c>
      <c r="N284" s="34" t="str">
        <f>IF(AND(Q284&lt;&gt;"",R284&lt;&gt;"",DATE(2026,11,0)&gt;=Q284,DATE(2026,10,1)&lt;=R284),"█","")</f>
        <v/>
      </c>
      <c r="O284" s="34" t="str">
        <f>IF(AND(Q284&lt;&gt;"",R284&lt;&gt;"",DATE(2026,12,0)&gt;=Q284,DATE(2026,11,1)&lt;=R284),"█","")</f>
        <v/>
      </c>
      <c r="P284" s="34" t="str">
        <f>IF(AND(Q284&lt;&gt;"",R284&lt;&gt;"",DATE(2026,12,31)&gt;=Q284,DATE(2026,12,1)&lt;=R284),"█","")</f>
        <v/>
      </c>
      <c r="Q284" s="7" t="str">
        <f>IF('Release Calendar'!I284&lt;&gt;"",'Release Calendar'!I284,"")</f>
        <v/>
      </c>
      <c r="R284" s="7" t="str">
        <f>IF('Release Calendar'!J284&lt;&gt;"",'Release Calendar'!J284,"")</f>
        <v/>
      </c>
    </row>
    <row r="285" spans="1:18" ht="20.100000000000001" customHeight="1">
      <c r="A285" s="14">
        <v>281</v>
      </c>
      <c r="B285" s="28" t="str">
        <f>IF('Release Calendar'!B285&lt;&gt;"",'Release Calendar'!B285,"")</f>
        <v/>
      </c>
      <c r="C285" s="29" t="str">
        <f>IF('Release Calendar'!K285&lt;&gt;"",'Release Calendar'!K285,"")</f>
        <v/>
      </c>
      <c r="D285" s="29" t="str">
        <f>IF('Release Calendar'!M285&lt;&gt;"",'Release Calendar'!M285,"")</f>
        <v/>
      </c>
      <c r="E285" s="30" t="str">
        <f>IF(AND(Q285&lt;&gt;"",R285&lt;&gt;"",DATE(2026,2,0)&gt;=Q285,DATE(2026,1,1)&lt;=R285),"█","")</f>
        <v/>
      </c>
      <c r="F285" s="30" t="str">
        <f>IF(AND(Q285&lt;&gt;"",R285&lt;&gt;"",DATE(2026,3,0)&gt;=Q285,DATE(2026,2,1)&lt;=R285),"█","")</f>
        <v/>
      </c>
      <c r="G285" s="30" t="str">
        <f>IF(AND(Q285&lt;&gt;"",R285&lt;&gt;"",DATE(2026,4,0)&gt;=Q285,DATE(2026,3,1)&lt;=R285),"█","")</f>
        <v/>
      </c>
      <c r="H285" s="30" t="str">
        <f>IF(AND(Q285&lt;&gt;"",R285&lt;&gt;"",DATE(2026,5,0)&gt;=Q285,DATE(2026,4,1)&lt;=R285),"█","")</f>
        <v/>
      </c>
      <c r="I285" s="30" t="str">
        <f>IF(AND(Q285&lt;&gt;"",R285&lt;&gt;"",DATE(2026,6,0)&gt;=Q285,DATE(2026,5,1)&lt;=R285),"█","")</f>
        <v/>
      </c>
      <c r="J285" s="30" t="str">
        <f>IF(AND(Q285&lt;&gt;"",R285&lt;&gt;"",DATE(2026,7,0)&gt;=Q285,DATE(2026,6,1)&lt;=R285),"█","")</f>
        <v/>
      </c>
      <c r="K285" s="30" t="str">
        <f>IF(AND(Q285&lt;&gt;"",R285&lt;&gt;"",DATE(2026,8,0)&gt;=Q285,DATE(2026,7,1)&lt;=R285),"█","")</f>
        <v/>
      </c>
      <c r="L285" s="30" t="str">
        <f>IF(AND(Q285&lt;&gt;"",R285&lt;&gt;"",DATE(2026,9,0)&gt;=Q285,DATE(2026,8,1)&lt;=R285),"█","")</f>
        <v/>
      </c>
      <c r="M285" s="30" t="str">
        <f>IF(AND(Q285&lt;&gt;"",R285&lt;&gt;"",DATE(2026,10,0)&gt;=Q285,DATE(2026,9,1)&lt;=R285),"█","")</f>
        <v/>
      </c>
      <c r="N285" s="30" t="str">
        <f>IF(AND(Q285&lt;&gt;"",R285&lt;&gt;"",DATE(2026,11,0)&gt;=Q285,DATE(2026,10,1)&lt;=R285),"█","")</f>
        <v/>
      </c>
      <c r="O285" s="30" t="str">
        <f>IF(AND(Q285&lt;&gt;"",R285&lt;&gt;"",DATE(2026,12,0)&gt;=Q285,DATE(2026,11,1)&lt;=R285),"█","")</f>
        <v/>
      </c>
      <c r="P285" s="30" t="str">
        <f>IF(AND(Q285&lt;&gt;"",R285&lt;&gt;"",DATE(2026,12,31)&gt;=Q285,DATE(2026,12,1)&lt;=R285),"█","")</f>
        <v/>
      </c>
      <c r="Q285" s="7" t="str">
        <f>IF('Release Calendar'!I285&lt;&gt;"",'Release Calendar'!I285,"")</f>
        <v/>
      </c>
      <c r="R285" s="7" t="str">
        <f>IF('Release Calendar'!J285&lt;&gt;"",'Release Calendar'!J285,"")</f>
        <v/>
      </c>
    </row>
    <row r="286" spans="1:18" ht="20.100000000000001" customHeight="1">
      <c r="A286" s="31">
        <v>282</v>
      </c>
      <c r="B286" s="32" t="str">
        <f>IF('Release Calendar'!B286&lt;&gt;"",'Release Calendar'!B286,"")</f>
        <v/>
      </c>
      <c r="C286" s="33" t="str">
        <f>IF('Release Calendar'!K286&lt;&gt;"",'Release Calendar'!K286,"")</f>
        <v/>
      </c>
      <c r="D286" s="33" t="str">
        <f>IF('Release Calendar'!M286&lt;&gt;"",'Release Calendar'!M286,"")</f>
        <v/>
      </c>
      <c r="E286" s="34" t="str">
        <f>IF(AND(Q286&lt;&gt;"",R286&lt;&gt;"",DATE(2026,2,0)&gt;=Q286,DATE(2026,1,1)&lt;=R286),"█","")</f>
        <v/>
      </c>
      <c r="F286" s="34" t="str">
        <f>IF(AND(Q286&lt;&gt;"",R286&lt;&gt;"",DATE(2026,3,0)&gt;=Q286,DATE(2026,2,1)&lt;=R286),"█","")</f>
        <v/>
      </c>
      <c r="G286" s="34" t="str">
        <f>IF(AND(Q286&lt;&gt;"",R286&lt;&gt;"",DATE(2026,4,0)&gt;=Q286,DATE(2026,3,1)&lt;=R286),"█","")</f>
        <v/>
      </c>
      <c r="H286" s="34" t="str">
        <f>IF(AND(Q286&lt;&gt;"",R286&lt;&gt;"",DATE(2026,5,0)&gt;=Q286,DATE(2026,4,1)&lt;=R286),"█","")</f>
        <v/>
      </c>
      <c r="I286" s="34" t="str">
        <f>IF(AND(Q286&lt;&gt;"",R286&lt;&gt;"",DATE(2026,6,0)&gt;=Q286,DATE(2026,5,1)&lt;=R286),"█","")</f>
        <v/>
      </c>
      <c r="J286" s="34" t="str">
        <f>IF(AND(Q286&lt;&gt;"",R286&lt;&gt;"",DATE(2026,7,0)&gt;=Q286,DATE(2026,6,1)&lt;=R286),"█","")</f>
        <v/>
      </c>
      <c r="K286" s="34" t="str">
        <f>IF(AND(Q286&lt;&gt;"",R286&lt;&gt;"",DATE(2026,8,0)&gt;=Q286,DATE(2026,7,1)&lt;=R286),"█","")</f>
        <v/>
      </c>
      <c r="L286" s="34" t="str">
        <f>IF(AND(Q286&lt;&gt;"",R286&lt;&gt;"",DATE(2026,9,0)&gt;=Q286,DATE(2026,8,1)&lt;=R286),"█","")</f>
        <v/>
      </c>
      <c r="M286" s="34" t="str">
        <f>IF(AND(Q286&lt;&gt;"",R286&lt;&gt;"",DATE(2026,10,0)&gt;=Q286,DATE(2026,9,1)&lt;=R286),"█","")</f>
        <v/>
      </c>
      <c r="N286" s="34" t="str">
        <f>IF(AND(Q286&lt;&gt;"",R286&lt;&gt;"",DATE(2026,11,0)&gt;=Q286,DATE(2026,10,1)&lt;=R286),"█","")</f>
        <v/>
      </c>
      <c r="O286" s="34" t="str">
        <f>IF(AND(Q286&lt;&gt;"",R286&lt;&gt;"",DATE(2026,12,0)&gt;=Q286,DATE(2026,11,1)&lt;=R286),"█","")</f>
        <v/>
      </c>
      <c r="P286" s="34" t="str">
        <f>IF(AND(Q286&lt;&gt;"",R286&lt;&gt;"",DATE(2026,12,31)&gt;=Q286,DATE(2026,12,1)&lt;=R286),"█","")</f>
        <v/>
      </c>
      <c r="Q286" s="7" t="str">
        <f>IF('Release Calendar'!I286&lt;&gt;"",'Release Calendar'!I286,"")</f>
        <v/>
      </c>
      <c r="R286" s="7" t="str">
        <f>IF('Release Calendar'!J286&lt;&gt;"",'Release Calendar'!J286,"")</f>
        <v/>
      </c>
    </row>
    <row r="287" spans="1:18" ht="20.100000000000001" customHeight="1">
      <c r="A287" s="14">
        <v>283</v>
      </c>
      <c r="B287" s="28" t="str">
        <f>IF('Release Calendar'!B287&lt;&gt;"",'Release Calendar'!B287,"")</f>
        <v/>
      </c>
      <c r="C287" s="29" t="str">
        <f>IF('Release Calendar'!K287&lt;&gt;"",'Release Calendar'!K287,"")</f>
        <v/>
      </c>
      <c r="D287" s="29" t="str">
        <f>IF('Release Calendar'!M287&lt;&gt;"",'Release Calendar'!M287,"")</f>
        <v/>
      </c>
      <c r="E287" s="30" t="str">
        <f>IF(AND(Q287&lt;&gt;"",R287&lt;&gt;"",DATE(2026,2,0)&gt;=Q287,DATE(2026,1,1)&lt;=R287),"█","")</f>
        <v/>
      </c>
      <c r="F287" s="30" t="str">
        <f>IF(AND(Q287&lt;&gt;"",R287&lt;&gt;"",DATE(2026,3,0)&gt;=Q287,DATE(2026,2,1)&lt;=R287),"█","")</f>
        <v/>
      </c>
      <c r="G287" s="30" t="str">
        <f>IF(AND(Q287&lt;&gt;"",R287&lt;&gt;"",DATE(2026,4,0)&gt;=Q287,DATE(2026,3,1)&lt;=R287),"█","")</f>
        <v/>
      </c>
      <c r="H287" s="30" t="str">
        <f>IF(AND(Q287&lt;&gt;"",R287&lt;&gt;"",DATE(2026,5,0)&gt;=Q287,DATE(2026,4,1)&lt;=R287),"█","")</f>
        <v/>
      </c>
      <c r="I287" s="30" t="str">
        <f>IF(AND(Q287&lt;&gt;"",R287&lt;&gt;"",DATE(2026,6,0)&gt;=Q287,DATE(2026,5,1)&lt;=R287),"█","")</f>
        <v/>
      </c>
      <c r="J287" s="30" t="str">
        <f>IF(AND(Q287&lt;&gt;"",R287&lt;&gt;"",DATE(2026,7,0)&gt;=Q287,DATE(2026,6,1)&lt;=R287),"█","")</f>
        <v/>
      </c>
      <c r="K287" s="30" t="str">
        <f>IF(AND(Q287&lt;&gt;"",R287&lt;&gt;"",DATE(2026,8,0)&gt;=Q287,DATE(2026,7,1)&lt;=R287),"█","")</f>
        <v/>
      </c>
      <c r="L287" s="30" t="str">
        <f>IF(AND(Q287&lt;&gt;"",R287&lt;&gt;"",DATE(2026,9,0)&gt;=Q287,DATE(2026,8,1)&lt;=R287),"█","")</f>
        <v/>
      </c>
      <c r="M287" s="30" t="str">
        <f>IF(AND(Q287&lt;&gt;"",R287&lt;&gt;"",DATE(2026,10,0)&gt;=Q287,DATE(2026,9,1)&lt;=R287),"█","")</f>
        <v/>
      </c>
      <c r="N287" s="30" t="str">
        <f>IF(AND(Q287&lt;&gt;"",R287&lt;&gt;"",DATE(2026,11,0)&gt;=Q287,DATE(2026,10,1)&lt;=R287),"█","")</f>
        <v/>
      </c>
      <c r="O287" s="30" t="str">
        <f>IF(AND(Q287&lt;&gt;"",R287&lt;&gt;"",DATE(2026,12,0)&gt;=Q287,DATE(2026,11,1)&lt;=R287),"█","")</f>
        <v/>
      </c>
      <c r="P287" s="30" t="str">
        <f>IF(AND(Q287&lt;&gt;"",R287&lt;&gt;"",DATE(2026,12,31)&gt;=Q287,DATE(2026,12,1)&lt;=R287),"█","")</f>
        <v/>
      </c>
      <c r="Q287" s="7" t="str">
        <f>IF('Release Calendar'!I287&lt;&gt;"",'Release Calendar'!I287,"")</f>
        <v/>
      </c>
      <c r="R287" s="7" t="str">
        <f>IF('Release Calendar'!J287&lt;&gt;"",'Release Calendar'!J287,"")</f>
        <v/>
      </c>
    </row>
    <row r="288" spans="1:18" ht="20.100000000000001" customHeight="1">
      <c r="A288" s="31">
        <v>284</v>
      </c>
      <c r="B288" s="32" t="str">
        <f>IF('Release Calendar'!B288&lt;&gt;"",'Release Calendar'!B288,"")</f>
        <v/>
      </c>
      <c r="C288" s="33" t="str">
        <f>IF('Release Calendar'!K288&lt;&gt;"",'Release Calendar'!K288,"")</f>
        <v/>
      </c>
      <c r="D288" s="33" t="str">
        <f>IF('Release Calendar'!M288&lt;&gt;"",'Release Calendar'!M288,"")</f>
        <v/>
      </c>
      <c r="E288" s="34" t="str">
        <f>IF(AND(Q288&lt;&gt;"",R288&lt;&gt;"",DATE(2026,2,0)&gt;=Q288,DATE(2026,1,1)&lt;=R288),"█","")</f>
        <v/>
      </c>
      <c r="F288" s="34" t="str">
        <f>IF(AND(Q288&lt;&gt;"",R288&lt;&gt;"",DATE(2026,3,0)&gt;=Q288,DATE(2026,2,1)&lt;=R288),"█","")</f>
        <v/>
      </c>
      <c r="G288" s="34" t="str">
        <f>IF(AND(Q288&lt;&gt;"",R288&lt;&gt;"",DATE(2026,4,0)&gt;=Q288,DATE(2026,3,1)&lt;=R288),"█","")</f>
        <v/>
      </c>
      <c r="H288" s="34" t="str">
        <f>IF(AND(Q288&lt;&gt;"",R288&lt;&gt;"",DATE(2026,5,0)&gt;=Q288,DATE(2026,4,1)&lt;=R288),"█","")</f>
        <v/>
      </c>
      <c r="I288" s="34" t="str">
        <f>IF(AND(Q288&lt;&gt;"",R288&lt;&gt;"",DATE(2026,6,0)&gt;=Q288,DATE(2026,5,1)&lt;=R288),"█","")</f>
        <v/>
      </c>
      <c r="J288" s="34" t="str">
        <f>IF(AND(Q288&lt;&gt;"",R288&lt;&gt;"",DATE(2026,7,0)&gt;=Q288,DATE(2026,6,1)&lt;=R288),"█","")</f>
        <v/>
      </c>
      <c r="K288" s="34" t="str">
        <f>IF(AND(Q288&lt;&gt;"",R288&lt;&gt;"",DATE(2026,8,0)&gt;=Q288,DATE(2026,7,1)&lt;=R288),"█","")</f>
        <v/>
      </c>
      <c r="L288" s="34" t="str">
        <f>IF(AND(Q288&lt;&gt;"",R288&lt;&gt;"",DATE(2026,9,0)&gt;=Q288,DATE(2026,8,1)&lt;=R288),"█","")</f>
        <v/>
      </c>
      <c r="M288" s="34" t="str">
        <f>IF(AND(Q288&lt;&gt;"",R288&lt;&gt;"",DATE(2026,10,0)&gt;=Q288,DATE(2026,9,1)&lt;=R288),"█","")</f>
        <v/>
      </c>
      <c r="N288" s="34" t="str">
        <f>IF(AND(Q288&lt;&gt;"",R288&lt;&gt;"",DATE(2026,11,0)&gt;=Q288,DATE(2026,10,1)&lt;=R288),"█","")</f>
        <v/>
      </c>
      <c r="O288" s="34" t="str">
        <f>IF(AND(Q288&lt;&gt;"",R288&lt;&gt;"",DATE(2026,12,0)&gt;=Q288,DATE(2026,11,1)&lt;=R288),"█","")</f>
        <v/>
      </c>
      <c r="P288" s="34" t="str">
        <f>IF(AND(Q288&lt;&gt;"",R288&lt;&gt;"",DATE(2026,12,31)&gt;=Q288,DATE(2026,12,1)&lt;=R288),"█","")</f>
        <v/>
      </c>
      <c r="Q288" s="7" t="str">
        <f>IF('Release Calendar'!I288&lt;&gt;"",'Release Calendar'!I288,"")</f>
        <v/>
      </c>
      <c r="R288" s="7" t="str">
        <f>IF('Release Calendar'!J288&lt;&gt;"",'Release Calendar'!J288,"")</f>
        <v/>
      </c>
    </row>
    <row r="289" spans="1:18" ht="20.100000000000001" customHeight="1">
      <c r="A289" s="14">
        <v>285</v>
      </c>
      <c r="B289" s="28" t="str">
        <f>IF('Release Calendar'!B289&lt;&gt;"",'Release Calendar'!B289,"")</f>
        <v/>
      </c>
      <c r="C289" s="29" t="str">
        <f>IF('Release Calendar'!K289&lt;&gt;"",'Release Calendar'!K289,"")</f>
        <v/>
      </c>
      <c r="D289" s="29" t="str">
        <f>IF('Release Calendar'!M289&lt;&gt;"",'Release Calendar'!M289,"")</f>
        <v/>
      </c>
      <c r="E289" s="30" t="str">
        <f>IF(AND(Q289&lt;&gt;"",R289&lt;&gt;"",DATE(2026,2,0)&gt;=Q289,DATE(2026,1,1)&lt;=R289),"█","")</f>
        <v/>
      </c>
      <c r="F289" s="30" t="str">
        <f>IF(AND(Q289&lt;&gt;"",R289&lt;&gt;"",DATE(2026,3,0)&gt;=Q289,DATE(2026,2,1)&lt;=R289),"█","")</f>
        <v/>
      </c>
      <c r="G289" s="30" t="str">
        <f>IF(AND(Q289&lt;&gt;"",R289&lt;&gt;"",DATE(2026,4,0)&gt;=Q289,DATE(2026,3,1)&lt;=R289),"█","")</f>
        <v/>
      </c>
      <c r="H289" s="30" t="str">
        <f>IF(AND(Q289&lt;&gt;"",R289&lt;&gt;"",DATE(2026,5,0)&gt;=Q289,DATE(2026,4,1)&lt;=R289),"█","")</f>
        <v/>
      </c>
      <c r="I289" s="30" t="str">
        <f>IF(AND(Q289&lt;&gt;"",R289&lt;&gt;"",DATE(2026,6,0)&gt;=Q289,DATE(2026,5,1)&lt;=R289),"█","")</f>
        <v/>
      </c>
      <c r="J289" s="30" t="str">
        <f>IF(AND(Q289&lt;&gt;"",R289&lt;&gt;"",DATE(2026,7,0)&gt;=Q289,DATE(2026,6,1)&lt;=R289),"█","")</f>
        <v/>
      </c>
      <c r="K289" s="30" t="str">
        <f>IF(AND(Q289&lt;&gt;"",R289&lt;&gt;"",DATE(2026,8,0)&gt;=Q289,DATE(2026,7,1)&lt;=R289),"█","")</f>
        <v/>
      </c>
      <c r="L289" s="30" t="str">
        <f>IF(AND(Q289&lt;&gt;"",R289&lt;&gt;"",DATE(2026,9,0)&gt;=Q289,DATE(2026,8,1)&lt;=R289),"█","")</f>
        <v/>
      </c>
      <c r="M289" s="30" t="str">
        <f>IF(AND(Q289&lt;&gt;"",R289&lt;&gt;"",DATE(2026,10,0)&gt;=Q289,DATE(2026,9,1)&lt;=R289),"█","")</f>
        <v/>
      </c>
      <c r="N289" s="30" t="str">
        <f>IF(AND(Q289&lt;&gt;"",R289&lt;&gt;"",DATE(2026,11,0)&gt;=Q289,DATE(2026,10,1)&lt;=R289),"█","")</f>
        <v/>
      </c>
      <c r="O289" s="30" t="str">
        <f>IF(AND(Q289&lt;&gt;"",R289&lt;&gt;"",DATE(2026,12,0)&gt;=Q289,DATE(2026,11,1)&lt;=R289),"█","")</f>
        <v/>
      </c>
      <c r="P289" s="30" t="str">
        <f>IF(AND(Q289&lt;&gt;"",R289&lt;&gt;"",DATE(2026,12,31)&gt;=Q289,DATE(2026,12,1)&lt;=R289),"█","")</f>
        <v/>
      </c>
      <c r="Q289" s="7" t="str">
        <f>IF('Release Calendar'!I289&lt;&gt;"",'Release Calendar'!I289,"")</f>
        <v/>
      </c>
      <c r="R289" s="7" t="str">
        <f>IF('Release Calendar'!J289&lt;&gt;"",'Release Calendar'!J289,"")</f>
        <v/>
      </c>
    </row>
    <row r="290" spans="1:18" ht="20.100000000000001" customHeight="1">
      <c r="A290" s="31">
        <v>286</v>
      </c>
      <c r="B290" s="32" t="str">
        <f>IF('Release Calendar'!B290&lt;&gt;"",'Release Calendar'!B290,"")</f>
        <v/>
      </c>
      <c r="C290" s="33" t="str">
        <f>IF('Release Calendar'!K290&lt;&gt;"",'Release Calendar'!K290,"")</f>
        <v/>
      </c>
      <c r="D290" s="33" t="str">
        <f>IF('Release Calendar'!M290&lt;&gt;"",'Release Calendar'!M290,"")</f>
        <v/>
      </c>
      <c r="E290" s="34" t="str">
        <f>IF(AND(Q290&lt;&gt;"",R290&lt;&gt;"",DATE(2026,2,0)&gt;=Q290,DATE(2026,1,1)&lt;=R290),"█","")</f>
        <v/>
      </c>
      <c r="F290" s="34" t="str">
        <f>IF(AND(Q290&lt;&gt;"",R290&lt;&gt;"",DATE(2026,3,0)&gt;=Q290,DATE(2026,2,1)&lt;=R290),"█","")</f>
        <v/>
      </c>
      <c r="G290" s="34" t="str">
        <f>IF(AND(Q290&lt;&gt;"",R290&lt;&gt;"",DATE(2026,4,0)&gt;=Q290,DATE(2026,3,1)&lt;=R290),"█","")</f>
        <v/>
      </c>
      <c r="H290" s="34" t="str">
        <f>IF(AND(Q290&lt;&gt;"",R290&lt;&gt;"",DATE(2026,5,0)&gt;=Q290,DATE(2026,4,1)&lt;=R290),"█","")</f>
        <v/>
      </c>
      <c r="I290" s="34" t="str">
        <f>IF(AND(Q290&lt;&gt;"",R290&lt;&gt;"",DATE(2026,6,0)&gt;=Q290,DATE(2026,5,1)&lt;=R290),"█","")</f>
        <v/>
      </c>
      <c r="J290" s="34" t="str">
        <f>IF(AND(Q290&lt;&gt;"",R290&lt;&gt;"",DATE(2026,7,0)&gt;=Q290,DATE(2026,6,1)&lt;=R290),"█","")</f>
        <v/>
      </c>
      <c r="K290" s="34" t="str">
        <f>IF(AND(Q290&lt;&gt;"",R290&lt;&gt;"",DATE(2026,8,0)&gt;=Q290,DATE(2026,7,1)&lt;=R290),"█","")</f>
        <v/>
      </c>
      <c r="L290" s="34" t="str">
        <f>IF(AND(Q290&lt;&gt;"",R290&lt;&gt;"",DATE(2026,9,0)&gt;=Q290,DATE(2026,8,1)&lt;=R290),"█","")</f>
        <v/>
      </c>
      <c r="M290" s="34" t="str">
        <f>IF(AND(Q290&lt;&gt;"",R290&lt;&gt;"",DATE(2026,10,0)&gt;=Q290,DATE(2026,9,1)&lt;=R290),"█","")</f>
        <v/>
      </c>
      <c r="N290" s="34" t="str">
        <f>IF(AND(Q290&lt;&gt;"",R290&lt;&gt;"",DATE(2026,11,0)&gt;=Q290,DATE(2026,10,1)&lt;=R290),"█","")</f>
        <v/>
      </c>
      <c r="O290" s="34" t="str">
        <f>IF(AND(Q290&lt;&gt;"",R290&lt;&gt;"",DATE(2026,12,0)&gt;=Q290,DATE(2026,11,1)&lt;=R290),"█","")</f>
        <v/>
      </c>
      <c r="P290" s="34" t="str">
        <f>IF(AND(Q290&lt;&gt;"",R290&lt;&gt;"",DATE(2026,12,31)&gt;=Q290,DATE(2026,12,1)&lt;=R290),"█","")</f>
        <v/>
      </c>
      <c r="Q290" s="7" t="str">
        <f>IF('Release Calendar'!I290&lt;&gt;"",'Release Calendar'!I290,"")</f>
        <v/>
      </c>
      <c r="R290" s="7" t="str">
        <f>IF('Release Calendar'!J290&lt;&gt;"",'Release Calendar'!J290,"")</f>
        <v/>
      </c>
    </row>
    <row r="291" spans="1:18" ht="20.100000000000001" customHeight="1">
      <c r="A291" s="14">
        <v>287</v>
      </c>
      <c r="B291" s="28" t="str">
        <f>IF('Release Calendar'!B291&lt;&gt;"",'Release Calendar'!B291,"")</f>
        <v/>
      </c>
      <c r="C291" s="29" t="str">
        <f>IF('Release Calendar'!K291&lt;&gt;"",'Release Calendar'!K291,"")</f>
        <v/>
      </c>
      <c r="D291" s="29" t="str">
        <f>IF('Release Calendar'!M291&lt;&gt;"",'Release Calendar'!M291,"")</f>
        <v/>
      </c>
      <c r="E291" s="30" t="str">
        <f>IF(AND(Q291&lt;&gt;"",R291&lt;&gt;"",DATE(2026,2,0)&gt;=Q291,DATE(2026,1,1)&lt;=R291),"█","")</f>
        <v/>
      </c>
      <c r="F291" s="30" t="str">
        <f>IF(AND(Q291&lt;&gt;"",R291&lt;&gt;"",DATE(2026,3,0)&gt;=Q291,DATE(2026,2,1)&lt;=R291),"█","")</f>
        <v/>
      </c>
      <c r="G291" s="30" t="str">
        <f>IF(AND(Q291&lt;&gt;"",R291&lt;&gt;"",DATE(2026,4,0)&gt;=Q291,DATE(2026,3,1)&lt;=R291),"█","")</f>
        <v/>
      </c>
      <c r="H291" s="30" t="str">
        <f>IF(AND(Q291&lt;&gt;"",R291&lt;&gt;"",DATE(2026,5,0)&gt;=Q291,DATE(2026,4,1)&lt;=R291),"█","")</f>
        <v/>
      </c>
      <c r="I291" s="30" t="str">
        <f>IF(AND(Q291&lt;&gt;"",R291&lt;&gt;"",DATE(2026,6,0)&gt;=Q291,DATE(2026,5,1)&lt;=R291),"█","")</f>
        <v/>
      </c>
      <c r="J291" s="30" t="str">
        <f>IF(AND(Q291&lt;&gt;"",R291&lt;&gt;"",DATE(2026,7,0)&gt;=Q291,DATE(2026,6,1)&lt;=R291),"█","")</f>
        <v/>
      </c>
      <c r="K291" s="30" t="str">
        <f>IF(AND(Q291&lt;&gt;"",R291&lt;&gt;"",DATE(2026,8,0)&gt;=Q291,DATE(2026,7,1)&lt;=R291),"█","")</f>
        <v/>
      </c>
      <c r="L291" s="30" t="str">
        <f>IF(AND(Q291&lt;&gt;"",R291&lt;&gt;"",DATE(2026,9,0)&gt;=Q291,DATE(2026,8,1)&lt;=R291),"█","")</f>
        <v/>
      </c>
      <c r="M291" s="30" t="str">
        <f>IF(AND(Q291&lt;&gt;"",R291&lt;&gt;"",DATE(2026,10,0)&gt;=Q291,DATE(2026,9,1)&lt;=R291),"█","")</f>
        <v/>
      </c>
      <c r="N291" s="30" t="str">
        <f>IF(AND(Q291&lt;&gt;"",R291&lt;&gt;"",DATE(2026,11,0)&gt;=Q291,DATE(2026,10,1)&lt;=R291),"█","")</f>
        <v/>
      </c>
      <c r="O291" s="30" t="str">
        <f>IF(AND(Q291&lt;&gt;"",R291&lt;&gt;"",DATE(2026,12,0)&gt;=Q291,DATE(2026,11,1)&lt;=R291),"█","")</f>
        <v/>
      </c>
      <c r="P291" s="30" t="str">
        <f>IF(AND(Q291&lt;&gt;"",R291&lt;&gt;"",DATE(2026,12,31)&gt;=Q291,DATE(2026,12,1)&lt;=R291),"█","")</f>
        <v/>
      </c>
      <c r="Q291" s="7" t="str">
        <f>IF('Release Calendar'!I291&lt;&gt;"",'Release Calendar'!I291,"")</f>
        <v/>
      </c>
      <c r="R291" s="7" t="str">
        <f>IF('Release Calendar'!J291&lt;&gt;"",'Release Calendar'!J291,"")</f>
        <v/>
      </c>
    </row>
    <row r="292" spans="1:18" ht="20.100000000000001" customHeight="1">
      <c r="A292" s="31">
        <v>288</v>
      </c>
      <c r="B292" s="32" t="str">
        <f>IF('Release Calendar'!B292&lt;&gt;"",'Release Calendar'!B292,"")</f>
        <v/>
      </c>
      <c r="C292" s="33" t="str">
        <f>IF('Release Calendar'!K292&lt;&gt;"",'Release Calendar'!K292,"")</f>
        <v/>
      </c>
      <c r="D292" s="33" t="str">
        <f>IF('Release Calendar'!M292&lt;&gt;"",'Release Calendar'!M292,"")</f>
        <v/>
      </c>
      <c r="E292" s="34" t="str">
        <f>IF(AND(Q292&lt;&gt;"",R292&lt;&gt;"",DATE(2026,2,0)&gt;=Q292,DATE(2026,1,1)&lt;=R292),"█","")</f>
        <v/>
      </c>
      <c r="F292" s="34" t="str">
        <f>IF(AND(Q292&lt;&gt;"",R292&lt;&gt;"",DATE(2026,3,0)&gt;=Q292,DATE(2026,2,1)&lt;=R292),"█","")</f>
        <v/>
      </c>
      <c r="G292" s="34" t="str">
        <f>IF(AND(Q292&lt;&gt;"",R292&lt;&gt;"",DATE(2026,4,0)&gt;=Q292,DATE(2026,3,1)&lt;=R292),"█","")</f>
        <v/>
      </c>
      <c r="H292" s="34" t="str">
        <f>IF(AND(Q292&lt;&gt;"",R292&lt;&gt;"",DATE(2026,5,0)&gt;=Q292,DATE(2026,4,1)&lt;=R292),"█","")</f>
        <v/>
      </c>
      <c r="I292" s="34" t="str">
        <f>IF(AND(Q292&lt;&gt;"",R292&lt;&gt;"",DATE(2026,6,0)&gt;=Q292,DATE(2026,5,1)&lt;=R292),"█","")</f>
        <v/>
      </c>
      <c r="J292" s="34" t="str">
        <f>IF(AND(Q292&lt;&gt;"",R292&lt;&gt;"",DATE(2026,7,0)&gt;=Q292,DATE(2026,6,1)&lt;=R292),"█","")</f>
        <v/>
      </c>
      <c r="K292" s="34" t="str">
        <f>IF(AND(Q292&lt;&gt;"",R292&lt;&gt;"",DATE(2026,8,0)&gt;=Q292,DATE(2026,7,1)&lt;=R292),"█","")</f>
        <v/>
      </c>
      <c r="L292" s="34" t="str">
        <f>IF(AND(Q292&lt;&gt;"",R292&lt;&gt;"",DATE(2026,9,0)&gt;=Q292,DATE(2026,8,1)&lt;=R292),"█","")</f>
        <v/>
      </c>
      <c r="M292" s="34" t="str">
        <f>IF(AND(Q292&lt;&gt;"",R292&lt;&gt;"",DATE(2026,10,0)&gt;=Q292,DATE(2026,9,1)&lt;=R292),"█","")</f>
        <v/>
      </c>
      <c r="N292" s="34" t="str">
        <f>IF(AND(Q292&lt;&gt;"",R292&lt;&gt;"",DATE(2026,11,0)&gt;=Q292,DATE(2026,10,1)&lt;=R292),"█","")</f>
        <v/>
      </c>
      <c r="O292" s="34" t="str">
        <f>IF(AND(Q292&lt;&gt;"",R292&lt;&gt;"",DATE(2026,12,0)&gt;=Q292,DATE(2026,11,1)&lt;=R292),"█","")</f>
        <v/>
      </c>
      <c r="P292" s="34" t="str">
        <f>IF(AND(Q292&lt;&gt;"",R292&lt;&gt;"",DATE(2026,12,31)&gt;=Q292,DATE(2026,12,1)&lt;=R292),"█","")</f>
        <v/>
      </c>
      <c r="Q292" s="7" t="str">
        <f>IF('Release Calendar'!I292&lt;&gt;"",'Release Calendar'!I292,"")</f>
        <v/>
      </c>
      <c r="R292" s="7" t="str">
        <f>IF('Release Calendar'!J292&lt;&gt;"",'Release Calendar'!J292,"")</f>
        <v/>
      </c>
    </row>
    <row r="293" spans="1:18" ht="20.100000000000001" customHeight="1">
      <c r="A293" s="14">
        <v>289</v>
      </c>
      <c r="B293" s="28" t="str">
        <f>IF('Release Calendar'!B293&lt;&gt;"",'Release Calendar'!B293,"")</f>
        <v/>
      </c>
      <c r="C293" s="29" t="str">
        <f>IF('Release Calendar'!K293&lt;&gt;"",'Release Calendar'!K293,"")</f>
        <v/>
      </c>
      <c r="D293" s="29" t="str">
        <f>IF('Release Calendar'!M293&lt;&gt;"",'Release Calendar'!M293,"")</f>
        <v/>
      </c>
      <c r="E293" s="30" t="str">
        <f>IF(AND(Q293&lt;&gt;"",R293&lt;&gt;"",DATE(2026,2,0)&gt;=Q293,DATE(2026,1,1)&lt;=R293),"█","")</f>
        <v/>
      </c>
      <c r="F293" s="30" t="str">
        <f>IF(AND(Q293&lt;&gt;"",R293&lt;&gt;"",DATE(2026,3,0)&gt;=Q293,DATE(2026,2,1)&lt;=R293),"█","")</f>
        <v/>
      </c>
      <c r="G293" s="30" t="str">
        <f>IF(AND(Q293&lt;&gt;"",R293&lt;&gt;"",DATE(2026,4,0)&gt;=Q293,DATE(2026,3,1)&lt;=R293),"█","")</f>
        <v/>
      </c>
      <c r="H293" s="30" t="str">
        <f>IF(AND(Q293&lt;&gt;"",R293&lt;&gt;"",DATE(2026,5,0)&gt;=Q293,DATE(2026,4,1)&lt;=R293),"█","")</f>
        <v/>
      </c>
      <c r="I293" s="30" t="str">
        <f>IF(AND(Q293&lt;&gt;"",R293&lt;&gt;"",DATE(2026,6,0)&gt;=Q293,DATE(2026,5,1)&lt;=R293),"█","")</f>
        <v/>
      </c>
      <c r="J293" s="30" t="str">
        <f>IF(AND(Q293&lt;&gt;"",R293&lt;&gt;"",DATE(2026,7,0)&gt;=Q293,DATE(2026,6,1)&lt;=R293),"█","")</f>
        <v/>
      </c>
      <c r="K293" s="30" t="str">
        <f>IF(AND(Q293&lt;&gt;"",R293&lt;&gt;"",DATE(2026,8,0)&gt;=Q293,DATE(2026,7,1)&lt;=R293),"█","")</f>
        <v/>
      </c>
      <c r="L293" s="30" t="str">
        <f>IF(AND(Q293&lt;&gt;"",R293&lt;&gt;"",DATE(2026,9,0)&gt;=Q293,DATE(2026,8,1)&lt;=R293),"█","")</f>
        <v/>
      </c>
      <c r="M293" s="30" t="str">
        <f>IF(AND(Q293&lt;&gt;"",R293&lt;&gt;"",DATE(2026,10,0)&gt;=Q293,DATE(2026,9,1)&lt;=R293),"█","")</f>
        <v/>
      </c>
      <c r="N293" s="30" t="str">
        <f>IF(AND(Q293&lt;&gt;"",R293&lt;&gt;"",DATE(2026,11,0)&gt;=Q293,DATE(2026,10,1)&lt;=R293),"█","")</f>
        <v/>
      </c>
      <c r="O293" s="30" t="str">
        <f>IF(AND(Q293&lt;&gt;"",R293&lt;&gt;"",DATE(2026,12,0)&gt;=Q293,DATE(2026,11,1)&lt;=R293),"█","")</f>
        <v/>
      </c>
      <c r="P293" s="30" t="str">
        <f>IF(AND(Q293&lt;&gt;"",R293&lt;&gt;"",DATE(2026,12,31)&gt;=Q293,DATE(2026,12,1)&lt;=R293),"█","")</f>
        <v/>
      </c>
      <c r="Q293" s="7" t="str">
        <f>IF('Release Calendar'!I293&lt;&gt;"",'Release Calendar'!I293,"")</f>
        <v/>
      </c>
      <c r="R293" s="7" t="str">
        <f>IF('Release Calendar'!J293&lt;&gt;"",'Release Calendar'!J293,"")</f>
        <v/>
      </c>
    </row>
    <row r="294" spans="1:18" ht="20.100000000000001" customHeight="1">
      <c r="A294" s="31">
        <v>290</v>
      </c>
      <c r="B294" s="32" t="str">
        <f>IF('Release Calendar'!B294&lt;&gt;"",'Release Calendar'!B294,"")</f>
        <v/>
      </c>
      <c r="C294" s="33" t="str">
        <f>IF('Release Calendar'!K294&lt;&gt;"",'Release Calendar'!K294,"")</f>
        <v/>
      </c>
      <c r="D294" s="33" t="str">
        <f>IF('Release Calendar'!M294&lt;&gt;"",'Release Calendar'!M294,"")</f>
        <v/>
      </c>
      <c r="E294" s="34" t="str">
        <f>IF(AND(Q294&lt;&gt;"",R294&lt;&gt;"",DATE(2026,2,0)&gt;=Q294,DATE(2026,1,1)&lt;=R294),"█","")</f>
        <v/>
      </c>
      <c r="F294" s="34" t="str">
        <f>IF(AND(Q294&lt;&gt;"",R294&lt;&gt;"",DATE(2026,3,0)&gt;=Q294,DATE(2026,2,1)&lt;=R294),"█","")</f>
        <v/>
      </c>
      <c r="G294" s="34" t="str">
        <f>IF(AND(Q294&lt;&gt;"",R294&lt;&gt;"",DATE(2026,4,0)&gt;=Q294,DATE(2026,3,1)&lt;=R294),"█","")</f>
        <v/>
      </c>
      <c r="H294" s="34" t="str">
        <f>IF(AND(Q294&lt;&gt;"",R294&lt;&gt;"",DATE(2026,5,0)&gt;=Q294,DATE(2026,4,1)&lt;=R294),"█","")</f>
        <v/>
      </c>
      <c r="I294" s="34" t="str">
        <f>IF(AND(Q294&lt;&gt;"",R294&lt;&gt;"",DATE(2026,6,0)&gt;=Q294,DATE(2026,5,1)&lt;=R294),"█","")</f>
        <v/>
      </c>
      <c r="J294" s="34" t="str">
        <f>IF(AND(Q294&lt;&gt;"",R294&lt;&gt;"",DATE(2026,7,0)&gt;=Q294,DATE(2026,6,1)&lt;=R294),"█","")</f>
        <v/>
      </c>
      <c r="K294" s="34" t="str">
        <f>IF(AND(Q294&lt;&gt;"",R294&lt;&gt;"",DATE(2026,8,0)&gt;=Q294,DATE(2026,7,1)&lt;=R294),"█","")</f>
        <v/>
      </c>
      <c r="L294" s="34" t="str">
        <f>IF(AND(Q294&lt;&gt;"",R294&lt;&gt;"",DATE(2026,9,0)&gt;=Q294,DATE(2026,8,1)&lt;=R294),"█","")</f>
        <v/>
      </c>
      <c r="M294" s="34" t="str">
        <f>IF(AND(Q294&lt;&gt;"",R294&lt;&gt;"",DATE(2026,10,0)&gt;=Q294,DATE(2026,9,1)&lt;=R294),"█","")</f>
        <v/>
      </c>
      <c r="N294" s="34" t="str">
        <f>IF(AND(Q294&lt;&gt;"",R294&lt;&gt;"",DATE(2026,11,0)&gt;=Q294,DATE(2026,10,1)&lt;=R294),"█","")</f>
        <v/>
      </c>
      <c r="O294" s="34" t="str">
        <f>IF(AND(Q294&lt;&gt;"",R294&lt;&gt;"",DATE(2026,12,0)&gt;=Q294,DATE(2026,11,1)&lt;=R294),"█","")</f>
        <v/>
      </c>
      <c r="P294" s="34" t="str">
        <f>IF(AND(Q294&lt;&gt;"",R294&lt;&gt;"",DATE(2026,12,31)&gt;=Q294,DATE(2026,12,1)&lt;=R294),"█","")</f>
        <v/>
      </c>
      <c r="Q294" s="7" t="str">
        <f>IF('Release Calendar'!I294&lt;&gt;"",'Release Calendar'!I294,"")</f>
        <v/>
      </c>
      <c r="R294" s="7" t="str">
        <f>IF('Release Calendar'!J294&lt;&gt;"",'Release Calendar'!J294,"")</f>
        <v/>
      </c>
    </row>
    <row r="295" spans="1:18" ht="20.100000000000001" customHeight="1">
      <c r="A295" s="14">
        <v>291</v>
      </c>
      <c r="B295" s="28" t="str">
        <f>IF('Release Calendar'!B295&lt;&gt;"",'Release Calendar'!B295,"")</f>
        <v/>
      </c>
      <c r="C295" s="29" t="str">
        <f>IF('Release Calendar'!K295&lt;&gt;"",'Release Calendar'!K295,"")</f>
        <v/>
      </c>
      <c r="D295" s="29" t="str">
        <f>IF('Release Calendar'!M295&lt;&gt;"",'Release Calendar'!M295,"")</f>
        <v/>
      </c>
      <c r="E295" s="30" t="str">
        <f>IF(AND(Q295&lt;&gt;"",R295&lt;&gt;"",DATE(2026,2,0)&gt;=Q295,DATE(2026,1,1)&lt;=R295),"█","")</f>
        <v/>
      </c>
      <c r="F295" s="30" t="str">
        <f>IF(AND(Q295&lt;&gt;"",R295&lt;&gt;"",DATE(2026,3,0)&gt;=Q295,DATE(2026,2,1)&lt;=R295),"█","")</f>
        <v/>
      </c>
      <c r="G295" s="30" t="str">
        <f>IF(AND(Q295&lt;&gt;"",R295&lt;&gt;"",DATE(2026,4,0)&gt;=Q295,DATE(2026,3,1)&lt;=R295),"█","")</f>
        <v/>
      </c>
      <c r="H295" s="30" t="str">
        <f>IF(AND(Q295&lt;&gt;"",R295&lt;&gt;"",DATE(2026,5,0)&gt;=Q295,DATE(2026,4,1)&lt;=R295),"█","")</f>
        <v/>
      </c>
      <c r="I295" s="30" t="str">
        <f>IF(AND(Q295&lt;&gt;"",R295&lt;&gt;"",DATE(2026,6,0)&gt;=Q295,DATE(2026,5,1)&lt;=R295),"█","")</f>
        <v/>
      </c>
      <c r="J295" s="30" t="str">
        <f>IF(AND(Q295&lt;&gt;"",R295&lt;&gt;"",DATE(2026,7,0)&gt;=Q295,DATE(2026,6,1)&lt;=R295),"█","")</f>
        <v/>
      </c>
      <c r="K295" s="30" t="str">
        <f>IF(AND(Q295&lt;&gt;"",R295&lt;&gt;"",DATE(2026,8,0)&gt;=Q295,DATE(2026,7,1)&lt;=R295),"█","")</f>
        <v/>
      </c>
      <c r="L295" s="30" t="str">
        <f>IF(AND(Q295&lt;&gt;"",R295&lt;&gt;"",DATE(2026,9,0)&gt;=Q295,DATE(2026,8,1)&lt;=R295),"█","")</f>
        <v/>
      </c>
      <c r="M295" s="30" t="str">
        <f>IF(AND(Q295&lt;&gt;"",R295&lt;&gt;"",DATE(2026,10,0)&gt;=Q295,DATE(2026,9,1)&lt;=R295),"█","")</f>
        <v/>
      </c>
      <c r="N295" s="30" t="str">
        <f>IF(AND(Q295&lt;&gt;"",R295&lt;&gt;"",DATE(2026,11,0)&gt;=Q295,DATE(2026,10,1)&lt;=R295),"█","")</f>
        <v/>
      </c>
      <c r="O295" s="30" t="str">
        <f>IF(AND(Q295&lt;&gt;"",R295&lt;&gt;"",DATE(2026,12,0)&gt;=Q295,DATE(2026,11,1)&lt;=R295),"█","")</f>
        <v/>
      </c>
      <c r="P295" s="30" t="str">
        <f>IF(AND(Q295&lt;&gt;"",R295&lt;&gt;"",DATE(2026,12,31)&gt;=Q295,DATE(2026,12,1)&lt;=R295),"█","")</f>
        <v/>
      </c>
      <c r="Q295" s="7" t="str">
        <f>IF('Release Calendar'!I295&lt;&gt;"",'Release Calendar'!I295,"")</f>
        <v/>
      </c>
      <c r="R295" s="7" t="str">
        <f>IF('Release Calendar'!J295&lt;&gt;"",'Release Calendar'!J295,"")</f>
        <v/>
      </c>
    </row>
    <row r="296" spans="1:18" ht="20.100000000000001" customHeight="1">
      <c r="A296" s="31">
        <v>292</v>
      </c>
      <c r="B296" s="32" t="str">
        <f>IF('Release Calendar'!B296&lt;&gt;"",'Release Calendar'!B296,"")</f>
        <v/>
      </c>
      <c r="C296" s="33" t="str">
        <f>IF('Release Calendar'!K296&lt;&gt;"",'Release Calendar'!K296,"")</f>
        <v/>
      </c>
      <c r="D296" s="33" t="str">
        <f>IF('Release Calendar'!M296&lt;&gt;"",'Release Calendar'!M296,"")</f>
        <v/>
      </c>
      <c r="E296" s="34" t="str">
        <f>IF(AND(Q296&lt;&gt;"",R296&lt;&gt;"",DATE(2026,2,0)&gt;=Q296,DATE(2026,1,1)&lt;=R296),"█","")</f>
        <v/>
      </c>
      <c r="F296" s="34" t="str">
        <f>IF(AND(Q296&lt;&gt;"",R296&lt;&gt;"",DATE(2026,3,0)&gt;=Q296,DATE(2026,2,1)&lt;=R296),"█","")</f>
        <v/>
      </c>
      <c r="G296" s="34" t="str">
        <f>IF(AND(Q296&lt;&gt;"",R296&lt;&gt;"",DATE(2026,4,0)&gt;=Q296,DATE(2026,3,1)&lt;=R296),"█","")</f>
        <v/>
      </c>
      <c r="H296" s="34" t="str">
        <f>IF(AND(Q296&lt;&gt;"",R296&lt;&gt;"",DATE(2026,5,0)&gt;=Q296,DATE(2026,4,1)&lt;=R296),"█","")</f>
        <v/>
      </c>
      <c r="I296" s="34" t="str">
        <f>IF(AND(Q296&lt;&gt;"",R296&lt;&gt;"",DATE(2026,6,0)&gt;=Q296,DATE(2026,5,1)&lt;=R296),"█","")</f>
        <v/>
      </c>
      <c r="J296" s="34" t="str">
        <f>IF(AND(Q296&lt;&gt;"",R296&lt;&gt;"",DATE(2026,7,0)&gt;=Q296,DATE(2026,6,1)&lt;=R296),"█","")</f>
        <v/>
      </c>
      <c r="K296" s="34" t="str">
        <f>IF(AND(Q296&lt;&gt;"",R296&lt;&gt;"",DATE(2026,8,0)&gt;=Q296,DATE(2026,7,1)&lt;=R296),"█","")</f>
        <v/>
      </c>
      <c r="L296" s="34" t="str">
        <f>IF(AND(Q296&lt;&gt;"",R296&lt;&gt;"",DATE(2026,9,0)&gt;=Q296,DATE(2026,8,1)&lt;=R296),"█","")</f>
        <v/>
      </c>
      <c r="M296" s="34" t="str">
        <f>IF(AND(Q296&lt;&gt;"",R296&lt;&gt;"",DATE(2026,10,0)&gt;=Q296,DATE(2026,9,1)&lt;=R296),"█","")</f>
        <v/>
      </c>
      <c r="N296" s="34" t="str">
        <f>IF(AND(Q296&lt;&gt;"",R296&lt;&gt;"",DATE(2026,11,0)&gt;=Q296,DATE(2026,10,1)&lt;=R296),"█","")</f>
        <v/>
      </c>
      <c r="O296" s="34" t="str">
        <f>IF(AND(Q296&lt;&gt;"",R296&lt;&gt;"",DATE(2026,12,0)&gt;=Q296,DATE(2026,11,1)&lt;=R296),"█","")</f>
        <v/>
      </c>
      <c r="P296" s="34" t="str">
        <f>IF(AND(Q296&lt;&gt;"",R296&lt;&gt;"",DATE(2026,12,31)&gt;=Q296,DATE(2026,12,1)&lt;=R296),"█","")</f>
        <v/>
      </c>
      <c r="Q296" s="7" t="str">
        <f>IF('Release Calendar'!I296&lt;&gt;"",'Release Calendar'!I296,"")</f>
        <v/>
      </c>
      <c r="R296" s="7" t="str">
        <f>IF('Release Calendar'!J296&lt;&gt;"",'Release Calendar'!J296,"")</f>
        <v/>
      </c>
    </row>
    <row r="297" spans="1:18" ht="20.100000000000001" customHeight="1">
      <c r="A297" s="14">
        <v>293</v>
      </c>
      <c r="B297" s="28" t="str">
        <f>IF('Release Calendar'!B297&lt;&gt;"",'Release Calendar'!B297,"")</f>
        <v/>
      </c>
      <c r="C297" s="29" t="str">
        <f>IF('Release Calendar'!K297&lt;&gt;"",'Release Calendar'!K297,"")</f>
        <v/>
      </c>
      <c r="D297" s="29" t="str">
        <f>IF('Release Calendar'!M297&lt;&gt;"",'Release Calendar'!M297,"")</f>
        <v/>
      </c>
      <c r="E297" s="30" t="str">
        <f>IF(AND(Q297&lt;&gt;"",R297&lt;&gt;"",DATE(2026,2,0)&gt;=Q297,DATE(2026,1,1)&lt;=R297),"█","")</f>
        <v/>
      </c>
      <c r="F297" s="30" t="str">
        <f>IF(AND(Q297&lt;&gt;"",R297&lt;&gt;"",DATE(2026,3,0)&gt;=Q297,DATE(2026,2,1)&lt;=R297),"█","")</f>
        <v/>
      </c>
      <c r="G297" s="30" t="str">
        <f>IF(AND(Q297&lt;&gt;"",R297&lt;&gt;"",DATE(2026,4,0)&gt;=Q297,DATE(2026,3,1)&lt;=R297),"█","")</f>
        <v/>
      </c>
      <c r="H297" s="30" t="str">
        <f>IF(AND(Q297&lt;&gt;"",R297&lt;&gt;"",DATE(2026,5,0)&gt;=Q297,DATE(2026,4,1)&lt;=R297),"█","")</f>
        <v/>
      </c>
      <c r="I297" s="30" t="str">
        <f>IF(AND(Q297&lt;&gt;"",R297&lt;&gt;"",DATE(2026,6,0)&gt;=Q297,DATE(2026,5,1)&lt;=R297),"█","")</f>
        <v/>
      </c>
      <c r="J297" s="30" t="str">
        <f>IF(AND(Q297&lt;&gt;"",R297&lt;&gt;"",DATE(2026,7,0)&gt;=Q297,DATE(2026,6,1)&lt;=R297),"█","")</f>
        <v/>
      </c>
      <c r="K297" s="30" t="str">
        <f>IF(AND(Q297&lt;&gt;"",R297&lt;&gt;"",DATE(2026,8,0)&gt;=Q297,DATE(2026,7,1)&lt;=R297),"█","")</f>
        <v/>
      </c>
      <c r="L297" s="30" t="str">
        <f>IF(AND(Q297&lt;&gt;"",R297&lt;&gt;"",DATE(2026,9,0)&gt;=Q297,DATE(2026,8,1)&lt;=R297),"█","")</f>
        <v/>
      </c>
      <c r="M297" s="30" t="str">
        <f>IF(AND(Q297&lt;&gt;"",R297&lt;&gt;"",DATE(2026,10,0)&gt;=Q297,DATE(2026,9,1)&lt;=R297),"█","")</f>
        <v/>
      </c>
      <c r="N297" s="30" t="str">
        <f>IF(AND(Q297&lt;&gt;"",R297&lt;&gt;"",DATE(2026,11,0)&gt;=Q297,DATE(2026,10,1)&lt;=R297),"█","")</f>
        <v/>
      </c>
      <c r="O297" s="30" t="str">
        <f>IF(AND(Q297&lt;&gt;"",R297&lt;&gt;"",DATE(2026,12,0)&gt;=Q297,DATE(2026,11,1)&lt;=R297),"█","")</f>
        <v/>
      </c>
      <c r="P297" s="30" t="str">
        <f>IF(AND(Q297&lt;&gt;"",R297&lt;&gt;"",DATE(2026,12,31)&gt;=Q297,DATE(2026,12,1)&lt;=R297),"█","")</f>
        <v/>
      </c>
      <c r="Q297" s="7" t="str">
        <f>IF('Release Calendar'!I297&lt;&gt;"",'Release Calendar'!I297,"")</f>
        <v/>
      </c>
      <c r="R297" s="7" t="str">
        <f>IF('Release Calendar'!J297&lt;&gt;"",'Release Calendar'!J297,"")</f>
        <v/>
      </c>
    </row>
    <row r="298" spans="1:18" ht="20.100000000000001" customHeight="1">
      <c r="A298" s="31">
        <v>294</v>
      </c>
      <c r="B298" s="32" t="str">
        <f>IF('Release Calendar'!B298&lt;&gt;"",'Release Calendar'!B298,"")</f>
        <v/>
      </c>
      <c r="C298" s="33" t="str">
        <f>IF('Release Calendar'!K298&lt;&gt;"",'Release Calendar'!K298,"")</f>
        <v/>
      </c>
      <c r="D298" s="33" t="str">
        <f>IF('Release Calendar'!M298&lt;&gt;"",'Release Calendar'!M298,"")</f>
        <v/>
      </c>
      <c r="E298" s="34" t="str">
        <f>IF(AND(Q298&lt;&gt;"",R298&lt;&gt;"",DATE(2026,2,0)&gt;=Q298,DATE(2026,1,1)&lt;=R298),"█","")</f>
        <v/>
      </c>
      <c r="F298" s="34" t="str">
        <f>IF(AND(Q298&lt;&gt;"",R298&lt;&gt;"",DATE(2026,3,0)&gt;=Q298,DATE(2026,2,1)&lt;=R298),"█","")</f>
        <v/>
      </c>
      <c r="G298" s="34" t="str">
        <f>IF(AND(Q298&lt;&gt;"",R298&lt;&gt;"",DATE(2026,4,0)&gt;=Q298,DATE(2026,3,1)&lt;=R298),"█","")</f>
        <v/>
      </c>
      <c r="H298" s="34" t="str">
        <f>IF(AND(Q298&lt;&gt;"",R298&lt;&gt;"",DATE(2026,5,0)&gt;=Q298,DATE(2026,4,1)&lt;=R298),"█","")</f>
        <v/>
      </c>
      <c r="I298" s="34" t="str">
        <f>IF(AND(Q298&lt;&gt;"",R298&lt;&gt;"",DATE(2026,6,0)&gt;=Q298,DATE(2026,5,1)&lt;=R298),"█","")</f>
        <v/>
      </c>
      <c r="J298" s="34" t="str">
        <f>IF(AND(Q298&lt;&gt;"",R298&lt;&gt;"",DATE(2026,7,0)&gt;=Q298,DATE(2026,6,1)&lt;=R298),"█","")</f>
        <v/>
      </c>
      <c r="K298" s="34" t="str">
        <f>IF(AND(Q298&lt;&gt;"",R298&lt;&gt;"",DATE(2026,8,0)&gt;=Q298,DATE(2026,7,1)&lt;=R298),"█","")</f>
        <v/>
      </c>
      <c r="L298" s="34" t="str">
        <f>IF(AND(Q298&lt;&gt;"",R298&lt;&gt;"",DATE(2026,9,0)&gt;=Q298,DATE(2026,8,1)&lt;=R298),"█","")</f>
        <v/>
      </c>
      <c r="M298" s="34" t="str">
        <f>IF(AND(Q298&lt;&gt;"",R298&lt;&gt;"",DATE(2026,10,0)&gt;=Q298,DATE(2026,9,1)&lt;=R298),"█","")</f>
        <v/>
      </c>
      <c r="N298" s="34" t="str">
        <f>IF(AND(Q298&lt;&gt;"",R298&lt;&gt;"",DATE(2026,11,0)&gt;=Q298,DATE(2026,10,1)&lt;=R298),"█","")</f>
        <v/>
      </c>
      <c r="O298" s="34" t="str">
        <f>IF(AND(Q298&lt;&gt;"",R298&lt;&gt;"",DATE(2026,12,0)&gt;=Q298,DATE(2026,11,1)&lt;=R298),"█","")</f>
        <v/>
      </c>
      <c r="P298" s="34" t="str">
        <f>IF(AND(Q298&lt;&gt;"",R298&lt;&gt;"",DATE(2026,12,31)&gt;=Q298,DATE(2026,12,1)&lt;=R298),"█","")</f>
        <v/>
      </c>
      <c r="Q298" s="7" t="str">
        <f>IF('Release Calendar'!I298&lt;&gt;"",'Release Calendar'!I298,"")</f>
        <v/>
      </c>
      <c r="R298" s="7" t="str">
        <f>IF('Release Calendar'!J298&lt;&gt;"",'Release Calendar'!J298,"")</f>
        <v/>
      </c>
    </row>
    <row r="299" spans="1:18" ht="20.100000000000001" customHeight="1">
      <c r="A299" s="14">
        <v>295</v>
      </c>
      <c r="B299" s="28" t="str">
        <f>IF('Release Calendar'!B299&lt;&gt;"",'Release Calendar'!B299,"")</f>
        <v/>
      </c>
      <c r="C299" s="29" t="str">
        <f>IF('Release Calendar'!K299&lt;&gt;"",'Release Calendar'!K299,"")</f>
        <v/>
      </c>
      <c r="D299" s="29" t="str">
        <f>IF('Release Calendar'!M299&lt;&gt;"",'Release Calendar'!M299,"")</f>
        <v/>
      </c>
      <c r="E299" s="30" t="str">
        <f>IF(AND(Q299&lt;&gt;"",R299&lt;&gt;"",DATE(2026,2,0)&gt;=Q299,DATE(2026,1,1)&lt;=R299),"█","")</f>
        <v/>
      </c>
      <c r="F299" s="30" t="str">
        <f>IF(AND(Q299&lt;&gt;"",R299&lt;&gt;"",DATE(2026,3,0)&gt;=Q299,DATE(2026,2,1)&lt;=R299),"█","")</f>
        <v/>
      </c>
      <c r="G299" s="30" t="str">
        <f>IF(AND(Q299&lt;&gt;"",R299&lt;&gt;"",DATE(2026,4,0)&gt;=Q299,DATE(2026,3,1)&lt;=R299),"█","")</f>
        <v/>
      </c>
      <c r="H299" s="30" t="str">
        <f>IF(AND(Q299&lt;&gt;"",R299&lt;&gt;"",DATE(2026,5,0)&gt;=Q299,DATE(2026,4,1)&lt;=R299),"█","")</f>
        <v/>
      </c>
      <c r="I299" s="30" t="str">
        <f>IF(AND(Q299&lt;&gt;"",R299&lt;&gt;"",DATE(2026,6,0)&gt;=Q299,DATE(2026,5,1)&lt;=R299),"█","")</f>
        <v/>
      </c>
      <c r="J299" s="30" t="str">
        <f>IF(AND(Q299&lt;&gt;"",R299&lt;&gt;"",DATE(2026,7,0)&gt;=Q299,DATE(2026,6,1)&lt;=R299),"█","")</f>
        <v/>
      </c>
      <c r="K299" s="30" t="str">
        <f>IF(AND(Q299&lt;&gt;"",R299&lt;&gt;"",DATE(2026,8,0)&gt;=Q299,DATE(2026,7,1)&lt;=R299),"█","")</f>
        <v/>
      </c>
      <c r="L299" s="30" t="str">
        <f>IF(AND(Q299&lt;&gt;"",R299&lt;&gt;"",DATE(2026,9,0)&gt;=Q299,DATE(2026,8,1)&lt;=R299),"█","")</f>
        <v/>
      </c>
      <c r="M299" s="30" t="str">
        <f>IF(AND(Q299&lt;&gt;"",R299&lt;&gt;"",DATE(2026,10,0)&gt;=Q299,DATE(2026,9,1)&lt;=R299),"█","")</f>
        <v/>
      </c>
      <c r="N299" s="30" t="str">
        <f>IF(AND(Q299&lt;&gt;"",R299&lt;&gt;"",DATE(2026,11,0)&gt;=Q299,DATE(2026,10,1)&lt;=R299),"█","")</f>
        <v/>
      </c>
      <c r="O299" s="30" t="str">
        <f>IF(AND(Q299&lt;&gt;"",R299&lt;&gt;"",DATE(2026,12,0)&gt;=Q299,DATE(2026,11,1)&lt;=R299),"█","")</f>
        <v/>
      </c>
      <c r="P299" s="30" t="str">
        <f>IF(AND(Q299&lt;&gt;"",R299&lt;&gt;"",DATE(2026,12,31)&gt;=Q299,DATE(2026,12,1)&lt;=R299),"█","")</f>
        <v/>
      </c>
      <c r="Q299" s="7" t="str">
        <f>IF('Release Calendar'!I299&lt;&gt;"",'Release Calendar'!I299,"")</f>
        <v/>
      </c>
      <c r="R299" s="7" t="str">
        <f>IF('Release Calendar'!J299&lt;&gt;"",'Release Calendar'!J299,"")</f>
        <v/>
      </c>
    </row>
    <row r="300" spans="1:18" ht="20.100000000000001" customHeight="1">
      <c r="A300" s="31">
        <v>296</v>
      </c>
      <c r="B300" s="32" t="str">
        <f>IF('Release Calendar'!B300&lt;&gt;"",'Release Calendar'!B300,"")</f>
        <v/>
      </c>
      <c r="C300" s="33" t="str">
        <f>IF('Release Calendar'!K300&lt;&gt;"",'Release Calendar'!K300,"")</f>
        <v/>
      </c>
      <c r="D300" s="33" t="str">
        <f>IF('Release Calendar'!M300&lt;&gt;"",'Release Calendar'!M300,"")</f>
        <v/>
      </c>
      <c r="E300" s="34" t="str">
        <f>IF(AND(Q300&lt;&gt;"",R300&lt;&gt;"",DATE(2026,2,0)&gt;=Q300,DATE(2026,1,1)&lt;=R300),"█","")</f>
        <v/>
      </c>
      <c r="F300" s="34" t="str">
        <f>IF(AND(Q300&lt;&gt;"",R300&lt;&gt;"",DATE(2026,3,0)&gt;=Q300,DATE(2026,2,1)&lt;=R300),"█","")</f>
        <v/>
      </c>
      <c r="G300" s="34" t="str">
        <f>IF(AND(Q300&lt;&gt;"",R300&lt;&gt;"",DATE(2026,4,0)&gt;=Q300,DATE(2026,3,1)&lt;=R300),"█","")</f>
        <v/>
      </c>
      <c r="H300" s="34" t="str">
        <f>IF(AND(Q300&lt;&gt;"",R300&lt;&gt;"",DATE(2026,5,0)&gt;=Q300,DATE(2026,4,1)&lt;=R300),"█","")</f>
        <v/>
      </c>
      <c r="I300" s="34" t="str">
        <f>IF(AND(Q300&lt;&gt;"",R300&lt;&gt;"",DATE(2026,6,0)&gt;=Q300,DATE(2026,5,1)&lt;=R300),"█","")</f>
        <v/>
      </c>
      <c r="J300" s="34" t="str">
        <f>IF(AND(Q300&lt;&gt;"",R300&lt;&gt;"",DATE(2026,7,0)&gt;=Q300,DATE(2026,6,1)&lt;=R300),"█","")</f>
        <v/>
      </c>
      <c r="K300" s="34" t="str">
        <f>IF(AND(Q300&lt;&gt;"",R300&lt;&gt;"",DATE(2026,8,0)&gt;=Q300,DATE(2026,7,1)&lt;=R300),"█","")</f>
        <v/>
      </c>
      <c r="L300" s="34" t="str">
        <f>IF(AND(Q300&lt;&gt;"",R300&lt;&gt;"",DATE(2026,9,0)&gt;=Q300,DATE(2026,8,1)&lt;=R300),"█","")</f>
        <v/>
      </c>
      <c r="M300" s="34" t="str">
        <f>IF(AND(Q300&lt;&gt;"",R300&lt;&gt;"",DATE(2026,10,0)&gt;=Q300,DATE(2026,9,1)&lt;=R300),"█","")</f>
        <v/>
      </c>
      <c r="N300" s="34" t="str">
        <f>IF(AND(Q300&lt;&gt;"",R300&lt;&gt;"",DATE(2026,11,0)&gt;=Q300,DATE(2026,10,1)&lt;=R300),"█","")</f>
        <v/>
      </c>
      <c r="O300" s="34" t="str">
        <f>IF(AND(Q300&lt;&gt;"",R300&lt;&gt;"",DATE(2026,12,0)&gt;=Q300,DATE(2026,11,1)&lt;=R300),"█","")</f>
        <v/>
      </c>
      <c r="P300" s="34" t="str">
        <f>IF(AND(Q300&lt;&gt;"",R300&lt;&gt;"",DATE(2026,12,31)&gt;=Q300,DATE(2026,12,1)&lt;=R300),"█","")</f>
        <v/>
      </c>
      <c r="Q300" s="7" t="str">
        <f>IF('Release Calendar'!I300&lt;&gt;"",'Release Calendar'!I300,"")</f>
        <v/>
      </c>
      <c r="R300" s="7" t="str">
        <f>IF('Release Calendar'!J300&lt;&gt;"",'Release Calendar'!J300,"")</f>
        <v/>
      </c>
    </row>
    <row r="301" spans="1:18" ht="20.100000000000001" customHeight="1">
      <c r="A301" s="14">
        <v>297</v>
      </c>
      <c r="B301" s="28" t="str">
        <f>IF('Release Calendar'!B301&lt;&gt;"",'Release Calendar'!B301,"")</f>
        <v/>
      </c>
      <c r="C301" s="29" t="str">
        <f>IF('Release Calendar'!K301&lt;&gt;"",'Release Calendar'!K301,"")</f>
        <v/>
      </c>
      <c r="D301" s="29" t="str">
        <f>IF('Release Calendar'!M301&lt;&gt;"",'Release Calendar'!M301,"")</f>
        <v/>
      </c>
      <c r="E301" s="30" t="str">
        <f>IF(AND(Q301&lt;&gt;"",R301&lt;&gt;"",DATE(2026,2,0)&gt;=Q301,DATE(2026,1,1)&lt;=R301),"█","")</f>
        <v/>
      </c>
      <c r="F301" s="30" t="str">
        <f>IF(AND(Q301&lt;&gt;"",R301&lt;&gt;"",DATE(2026,3,0)&gt;=Q301,DATE(2026,2,1)&lt;=R301),"█","")</f>
        <v/>
      </c>
      <c r="G301" s="30" t="str">
        <f>IF(AND(Q301&lt;&gt;"",R301&lt;&gt;"",DATE(2026,4,0)&gt;=Q301,DATE(2026,3,1)&lt;=R301),"█","")</f>
        <v/>
      </c>
      <c r="H301" s="30" t="str">
        <f>IF(AND(Q301&lt;&gt;"",R301&lt;&gt;"",DATE(2026,5,0)&gt;=Q301,DATE(2026,4,1)&lt;=R301),"█","")</f>
        <v/>
      </c>
      <c r="I301" s="30" t="str">
        <f>IF(AND(Q301&lt;&gt;"",R301&lt;&gt;"",DATE(2026,6,0)&gt;=Q301,DATE(2026,5,1)&lt;=R301),"█","")</f>
        <v/>
      </c>
      <c r="J301" s="30" t="str">
        <f>IF(AND(Q301&lt;&gt;"",R301&lt;&gt;"",DATE(2026,7,0)&gt;=Q301,DATE(2026,6,1)&lt;=R301),"█","")</f>
        <v/>
      </c>
      <c r="K301" s="30" t="str">
        <f>IF(AND(Q301&lt;&gt;"",R301&lt;&gt;"",DATE(2026,8,0)&gt;=Q301,DATE(2026,7,1)&lt;=R301),"█","")</f>
        <v/>
      </c>
      <c r="L301" s="30" t="str">
        <f>IF(AND(Q301&lt;&gt;"",R301&lt;&gt;"",DATE(2026,9,0)&gt;=Q301,DATE(2026,8,1)&lt;=R301),"█","")</f>
        <v/>
      </c>
      <c r="M301" s="30" t="str">
        <f>IF(AND(Q301&lt;&gt;"",R301&lt;&gt;"",DATE(2026,10,0)&gt;=Q301,DATE(2026,9,1)&lt;=R301),"█","")</f>
        <v/>
      </c>
      <c r="N301" s="30" t="str">
        <f>IF(AND(Q301&lt;&gt;"",R301&lt;&gt;"",DATE(2026,11,0)&gt;=Q301,DATE(2026,10,1)&lt;=R301),"█","")</f>
        <v/>
      </c>
      <c r="O301" s="30" t="str">
        <f>IF(AND(Q301&lt;&gt;"",R301&lt;&gt;"",DATE(2026,12,0)&gt;=Q301,DATE(2026,11,1)&lt;=R301),"█","")</f>
        <v/>
      </c>
      <c r="P301" s="30" t="str">
        <f>IF(AND(Q301&lt;&gt;"",R301&lt;&gt;"",DATE(2026,12,31)&gt;=Q301,DATE(2026,12,1)&lt;=R301),"█","")</f>
        <v/>
      </c>
      <c r="Q301" s="7" t="str">
        <f>IF('Release Calendar'!I301&lt;&gt;"",'Release Calendar'!I301,"")</f>
        <v/>
      </c>
      <c r="R301" s="7" t="str">
        <f>IF('Release Calendar'!J301&lt;&gt;"",'Release Calendar'!J301,"")</f>
        <v/>
      </c>
    </row>
    <row r="302" spans="1:18" ht="20.100000000000001" customHeight="1">
      <c r="A302" s="31">
        <v>298</v>
      </c>
      <c r="B302" s="32" t="str">
        <f>IF('Release Calendar'!B302&lt;&gt;"",'Release Calendar'!B302,"")</f>
        <v/>
      </c>
      <c r="C302" s="33" t="str">
        <f>IF('Release Calendar'!K302&lt;&gt;"",'Release Calendar'!K302,"")</f>
        <v/>
      </c>
      <c r="D302" s="33" t="str">
        <f>IF('Release Calendar'!M302&lt;&gt;"",'Release Calendar'!M302,"")</f>
        <v/>
      </c>
      <c r="E302" s="34" t="str">
        <f>IF(AND(Q302&lt;&gt;"",R302&lt;&gt;"",DATE(2026,2,0)&gt;=Q302,DATE(2026,1,1)&lt;=R302),"█","")</f>
        <v/>
      </c>
      <c r="F302" s="34" t="str">
        <f>IF(AND(Q302&lt;&gt;"",R302&lt;&gt;"",DATE(2026,3,0)&gt;=Q302,DATE(2026,2,1)&lt;=R302),"█","")</f>
        <v/>
      </c>
      <c r="G302" s="34" t="str">
        <f>IF(AND(Q302&lt;&gt;"",R302&lt;&gt;"",DATE(2026,4,0)&gt;=Q302,DATE(2026,3,1)&lt;=R302),"█","")</f>
        <v/>
      </c>
      <c r="H302" s="34" t="str">
        <f>IF(AND(Q302&lt;&gt;"",R302&lt;&gt;"",DATE(2026,5,0)&gt;=Q302,DATE(2026,4,1)&lt;=R302),"█","")</f>
        <v/>
      </c>
      <c r="I302" s="34" t="str">
        <f>IF(AND(Q302&lt;&gt;"",R302&lt;&gt;"",DATE(2026,6,0)&gt;=Q302,DATE(2026,5,1)&lt;=R302),"█","")</f>
        <v/>
      </c>
      <c r="J302" s="34" t="str">
        <f>IF(AND(Q302&lt;&gt;"",R302&lt;&gt;"",DATE(2026,7,0)&gt;=Q302,DATE(2026,6,1)&lt;=R302),"█","")</f>
        <v/>
      </c>
      <c r="K302" s="34" t="str">
        <f>IF(AND(Q302&lt;&gt;"",R302&lt;&gt;"",DATE(2026,8,0)&gt;=Q302,DATE(2026,7,1)&lt;=R302),"█","")</f>
        <v/>
      </c>
      <c r="L302" s="34" t="str">
        <f>IF(AND(Q302&lt;&gt;"",R302&lt;&gt;"",DATE(2026,9,0)&gt;=Q302,DATE(2026,8,1)&lt;=R302),"█","")</f>
        <v/>
      </c>
      <c r="M302" s="34" t="str">
        <f>IF(AND(Q302&lt;&gt;"",R302&lt;&gt;"",DATE(2026,10,0)&gt;=Q302,DATE(2026,9,1)&lt;=R302),"█","")</f>
        <v/>
      </c>
      <c r="N302" s="34" t="str">
        <f>IF(AND(Q302&lt;&gt;"",R302&lt;&gt;"",DATE(2026,11,0)&gt;=Q302,DATE(2026,10,1)&lt;=R302),"█","")</f>
        <v/>
      </c>
      <c r="O302" s="34" t="str">
        <f>IF(AND(Q302&lt;&gt;"",R302&lt;&gt;"",DATE(2026,12,0)&gt;=Q302,DATE(2026,11,1)&lt;=R302),"█","")</f>
        <v/>
      </c>
      <c r="P302" s="34" t="str">
        <f>IF(AND(Q302&lt;&gt;"",R302&lt;&gt;"",DATE(2026,12,31)&gt;=Q302,DATE(2026,12,1)&lt;=R302),"█","")</f>
        <v/>
      </c>
      <c r="Q302" s="7" t="str">
        <f>IF('Release Calendar'!I302&lt;&gt;"",'Release Calendar'!I302,"")</f>
        <v/>
      </c>
      <c r="R302" s="7" t="str">
        <f>IF('Release Calendar'!J302&lt;&gt;"",'Release Calendar'!J302,"")</f>
        <v/>
      </c>
    </row>
    <row r="303" spans="1:18" ht="20.100000000000001" customHeight="1">
      <c r="A303" s="14">
        <v>299</v>
      </c>
      <c r="B303" s="28" t="str">
        <f>IF('Release Calendar'!B303&lt;&gt;"",'Release Calendar'!B303,"")</f>
        <v/>
      </c>
      <c r="C303" s="29" t="str">
        <f>IF('Release Calendar'!K303&lt;&gt;"",'Release Calendar'!K303,"")</f>
        <v/>
      </c>
      <c r="D303" s="29" t="str">
        <f>IF('Release Calendar'!M303&lt;&gt;"",'Release Calendar'!M303,"")</f>
        <v/>
      </c>
      <c r="E303" s="30" t="str">
        <f>IF(AND(Q303&lt;&gt;"",R303&lt;&gt;"",DATE(2026,2,0)&gt;=Q303,DATE(2026,1,1)&lt;=R303),"█","")</f>
        <v/>
      </c>
      <c r="F303" s="30" t="str">
        <f>IF(AND(Q303&lt;&gt;"",R303&lt;&gt;"",DATE(2026,3,0)&gt;=Q303,DATE(2026,2,1)&lt;=R303),"█","")</f>
        <v/>
      </c>
      <c r="G303" s="30" t="str">
        <f>IF(AND(Q303&lt;&gt;"",R303&lt;&gt;"",DATE(2026,4,0)&gt;=Q303,DATE(2026,3,1)&lt;=R303),"█","")</f>
        <v/>
      </c>
      <c r="H303" s="30" t="str">
        <f>IF(AND(Q303&lt;&gt;"",R303&lt;&gt;"",DATE(2026,5,0)&gt;=Q303,DATE(2026,4,1)&lt;=R303),"█","")</f>
        <v/>
      </c>
      <c r="I303" s="30" t="str">
        <f>IF(AND(Q303&lt;&gt;"",R303&lt;&gt;"",DATE(2026,6,0)&gt;=Q303,DATE(2026,5,1)&lt;=R303),"█","")</f>
        <v/>
      </c>
      <c r="J303" s="30" t="str">
        <f>IF(AND(Q303&lt;&gt;"",R303&lt;&gt;"",DATE(2026,7,0)&gt;=Q303,DATE(2026,6,1)&lt;=R303),"█","")</f>
        <v/>
      </c>
      <c r="K303" s="30" t="str">
        <f>IF(AND(Q303&lt;&gt;"",R303&lt;&gt;"",DATE(2026,8,0)&gt;=Q303,DATE(2026,7,1)&lt;=R303),"█","")</f>
        <v/>
      </c>
      <c r="L303" s="30" t="str">
        <f>IF(AND(Q303&lt;&gt;"",R303&lt;&gt;"",DATE(2026,9,0)&gt;=Q303,DATE(2026,8,1)&lt;=R303),"█","")</f>
        <v/>
      </c>
      <c r="M303" s="30" t="str">
        <f>IF(AND(Q303&lt;&gt;"",R303&lt;&gt;"",DATE(2026,10,0)&gt;=Q303,DATE(2026,9,1)&lt;=R303),"█","")</f>
        <v/>
      </c>
      <c r="N303" s="30" t="str">
        <f>IF(AND(Q303&lt;&gt;"",R303&lt;&gt;"",DATE(2026,11,0)&gt;=Q303,DATE(2026,10,1)&lt;=R303),"█","")</f>
        <v/>
      </c>
      <c r="O303" s="30" t="str">
        <f>IF(AND(Q303&lt;&gt;"",R303&lt;&gt;"",DATE(2026,12,0)&gt;=Q303,DATE(2026,11,1)&lt;=R303),"█","")</f>
        <v/>
      </c>
      <c r="P303" s="30" t="str">
        <f>IF(AND(Q303&lt;&gt;"",R303&lt;&gt;"",DATE(2026,12,31)&gt;=Q303,DATE(2026,12,1)&lt;=R303),"█","")</f>
        <v/>
      </c>
      <c r="Q303" s="7" t="str">
        <f>IF('Release Calendar'!I303&lt;&gt;"",'Release Calendar'!I303,"")</f>
        <v/>
      </c>
      <c r="R303" s="7" t="str">
        <f>IF('Release Calendar'!J303&lt;&gt;"",'Release Calendar'!J303,"")</f>
        <v/>
      </c>
    </row>
    <row r="304" spans="1:18" ht="20.100000000000001" customHeight="1">
      <c r="A304" s="31">
        <v>300</v>
      </c>
      <c r="B304" s="32" t="str">
        <f>IF('Release Calendar'!B304&lt;&gt;"",'Release Calendar'!B304,"")</f>
        <v/>
      </c>
      <c r="C304" s="33" t="str">
        <f>IF('Release Calendar'!K304&lt;&gt;"",'Release Calendar'!K304,"")</f>
        <v/>
      </c>
      <c r="D304" s="33" t="str">
        <f>IF('Release Calendar'!M304&lt;&gt;"",'Release Calendar'!M304,"")</f>
        <v/>
      </c>
      <c r="E304" s="34" t="str">
        <f>IF(AND(Q304&lt;&gt;"",R304&lt;&gt;"",DATE(2026,2,0)&gt;=Q304,DATE(2026,1,1)&lt;=R304),"█","")</f>
        <v/>
      </c>
      <c r="F304" s="34" t="str">
        <f>IF(AND(Q304&lt;&gt;"",R304&lt;&gt;"",DATE(2026,3,0)&gt;=Q304,DATE(2026,2,1)&lt;=R304),"█","")</f>
        <v/>
      </c>
      <c r="G304" s="34" t="str">
        <f>IF(AND(Q304&lt;&gt;"",R304&lt;&gt;"",DATE(2026,4,0)&gt;=Q304,DATE(2026,3,1)&lt;=R304),"█","")</f>
        <v/>
      </c>
      <c r="H304" s="34" t="str">
        <f>IF(AND(Q304&lt;&gt;"",R304&lt;&gt;"",DATE(2026,5,0)&gt;=Q304,DATE(2026,4,1)&lt;=R304),"█","")</f>
        <v/>
      </c>
      <c r="I304" s="34" t="str">
        <f>IF(AND(Q304&lt;&gt;"",R304&lt;&gt;"",DATE(2026,6,0)&gt;=Q304,DATE(2026,5,1)&lt;=R304),"█","")</f>
        <v/>
      </c>
      <c r="J304" s="34" t="str">
        <f>IF(AND(Q304&lt;&gt;"",R304&lt;&gt;"",DATE(2026,7,0)&gt;=Q304,DATE(2026,6,1)&lt;=R304),"█","")</f>
        <v/>
      </c>
      <c r="K304" s="34" t="str">
        <f>IF(AND(Q304&lt;&gt;"",R304&lt;&gt;"",DATE(2026,8,0)&gt;=Q304,DATE(2026,7,1)&lt;=R304),"█","")</f>
        <v/>
      </c>
      <c r="L304" s="34" t="str">
        <f>IF(AND(Q304&lt;&gt;"",R304&lt;&gt;"",DATE(2026,9,0)&gt;=Q304,DATE(2026,8,1)&lt;=R304),"█","")</f>
        <v/>
      </c>
      <c r="M304" s="34" t="str">
        <f>IF(AND(Q304&lt;&gt;"",R304&lt;&gt;"",DATE(2026,10,0)&gt;=Q304,DATE(2026,9,1)&lt;=R304),"█","")</f>
        <v/>
      </c>
      <c r="N304" s="34" t="str">
        <f>IF(AND(Q304&lt;&gt;"",R304&lt;&gt;"",DATE(2026,11,0)&gt;=Q304,DATE(2026,10,1)&lt;=R304),"█","")</f>
        <v/>
      </c>
      <c r="O304" s="34" t="str">
        <f>IF(AND(Q304&lt;&gt;"",R304&lt;&gt;"",DATE(2026,12,0)&gt;=Q304,DATE(2026,11,1)&lt;=R304),"█","")</f>
        <v/>
      </c>
      <c r="P304" s="34" t="str">
        <f>IF(AND(Q304&lt;&gt;"",R304&lt;&gt;"",DATE(2026,12,31)&gt;=Q304,DATE(2026,12,1)&lt;=R304),"█","")</f>
        <v/>
      </c>
      <c r="Q304" s="7" t="str">
        <f>IF('Release Calendar'!I304&lt;&gt;"",'Release Calendar'!I304,"")</f>
        <v/>
      </c>
      <c r="R304" s="7" t="str">
        <f>IF('Release Calendar'!J304&lt;&gt;"",'Release Calendar'!J304,"")</f>
        <v/>
      </c>
    </row>
    <row r="305" spans="1:18" ht="20.100000000000001" customHeight="1">
      <c r="A305" s="14">
        <v>301</v>
      </c>
      <c r="B305" s="28" t="str">
        <f>IF('Release Calendar'!B305&lt;&gt;"",'Release Calendar'!B305,"")</f>
        <v/>
      </c>
      <c r="C305" s="29" t="str">
        <f>IF('Release Calendar'!K305&lt;&gt;"",'Release Calendar'!K305,"")</f>
        <v/>
      </c>
      <c r="D305" s="29" t="str">
        <f>IF('Release Calendar'!M305&lt;&gt;"",'Release Calendar'!M305,"")</f>
        <v/>
      </c>
      <c r="E305" s="30" t="str">
        <f>IF(AND(Q305&lt;&gt;"",R305&lt;&gt;"",DATE(2026,2,0)&gt;=Q305,DATE(2026,1,1)&lt;=R305),"█","")</f>
        <v/>
      </c>
      <c r="F305" s="30" t="str">
        <f>IF(AND(Q305&lt;&gt;"",R305&lt;&gt;"",DATE(2026,3,0)&gt;=Q305,DATE(2026,2,1)&lt;=R305),"█","")</f>
        <v/>
      </c>
      <c r="G305" s="30" t="str">
        <f>IF(AND(Q305&lt;&gt;"",R305&lt;&gt;"",DATE(2026,4,0)&gt;=Q305,DATE(2026,3,1)&lt;=R305),"█","")</f>
        <v/>
      </c>
      <c r="H305" s="30" t="str">
        <f>IF(AND(Q305&lt;&gt;"",R305&lt;&gt;"",DATE(2026,5,0)&gt;=Q305,DATE(2026,4,1)&lt;=R305),"█","")</f>
        <v/>
      </c>
      <c r="I305" s="30" t="str">
        <f>IF(AND(Q305&lt;&gt;"",R305&lt;&gt;"",DATE(2026,6,0)&gt;=Q305,DATE(2026,5,1)&lt;=R305),"█","")</f>
        <v/>
      </c>
      <c r="J305" s="30" t="str">
        <f>IF(AND(Q305&lt;&gt;"",R305&lt;&gt;"",DATE(2026,7,0)&gt;=Q305,DATE(2026,6,1)&lt;=R305),"█","")</f>
        <v/>
      </c>
      <c r="K305" s="30" t="str">
        <f>IF(AND(Q305&lt;&gt;"",R305&lt;&gt;"",DATE(2026,8,0)&gt;=Q305,DATE(2026,7,1)&lt;=R305),"█","")</f>
        <v/>
      </c>
      <c r="L305" s="30" t="str">
        <f>IF(AND(Q305&lt;&gt;"",R305&lt;&gt;"",DATE(2026,9,0)&gt;=Q305,DATE(2026,8,1)&lt;=R305),"█","")</f>
        <v/>
      </c>
      <c r="M305" s="30" t="str">
        <f>IF(AND(Q305&lt;&gt;"",R305&lt;&gt;"",DATE(2026,10,0)&gt;=Q305,DATE(2026,9,1)&lt;=R305),"█","")</f>
        <v/>
      </c>
      <c r="N305" s="30" t="str">
        <f>IF(AND(Q305&lt;&gt;"",R305&lt;&gt;"",DATE(2026,11,0)&gt;=Q305,DATE(2026,10,1)&lt;=R305),"█","")</f>
        <v/>
      </c>
      <c r="O305" s="30" t="str">
        <f>IF(AND(Q305&lt;&gt;"",R305&lt;&gt;"",DATE(2026,12,0)&gt;=Q305,DATE(2026,11,1)&lt;=R305),"█","")</f>
        <v/>
      </c>
      <c r="P305" s="30" t="str">
        <f>IF(AND(Q305&lt;&gt;"",R305&lt;&gt;"",DATE(2026,12,31)&gt;=Q305,DATE(2026,12,1)&lt;=R305),"█","")</f>
        <v/>
      </c>
      <c r="Q305" s="7" t="str">
        <f>IF('Release Calendar'!I305&lt;&gt;"",'Release Calendar'!I305,"")</f>
        <v/>
      </c>
      <c r="R305" s="7" t="str">
        <f>IF('Release Calendar'!J305&lt;&gt;"",'Release Calendar'!J305,"")</f>
        <v/>
      </c>
    </row>
    <row r="306" spans="1:18" ht="20.100000000000001" customHeight="1">
      <c r="A306" s="31">
        <v>302</v>
      </c>
      <c r="B306" s="32" t="str">
        <f>IF('Release Calendar'!B306&lt;&gt;"",'Release Calendar'!B306,"")</f>
        <v/>
      </c>
      <c r="C306" s="33" t="str">
        <f>IF('Release Calendar'!K306&lt;&gt;"",'Release Calendar'!K306,"")</f>
        <v/>
      </c>
      <c r="D306" s="33" t="str">
        <f>IF('Release Calendar'!M306&lt;&gt;"",'Release Calendar'!M306,"")</f>
        <v/>
      </c>
      <c r="E306" s="34" t="str">
        <f>IF(AND(Q306&lt;&gt;"",R306&lt;&gt;"",DATE(2026,2,0)&gt;=Q306,DATE(2026,1,1)&lt;=R306),"█","")</f>
        <v/>
      </c>
      <c r="F306" s="34" t="str">
        <f>IF(AND(Q306&lt;&gt;"",R306&lt;&gt;"",DATE(2026,3,0)&gt;=Q306,DATE(2026,2,1)&lt;=R306),"█","")</f>
        <v/>
      </c>
      <c r="G306" s="34" t="str">
        <f>IF(AND(Q306&lt;&gt;"",R306&lt;&gt;"",DATE(2026,4,0)&gt;=Q306,DATE(2026,3,1)&lt;=R306),"█","")</f>
        <v/>
      </c>
      <c r="H306" s="34" t="str">
        <f>IF(AND(Q306&lt;&gt;"",R306&lt;&gt;"",DATE(2026,5,0)&gt;=Q306,DATE(2026,4,1)&lt;=R306),"█","")</f>
        <v/>
      </c>
      <c r="I306" s="34" t="str">
        <f>IF(AND(Q306&lt;&gt;"",R306&lt;&gt;"",DATE(2026,6,0)&gt;=Q306,DATE(2026,5,1)&lt;=R306),"█","")</f>
        <v/>
      </c>
      <c r="J306" s="34" t="str">
        <f>IF(AND(Q306&lt;&gt;"",R306&lt;&gt;"",DATE(2026,7,0)&gt;=Q306,DATE(2026,6,1)&lt;=R306),"█","")</f>
        <v/>
      </c>
      <c r="K306" s="34" t="str">
        <f>IF(AND(Q306&lt;&gt;"",R306&lt;&gt;"",DATE(2026,8,0)&gt;=Q306,DATE(2026,7,1)&lt;=R306),"█","")</f>
        <v/>
      </c>
      <c r="L306" s="34" t="str">
        <f>IF(AND(Q306&lt;&gt;"",R306&lt;&gt;"",DATE(2026,9,0)&gt;=Q306,DATE(2026,8,1)&lt;=R306),"█","")</f>
        <v/>
      </c>
      <c r="M306" s="34" t="str">
        <f>IF(AND(Q306&lt;&gt;"",R306&lt;&gt;"",DATE(2026,10,0)&gt;=Q306,DATE(2026,9,1)&lt;=R306),"█","")</f>
        <v/>
      </c>
      <c r="N306" s="34" t="str">
        <f>IF(AND(Q306&lt;&gt;"",R306&lt;&gt;"",DATE(2026,11,0)&gt;=Q306,DATE(2026,10,1)&lt;=R306),"█","")</f>
        <v/>
      </c>
      <c r="O306" s="34" t="str">
        <f>IF(AND(Q306&lt;&gt;"",R306&lt;&gt;"",DATE(2026,12,0)&gt;=Q306,DATE(2026,11,1)&lt;=R306),"█","")</f>
        <v/>
      </c>
      <c r="P306" s="34" t="str">
        <f>IF(AND(Q306&lt;&gt;"",R306&lt;&gt;"",DATE(2026,12,31)&gt;=Q306,DATE(2026,12,1)&lt;=R306),"█","")</f>
        <v/>
      </c>
      <c r="Q306" s="7" t="str">
        <f>IF('Release Calendar'!I306&lt;&gt;"",'Release Calendar'!I306,"")</f>
        <v/>
      </c>
      <c r="R306" s="7" t="str">
        <f>IF('Release Calendar'!J306&lt;&gt;"",'Release Calendar'!J306,"")</f>
        <v/>
      </c>
    </row>
    <row r="307" spans="1:18" ht="20.100000000000001" customHeight="1">
      <c r="A307" s="14">
        <v>303</v>
      </c>
      <c r="B307" s="28" t="str">
        <f>IF('Release Calendar'!B307&lt;&gt;"",'Release Calendar'!B307,"")</f>
        <v/>
      </c>
      <c r="C307" s="29" t="str">
        <f>IF('Release Calendar'!K307&lt;&gt;"",'Release Calendar'!K307,"")</f>
        <v/>
      </c>
      <c r="D307" s="29" t="str">
        <f>IF('Release Calendar'!M307&lt;&gt;"",'Release Calendar'!M307,"")</f>
        <v/>
      </c>
      <c r="E307" s="30" t="str">
        <f>IF(AND(Q307&lt;&gt;"",R307&lt;&gt;"",DATE(2026,2,0)&gt;=Q307,DATE(2026,1,1)&lt;=R307),"█","")</f>
        <v/>
      </c>
      <c r="F307" s="30" t="str">
        <f>IF(AND(Q307&lt;&gt;"",R307&lt;&gt;"",DATE(2026,3,0)&gt;=Q307,DATE(2026,2,1)&lt;=R307),"█","")</f>
        <v/>
      </c>
      <c r="G307" s="30" t="str">
        <f>IF(AND(Q307&lt;&gt;"",R307&lt;&gt;"",DATE(2026,4,0)&gt;=Q307,DATE(2026,3,1)&lt;=R307),"█","")</f>
        <v/>
      </c>
      <c r="H307" s="30" t="str">
        <f>IF(AND(Q307&lt;&gt;"",R307&lt;&gt;"",DATE(2026,5,0)&gt;=Q307,DATE(2026,4,1)&lt;=R307),"█","")</f>
        <v/>
      </c>
      <c r="I307" s="30" t="str">
        <f>IF(AND(Q307&lt;&gt;"",R307&lt;&gt;"",DATE(2026,6,0)&gt;=Q307,DATE(2026,5,1)&lt;=R307),"█","")</f>
        <v/>
      </c>
      <c r="J307" s="30" t="str">
        <f>IF(AND(Q307&lt;&gt;"",R307&lt;&gt;"",DATE(2026,7,0)&gt;=Q307,DATE(2026,6,1)&lt;=R307),"█","")</f>
        <v/>
      </c>
      <c r="K307" s="30" t="str">
        <f>IF(AND(Q307&lt;&gt;"",R307&lt;&gt;"",DATE(2026,8,0)&gt;=Q307,DATE(2026,7,1)&lt;=R307),"█","")</f>
        <v/>
      </c>
      <c r="L307" s="30" t="str">
        <f>IF(AND(Q307&lt;&gt;"",R307&lt;&gt;"",DATE(2026,9,0)&gt;=Q307,DATE(2026,8,1)&lt;=R307),"█","")</f>
        <v/>
      </c>
      <c r="M307" s="30" t="str">
        <f>IF(AND(Q307&lt;&gt;"",R307&lt;&gt;"",DATE(2026,10,0)&gt;=Q307,DATE(2026,9,1)&lt;=R307),"█","")</f>
        <v/>
      </c>
      <c r="N307" s="30" t="str">
        <f>IF(AND(Q307&lt;&gt;"",R307&lt;&gt;"",DATE(2026,11,0)&gt;=Q307,DATE(2026,10,1)&lt;=R307),"█","")</f>
        <v/>
      </c>
      <c r="O307" s="30" t="str">
        <f>IF(AND(Q307&lt;&gt;"",R307&lt;&gt;"",DATE(2026,12,0)&gt;=Q307,DATE(2026,11,1)&lt;=R307),"█","")</f>
        <v/>
      </c>
      <c r="P307" s="30" t="str">
        <f>IF(AND(Q307&lt;&gt;"",R307&lt;&gt;"",DATE(2026,12,31)&gt;=Q307,DATE(2026,12,1)&lt;=R307),"█","")</f>
        <v/>
      </c>
      <c r="Q307" s="7" t="str">
        <f>IF('Release Calendar'!I307&lt;&gt;"",'Release Calendar'!I307,"")</f>
        <v/>
      </c>
      <c r="R307" s="7" t="str">
        <f>IF('Release Calendar'!J307&lt;&gt;"",'Release Calendar'!J307,"")</f>
        <v/>
      </c>
    </row>
    <row r="308" spans="1:18" ht="20.100000000000001" customHeight="1">
      <c r="A308" s="31">
        <v>304</v>
      </c>
      <c r="B308" s="32" t="str">
        <f>IF('Release Calendar'!B308&lt;&gt;"",'Release Calendar'!B308,"")</f>
        <v/>
      </c>
      <c r="C308" s="33" t="str">
        <f>IF('Release Calendar'!K308&lt;&gt;"",'Release Calendar'!K308,"")</f>
        <v/>
      </c>
      <c r="D308" s="33" t="str">
        <f>IF('Release Calendar'!M308&lt;&gt;"",'Release Calendar'!M308,"")</f>
        <v/>
      </c>
      <c r="E308" s="34" t="str">
        <f>IF(AND(Q308&lt;&gt;"",R308&lt;&gt;"",DATE(2026,2,0)&gt;=Q308,DATE(2026,1,1)&lt;=R308),"█","")</f>
        <v/>
      </c>
      <c r="F308" s="34" t="str">
        <f>IF(AND(Q308&lt;&gt;"",R308&lt;&gt;"",DATE(2026,3,0)&gt;=Q308,DATE(2026,2,1)&lt;=R308),"█","")</f>
        <v/>
      </c>
      <c r="G308" s="34" t="str">
        <f>IF(AND(Q308&lt;&gt;"",R308&lt;&gt;"",DATE(2026,4,0)&gt;=Q308,DATE(2026,3,1)&lt;=R308),"█","")</f>
        <v/>
      </c>
      <c r="H308" s="34" t="str">
        <f>IF(AND(Q308&lt;&gt;"",R308&lt;&gt;"",DATE(2026,5,0)&gt;=Q308,DATE(2026,4,1)&lt;=R308),"█","")</f>
        <v/>
      </c>
      <c r="I308" s="34" t="str">
        <f>IF(AND(Q308&lt;&gt;"",R308&lt;&gt;"",DATE(2026,6,0)&gt;=Q308,DATE(2026,5,1)&lt;=R308),"█","")</f>
        <v/>
      </c>
      <c r="J308" s="34" t="str">
        <f>IF(AND(Q308&lt;&gt;"",R308&lt;&gt;"",DATE(2026,7,0)&gt;=Q308,DATE(2026,6,1)&lt;=R308),"█","")</f>
        <v/>
      </c>
      <c r="K308" s="34" t="str">
        <f>IF(AND(Q308&lt;&gt;"",R308&lt;&gt;"",DATE(2026,8,0)&gt;=Q308,DATE(2026,7,1)&lt;=R308),"█","")</f>
        <v/>
      </c>
      <c r="L308" s="34" t="str">
        <f>IF(AND(Q308&lt;&gt;"",R308&lt;&gt;"",DATE(2026,9,0)&gt;=Q308,DATE(2026,8,1)&lt;=R308),"█","")</f>
        <v/>
      </c>
      <c r="M308" s="34" t="str">
        <f>IF(AND(Q308&lt;&gt;"",R308&lt;&gt;"",DATE(2026,10,0)&gt;=Q308,DATE(2026,9,1)&lt;=R308),"█","")</f>
        <v/>
      </c>
      <c r="N308" s="34" t="str">
        <f>IF(AND(Q308&lt;&gt;"",R308&lt;&gt;"",DATE(2026,11,0)&gt;=Q308,DATE(2026,10,1)&lt;=R308),"█","")</f>
        <v/>
      </c>
      <c r="O308" s="34" t="str">
        <f>IF(AND(Q308&lt;&gt;"",R308&lt;&gt;"",DATE(2026,12,0)&gt;=Q308,DATE(2026,11,1)&lt;=R308),"█","")</f>
        <v/>
      </c>
      <c r="P308" s="34" t="str">
        <f>IF(AND(Q308&lt;&gt;"",R308&lt;&gt;"",DATE(2026,12,31)&gt;=Q308,DATE(2026,12,1)&lt;=R308),"█","")</f>
        <v/>
      </c>
      <c r="Q308" s="7" t="str">
        <f>IF('Release Calendar'!I308&lt;&gt;"",'Release Calendar'!I308,"")</f>
        <v/>
      </c>
      <c r="R308" s="7" t="str">
        <f>IF('Release Calendar'!J308&lt;&gt;"",'Release Calendar'!J308,"")</f>
        <v/>
      </c>
    </row>
    <row r="309" spans="1:18" ht="20.100000000000001" customHeight="1">
      <c r="A309" s="14">
        <v>305</v>
      </c>
      <c r="B309" s="28" t="str">
        <f>IF('Release Calendar'!B309&lt;&gt;"",'Release Calendar'!B309,"")</f>
        <v/>
      </c>
      <c r="C309" s="29" t="str">
        <f>IF('Release Calendar'!K309&lt;&gt;"",'Release Calendar'!K309,"")</f>
        <v/>
      </c>
      <c r="D309" s="29" t="str">
        <f>IF('Release Calendar'!M309&lt;&gt;"",'Release Calendar'!M309,"")</f>
        <v/>
      </c>
      <c r="E309" s="30" t="str">
        <f>IF(AND(Q309&lt;&gt;"",R309&lt;&gt;"",DATE(2026,2,0)&gt;=Q309,DATE(2026,1,1)&lt;=R309),"█","")</f>
        <v/>
      </c>
      <c r="F309" s="30" t="str">
        <f>IF(AND(Q309&lt;&gt;"",R309&lt;&gt;"",DATE(2026,3,0)&gt;=Q309,DATE(2026,2,1)&lt;=R309),"█","")</f>
        <v/>
      </c>
      <c r="G309" s="30" t="str">
        <f>IF(AND(Q309&lt;&gt;"",R309&lt;&gt;"",DATE(2026,4,0)&gt;=Q309,DATE(2026,3,1)&lt;=R309),"█","")</f>
        <v/>
      </c>
      <c r="H309" s="30" t="str">
        <f>IF(AND(Q309&lt;&gt;"",R309&lt;&gt;"",DATE(2026,5,0)&gt;=Q309,DATE(2026,4,1)&lt;=R309),"█","")</f>
        <v/>
      </c>
      <c r="I309" s="30" t="str">
        <f>IF(AND(Q309&lt;&gt;"",R309&lt;&gt;"",DATE(2026,6,0)&gt;=Q309,DATE(2026,5,1)&lt;=R309),"█","")</f>
        <v/>
      </c>
      <c r="J309" s="30" t="str">
        <f>IF(AND(Q309&lt;&gt;"",R309&lt;&gt;"",DATE(2026,7,0)&gt;=Q309,DATE(2026,6,1)&lt;=R309),"█","")</f>
        <v/>
      </c>
      <c r="K309" s="30" t="str">
        <f>IF(AND(Q309&lt;&gt;"",R309&lt;&gt;"",DATE(2026,8,0)&gt;=Q309,DATE(2026,7,1)&lt;=R309),"█","")</f>
        <v/>
      </c>
      <c r="L309" s="30" t="str">
        <f>IF(AND(Q309&lt;&gt;"",R309&lt;&gt;"",DATE(2026,9,0)&gt;=Q309,DATE(2026,8,1)&lt;=R309),"█","")</f>
        <v/>
      </c>
      <c r="M309" s="30" t="str">
        <f>IF(AND(Q309&lt;&gt;"",R309&lt;&gt;"",DATE(2026,10,0)&gt;=Q309,DATE(2026,9,1)&lt;=R309),"█","")</f>
        <v/>
      </c>
      <c r="N309" s="30" t="str">
        <f>IF(AND(Q309&lt;&gt;"",R309&lt;&gt;"",DATE(2026,11,0)&gt;=Q309,DATE(2026,10,1)&lt;=R309),"█","")</f>
        <v/>
      </c>
      <c r="O309" s="30" t="str">
        <f>IF(AND(Q309&lt;&gt;"",R309&lt;&gt;"",DATE(2026,12,0)&gt;=Q309,DATE(2026,11,1)&lt;=R309),"█","")</f>
        <v/>
      </c>
      <c r="P309" s="30" t="str">
        <f>IF(AND(Q309&lt;&gt;"",R309&lt;&gt;"",DATE(2026,12,31)&gt;=Q309,DATE(2026,12,1)&lt;=R309),"█","")</f>
        <v/>
      </c>
      <c r="Q309" s="7" t="str">
        <f>IF('Release Calendar'!I309&lt;&gt;"",'Release Calendar'!I309,"")</f>
        <v/>
      </c>
      <c r="R309" s="7" t="str">
        <f>IF('Release Calendar'!J309&lt;&gt;"",'Release Calendar'!J309,"")</f>
        <v/>
      </c>
    </row>
    <row r="310" spans="1:18" ht="20.100000000000001" customHeight="1">
      <c r="A310" s="31">
        <v>306</v>
      </c>
      <c r="B310" s="32" t="str">
        <f>IF('Release Calendar'!B310&lt;&gt;"",'Release Calendar'!B310,"")</f>
        <v/>
      </c>
      <c r="C310" s="33" t="str">
        <f>IF('Release Calendar'!K310&lt;&gt;"",'Release Calendar'!K310,"")</f>
        <v/>
      </c>
      <c r="D310" s="33" t="str">
        <f>IF('Release Calendar'!M310&lt;&gt;"",'Release Calendar'!M310,"")</f>
        <v/>
      </c>
      <c r="E310" s="34" t="str">
        <f>IF(AND(Q310&lt;&gt;"",R310&lt;&gt;"",DATE(2026,2,0)&gt;=Q310,DATE(2026,1,1)&lt;=R310),"█","")</f>
        <v/>
      </c>
      <c r="F310" s="34" t="str">
        <f>IF(AND(Q310&lt;&gt;"",R310&lt;&gt;"",DATE(2026,3,0)&gt;=Q310,DATE(2026,2,1)&lt;=R310),"█","")</f>
        <v/>
      </c>
      <c r="G310" s="34" t="str">
        <f>IF(AND(Q310&lt;&gt;"",R310&lt;&gt;"",DATE(2026,4,0)&gt;=Q310,DATE(2026,3,1)&lt;=R310),"█","")</f>
        <v/>
      </c>
      <c r="H310" s="34" t="str">
        <f>IF(AND(Q310&lt;&gt;"",R310&lt;&gt;"",DATE(2026,5,0)&gt;=Q310,DATE(2026,4,1)&lt;=R310),"█","")</f>
        <v/>
      </c>
      <c r="I310" s="34" t="str">
        <f>IF(AND(Q310&lt;&gt;"",R310&lt;&gt;"",DATE(2026,6,0)&gt;=Q310,DATE(2026,5,1)&lt;=R310),"█","")</f>
        <v/>
      </c>
      <c r="J310" s="34" t="str">
        <f>IF(AND(Q310&lt;&gt;"",R310&lt;&gt;"",DATE(2026,7,0)&gt;=Q310,DATE(2026,6,1)&lt;=R310),"█","")</f>
        <v/>
      </c>
      <c r="K310" s="34" t="str">
        <f>IF(AND(Q310&lt;&gt;"",R310&lt;&gt;"",DATE(2026,8,0)&gt;=Q310,DATE(2026,7,1)&lt;=R310),"█","")</f>
        <v/>
      </c>
      <c r="L310" s="34" t="str">
        <f>IF(AND(Q310&lt;&gt;"",R310&lt;&gt;"",DATE(2026,9,0)&gt;=Q310,DATE(2026,8,1)&lt;=R310),"█","")</f>
        <v/>
      </c>
      <c r="M310" s="34" t="str">
        <f>IF(AND(Q310&lt;&gt;"",R310&lt;&gt;"",DATE(2026,10,0)&gt;=Q310,DATE(2026,9,1)&lt;=R310),"█","")</f>
        <v/>
      </c>
      <c r="N310" s="34" t="str">
        <f>IF(AND(Q310&lt;&gt;"",R310&lt;&gt;"",DATE(2026,11,0)&gt;=Q310,DATE(2026,10,1)&lt;=R310),"█","")</f>
        <v/>
      </c>
      <c r="O310" s="34" t="str">
        <f>IF(AND(Q310&lt;&gt;"",R310&lt;&gt;"",DATE(2026,12,0)&gt;=Q310,DATE(2026,11,1)&lt;=R310),"█","")</f>
        <v/>
      </c>
      <c r="P310" s="34" t="str">
        <f>IF(AND(Q310&lt;&gt;"",R310&lt;&gt;"",DATE(2026,12,31)&gt;=Q310,DATE(2026,12,1)&lt;=R310),"█","")</f>
        <v/>
      </c>
      <c r="Q310" s="7" t="str">
        <f>IF('Release Calendar'!I310&lt;&gt;"",'Release Calendar'!I310,"")</f>
        <v/>
      </c>
      <c r="R310" s="7" t="str">
        <f>IF('Release Calendar'!J310&lt;&gt;"",'Release Calendar'!J310,"")</f>
        <v/>
      </c>
    </row>
    <row r="311" spans="1:18" ht="20.100000000000001" customHeight="1">
      <c r="A311" s="14">
        <v>307</v>
      </c>
      <c r="B311" s="28" t="str">
        <f>IF('Release Calendar'!B311&lt;&gt;"",'Release Calendar'!B311,"")</f>
        <v/>
      </c>
      <c r="C311" s="29" t="str">
        <f>IF('Release Calendar'!K311&lt;&gt;"",'Release Calendar'!K311,"")</f>
        <v/>
      </c>
      <c r="D311" s="29" t="str">
        <f>IF('Release Calendar'!M311&lt;&gt;"",'Release Calendar'!M311,"")</f>
        <v/>
      </c>
      <c r="E311" s="30" t="str">
        <f>IF(AND(Q311&lt;&gt;"",R311&lt;&gt;"",DATE(2026,2,0)&gt;=Q311,DATE(2026,1,1)&lt;=R311),"█","")</f>
        <v/>
      </c>
      <c r="F311" s="30" t="str">
        <f>IF(AND(Q311&lt;&gt;"",R311&lt;&gt;"",DATE(2026,3,0)&gt;=Q311,DATE(2026,2,1)&lt;=R311),"█","")</f>
        <v/>
      </c>
      <c r="G311" s="30" t="str">
        <f>IF(AND(Q311&lt;&gt;"",R311&lt;&gt;"",DATE(2026,4,0)&gt;=Q311,DATE(2026,3,1)&lt;=R311),"█","")</f>
        <v/>
      </c>
      <c r="H311" s="30" t="str">
        <f>IF(AND(Q311&lt;&gt;"",R311&lt;&gt;"",DATE(2026,5,0)&gt;=Q311,DATE(2026,4,1)&lt;=R311),"█","")</f>
        <v/>
      </c>
      <c r="I311" s="30" t="str">
        <f>IF(AND(Q311&lt;&gt;"",R311&lt;&gt;"",DATE(2026,6,0)&gt;=Q311,DATE(2026,5,1)&lt;=R311),"█","")</f>
        <v/>
      </c>
      <c r="J311" s="30" t="str">
        <f>IF(AND(Q311&lt;&gt;"",R311&lt;&gt;"",DATE(2026,7,0)&gt;=Q311,DATE(2026,6,1)&lt;=R311),"█","")</f>
        <v/>
      </c>
      <c r="K311" s="30" t="str">
        <f>IF(AND(Q311&lt;&gt;"",R311&lt;&gt;"",DATE(2026,8,0)&gt;=Q311,DATE(2026,7,1)&lt;=R311),"█","")</f>
        <v/>
      </c>
      <c r="L311" s="30" t="str">
        <f>IF(AND(Q311&lt;&gt;"",R311&lt;&gt;"",DATE(2026,9,0)&gt;=Q311,DATE(2026,8,1)&lt;=R311),"█","")</f>
        <v/>
      </c>
      <c r="M311" s="30" t="str">
        <f>IF(AND(Q311&lt;&gt;"",R311&lt;&gt;"",DATE(2026,10,0)&gt;=Q311,DATE(2026,9,1)&lt;=R311),"█","")</f>
        <v/>
      </c>
      <c r="N311" s="30" t="str">
        <f>IF(AND(Q311&lt;&gt;"",R311&lt;&gt;"",DATE(2026,11,0)&gt;=Q311,DATE(2026,10,1)&lt;=R311),"█","")</f>
        <v/>
      </c>
      <c r="O311" s="30" t="str">
        <f>IF(AND(Q311&lt;&gt;"",R311&lt;&gt;"",DATE(2026,12,0)&gt;=Q311,DATE(2026,11,1)&lt;=R311),"█","")</f>
        <v/>
      </c>
      <c r="P311" s="30" t="str">
        <f>IF(AND(Q311&lt;&gt;"",R311&lt;&gt;"",DATE(2026,12,31)&gt;=Q311,DATE(2026,12,1)&lt;=R311),"█","")</f>
        <v/>
      </c>
      <c r="Q311" s="7" t="str">
        <f>IF('Release Calendar'!I311&lt;&gt;"",'Release Calendar'!I311,"")</f>
        <v/>
      </c>
      <c r="R311" s="7" t="str">
        <f>IF('Release Calendar'!J311&lt;&gt;"",'Release Calendar'!J311,"")</f>
        <v/>
      </c>
    </row>
    <row r="312" spans="1:18" ht="20.100000000000001" customHeight="1">
      <c r="A312" s="31">
        <v>308</v>
      </c>
      <c r="B312" s="32" t="str">
        <f>IF('Release Calendar'!B312&lt;&gt;"",'Release Calendar'!B312,"")</f>
        <v/>
      </c>
      <c r="C312" s="33" t="str">
        <f>IF('Release Calendar'!K312&lt;&gt;"",'Release Calendar'!K312,"")</f>
        <v/>
      </c>
      <c r="D312" s="33" t="str">
        <f>IF('Release Calendar'!M312&lt;&gt;"",'Release Calendar'!M312,"")</f>
        <v/>
      </c>
      <c r="E312" s="34" t="str">
        <f>IF(AND(Q312&lt;&gt;"",R312&lt;&gt;"",DATE(2026,2,0)&gt;=Q312,DATE(2026,1,1)&lt;=R312),"█","")</f>
        <v/>
      </c>
      <c r="F312" s="34" t="str">
        <f>IF(AND(Q312&lt;&gt;"",R312&lt;&gt;"",DATE(2026,3,0)&gt;=Q312,DATE(2026,2,1)&lt;=R312),"█","")</f>
        <v/>
      </c>
      <c r="G312" s="34" t="str">
        <f>IF(AND(Q312&lt;&gt;"",R312&lt;&gt;"",DATE(2026,4,0)&gt;=Q312,DATE(2026,3,1)&lt;=R312),"█","")</f>
        <v/>
      </c>
      <c r="H312" s="34" t="str">
        <f>IF(AND(Q312&lt;&gt;"",R312&lt;&gt;"",DATE(2026,5,0)&gt;=Q312,DATE(2026,4,1)&lt;=R312),"█","")</f>
        <v/>
      </c>
      <c r="I312" s="34" t="str">
        <f>IF(AND(Q312&lt;&gt;"",R312&lt;&gt;"",DATE(2026,6,0)&gt;=Q312,DATE(2026,5,1)&lt;=R312),"█","")</f>
        <v/>
      </c>
      <c r="J312" s="34" t="str">
        <f>IF(AND(Q312&lt;&gt;"",R312&lt;&gt;"",DATE(2026,7,0)&gt;=Q312,DATE(2026,6,1)&lt;=R312),"█","")</f>
        <v/>
      </c>
      <c r="K312" s="34" t="str">
        <f>IF(AND(Q312&lt;&gt;"",R312&lt;&gt;"",DATE(2026,8,0)&gt;=Q312,DATE(2026,7,1)&lt;=R312),"█","")</f>
        <v/>
      </c>
      <c r="L312" s="34" t="str">
        <f>IF(AND(Q312&lt;&gt;"",R312&lt;&gt;"",DATE(2026,9,0)&gt;=Q312,DATE(2026,8,1)&lt;=R312),"█","")</f>
        <v/>
      </c>
      <c r="M312" s="34" t="str">
        <f>IF(AND(Q312&lt;&gt;"",R312&lt;&gt;"",DATE(2026,10,0)&gt;=Q312,DATE(2026,9,1)&lt;=R312),"█","")</f>
        <v/>
      </c>
      <c r="N312" s="34" t="str">
        <f>IF(AND(Q312&lt;&gt;"",R312&lt;&gt;"",DATE(2026,11,0)&gt;=Q312,DATE(2026,10,1)&lt;=R312),"█","")</f>
        <v/>
      </c>
      <c r="O312" s="34" t="str">
        <f>IF(AND(Q312&lt;&gt;"",R312&lt;&gt;"",DATE(2026,12,0)&gt;=Q312,DATE(2026,11,1)&lt;=R312),"█","")</f>
        <v/>
      </c>
      <c r="P312" s="34" t="str">
        <f>IF(AND(Q312&lt;&gt;"",R312&lt;&gt;"",DATE(2026,12,31)&gt;=Q312,DATE(2026,12,1)&lt;=R312),"█","")</f>
        <v/>
      </c>
      <c r="Q312" s="7" t="str">
        <f>IF('Release Calendar'!I312&lt;&gt;"",'Release Calendar'!I312,"")</f>
        <v/>
      </c>
      <c r="R312" s="7" t="str">
        <f>IF('Release Calendar'!J312&lt;&gt;"",'Release Calendar'!J312,"")</f>
        <v/>
      </c>
    </row>
    <row r="313" spans="1:18" ht="20.100000000000001" customHeight="1">
      <c r="A313" s="14">
        <v>309</v>
      </c>
      <c r="B313" s="28" t="str">
        <f>IF('Release Calendar'!B313&lt;&gt;"",'Release Calendar'!B313,"")</f>
        <v/>
      </c>
      <c r="C313" s="29" t="str">
        <f>IF('Release Calendar'!K313&lt;&gt;"",'Release Calendar'!K313,"")</f>
        <v/>
      </c>
      <c r="D313" s="29" t="str">
        <f>IF('Release Calendar'!M313&lt;&gt;"",'Release Calendar'!M313,"")</f>
        <v/>
      </c>
      <c r="E313" s="30" t="str">
        <f>IF(AND(Q313&lt;&gt;"",R313&lt;&gt;"",DATE(2026,2,0)&gt;=Q313,DATE(2026,1,1)&lt;=R313),"█","")</f>
        <v/>
      </c>
      <c r="F313" s="30" t="str">
        <f>IF(AND(Q313&lt;&gt;"",R313&lt;&gt;"",DATE(2026,3,0)&gt;=Q313,DATE(2026,2,1)&lt;=R313),"█","")</f>
        <v/>
      </c>
      <c r="G313" s="30" t="str">
        <f>IF(AND(Q313&lt;&gt;"",R313&lt;&gt;"",DATE(2026,4,0)&gt;=Q313,DATE(2026,3,1)&lt;=R313),"█","")</f>
        <v/>
      </c>
      <c r="H313" s="30" t="str">
        <f>IF(AND(Q313&lt;&gt;"",R313&lt;&gt;"",DATE(2026,5,0)&gt;=Q313,DATE(2026,4,1)&lt;=R313),"█","")</f>
        <v/>
      </c>
      <c r="I313" s="30" t="str">
        <f>IF(AND(Q313&lt;&gt;"",R313&lt;&gt;"",DATE(2026,6,0)&gt;=Q313,DATE(2026,5,1)&lt;=R313),"█","")</f>
        <v/>
      </c>
      <c r="J313" s="30" t="str">
        <f>IF(AND(Q313&lt;&gt;"",R313&lt;&gt;"",DATE(2026,7,0)&gt;=Q313,DATE(2026,6,1)&lt;=R313),"█","")</f>
        <v/>
      </c>
      <c r="K313" s="30" t="str">
        <f>IF(AND(Q313&lt;&gt;"",R313&lt;&gt;"",DATE(2026,8,0)&gt;=Q313,DATE(2026,7,1)&lt;=R313),"█","")</f>
        <v/>
      </c>
      <c r="L313" s="30" t="str">
        <f>IF(AND(Q313&lt;&gt;"",R313&lt;&gt;"",DATE(2026,9,0)&gt;=Q313,DATE(2026,8,1)&lt;=R313),"█","")</f>
        <v/>
      </c>
      <c r="M313" s="30" t="str">
        <f>IF(AND(Q313&lt;&gt;"",R313&lt;&gt;"",DATE(2026,10,0)&gt;=Q313,DATE(2026,9,1)&lt;=R313),"█","")</f>
        <v/>
      </c>
      <c r="N313" s="30" t="str">
        <f>IF(AND(Q313&lt;&gt;"",R313&lt;&gt;"",DATE(2026,11,0)&gt;=Q313,DATE(2026,10,1)&lt;=R313),"█","")</f>
        <v/>
      </c>
      <c r="O313" s="30" t="str">
        <f>IF(AND(Q313&lt;&gt;"",R313&lt;&gt;"",DATE(2026,12,0)&gt;=Q313,DATE(2026,11,1)&lt;=R313),"█","")</f>
        <v/>
      </c>
      <c r="P313" s="30" t="str">
        <f>IF(AND(Q313&lt;&gt;"",R313&lt;&gt;"",DATE(2026,12,31)&gt;=Q313,DATE(2026,12,1)&lt;=R313),"█","")</f>
        <v/>
      </c>
      <c r="Q313" s="7" t="str">
        <f>IF('Release Calendar'!I313&lt;&gt;"",'Release Calendar'!I313,"")</f>
        <v/>
      </c>
      <c r="R313" s="7" t="str">
        <f>IF('Release Calendar'!J313&lt;&gt;"",'Release Calendar'!J313,"")</f>
        <v/>
      </c>
    </row>
    <row r="314" spans="1:18" ht="20.100000000000001" customHeight="1">
      <c r="A314" s="31">
        <v>310</v>
      </c>
      <c r="B314" s="32" t="str">
        <f>IF('Release Calendar'!B314&lt;&gt;"",'Release Calendar'!B314,"")</f>
        <v/>
      </c>
      <c r="C314" s="33" t="str">
        <f>IF('Release Calendar'!K314&lt;&gt;"",'Release Calendar'!K314,"")</f>
        <v/>
      </c>
      <c r="D314" s="33" t="str">
        <f>IF('Release Calendar'!M314&lt;&gt;"",'Release Calendar'!M314,"")</f>
        <v/>
      </c>
      <c r="E314" s="34" t="str">
        <f>IF(AND(Q314&lt;&gt;"",R314&lt;&gt;"",DATE(2026,2,0)&gt;=Q314,DATE(2026,1,1)&lt;=R314),"█","")</f>
        <v/>
      </c>
      <c r="F314" s="34" t="str">
        <f>IF(AND(Q314&lt;&gt;"",R314&lt;&gt;"",DATE(2026,3,0)&gt;=Q314,DATE(2026,2,1)&lt;=R314),"█","")</f>
        <v/>
      </c>
      <c r="G314" s="34" t="str">
        <f>IF(AND(Q314&lt;&gt;"",R314&lt;&gt;"",DATE(2026,4,0)&gt;=Q314,DATE(2026,3,1)&lt;=R314),"█","")</f>
        <v/>
      </c>
      <c r="H314" s="34" t="str">
        <f>IF(AND(Q314&lt;&gt;"",R314&lt;&gt;"",DATE(2026,5,0)&gt;=Q314,DATE(2026,4,1)&lt;=R314),"█","")</f>
        <v/>
      </c>
      <c r="I314" s="34" t="str">
        <f>IF(AND(Q314&lt;&gt;"",R314&lt;&gt;"",DATE(2026,6,0)&gt;=Q314,DATE(2026,5,1)&lt;=R314),"█","")</f>
        <v/>
      </c>
      <c r="J314" s="34" t="str">
        <f>IF(AND(Q314&lt;&gt;"",R314&lt;&gt;"",DATE(2026,7,0)&gt;=Q314,DATE(2026,6,1)&lt;=R314),"█","")</f>
        <v/>
      </c>
      <c r="K314" s="34" t="str">
        <f>IF(AND(Q314&lt;&gt;"",R314&lt;&gt;"",DATE(2026,8,0)&gt;=Q314,DATE(2026,7,1)&lt;=R314),"█","")</f>
        <v/>
      </c>
      <c r="L314" s="34" t="str">
        <f>IF(AND(Q314&lt;&gt;"",R314&lt;&gt;"",DATE(2026,9,0)&gt;=Q314,DATE(2026,8,1)&lt;=R314),"█","")</f>
        <v/>
      </c>
      <c r="M314" s="34" t="str">
        <f>IF(AND(Q314&lt;&gt;"",R314&lt;&gt;"",DATE(2026,10,0)&gt;=Q314,DATE(2026,9,1)&lt;=R314),"█","")</f>
        <v/>
      </c>
      <c r="N314" s="34" t="str">
        <f>IF(AND(Q314&lt;&gt;"",R314&lt;&gt;"",DATE(2026,11,0)&gt;=Q314,DATE(2026,10,1)&lt;=R314),"█","")</f>
        <v/>
      </c>
      <c r="O314" s="34" t="str">
        <f>IF(AND(Q314&lt;&gt;"",R314&lt;&gt;"",DATE(2026,12,0)&gt;=Q314,DATE(2026,11,1)&lt;=R314),"█","")</f>
        <v/>
      </c>
      <c r="P314" s="34" t="str">
        <f>IF(AND(Q314&lt;&gt;"",R314&lt;&gt;"",DATE(2026,12,31)&gt;=Q314,DATE(2026,12,1)&lt;=R314),"█","")</f>
        <v/>
      </c>
      <c r="Q314" s="7" t="str">
        <f>IF('Release Calendar'!I314&lt;&gt;"",'Release Calendar'!I314,"")</f>
        <v/>
      </c>
      <c r="R314" s="7" t="str">
        <f>IF('Release Calendar'!J314&lt;&gt;"",'Release Calendar'!J314,"")</f>
        <v/>
      </c>
    </row>
    <row r="315" spans="1:18" ht="20.100000000000001" customHeight="1">
      <c r="A315" s="14">
        <v>311</v>
      </c>
      <c r="B315" s="28" t="str">
        <f>IF('Release Calendar'!B315&lt;&gt;"",'Release Calendar'!B315,"")</f>
        <v/>
      </c>
      <c r="C315" s="29" t="str">
        <f>IF('Release Calendar'!K315&lt;&gt;"",'Release Calendar'!K315,"")</f>
        <v/>
      </c>
      <c r="D315" s="29" t="str">
        <f>IF('Release Calendar'!M315&lt;&gt;"",'Release Calendar'!M315,"")</f>
        <v/>
      </c>
      <c r="E315" s="30" t="str">
        <f>IF(AND(Q315&lt;&gt;"",R315&lt;&gt;"",DATE(2026,2,0)&gt;=Q315,DATE(2026,1,1)&lt;=R315),"█","")</f>
        <v/>
      </c>
      <c r="F315" s="30" t="str">
        <f>IF(AND(Q315&lt;&gt;"",R315&lt;&gt;"",DATE(2026,3,0)&gt;=Q315,DATE(2026,2,1)&lt;=R315),"█","")</f>
        <v/>
      </c>
      <c r="G315" s="30" t="str">
        <f>IF(AND(Q315&lt;&gt;"",R315&lt;&gt;"",DATE(2026,4,0)&gt;=Q315,DATE(2026,3,1)&lt;=R315),"█","")</f>
        <v/>
      </c>
      <c r="H315" s="30" t="str">
        <f>IF(AND(Q315&lt;&gt;"",R315&lt;&gt;"",DATE(2026,5,0)&gt;=Q315,DATE(2026,4,1)&lt;=R315),"█","")</f>
        <v/>
      </c>
      <c r="I315" s="30" t="str">
        <f>IF(AND(Q315&lt;&gt;"",R315&lt;&gt;"",DATE(2026,6,0)&gt;=Q315,DATE(2026,5,1)&lt;=R315),"█","")</f>
        <v/>
      </c>
      <c r="J315" s="30" t="str">
        <f>IF(AND(Q315&lt;&gt;"",R315&lt;&gt;"",DATE(2026,7,0)&gt;=Q315,DATE(2026,6,1)&lt;=R315),"█","")</f>
        <v/>
      </c>
      <c r="K315" s="30" t="str">
        <f>IF(AND(Q315&lt;&gt;"",R315&lt;&gt;"",DATE(2026,8,0)&gt;=Q315,DATE(2026,7,1)&lt;=R315),"█","")</f>
        <v/>
      </c>
      <c r="L315" s="30" t="str">
        <f>IF(AND(Q315&lt;&gt;"",R315&lt;&gt;"",DATE(2026,9,0)&gt;=Q315,DATE(2026,8,1)&lt;=R315),"█","")</f>
        <v/>
      </c>
      <c r="M315" s="30" t="str">
        <f>IF(AND(Q315&lt;&gt;"",R315&lt;&gt;"",DATE(2026,10,0)&gt;=Q315,DATE(2026,9,1)&lt;=R315),"█","")</f>
        <v/>
      </c>
      <c r="N315" s="30" t="str">
        <f>IF(AND(Q315&lt;&gt;"",R315&lt;&gt;"",DATE(2026,11,0)&gt;=Q315,DATE(2026,10,1)&lt;=R315),"█","")</f>
        <v/>
      </c>
      <c r="O315" s="30" t="str">
        <f>IF(AND(Q315&lt;&gt;"",R315&lt;&gt;"",DATE(2026,12,0)&gt;=Q315,DATE(2026,11,1)&lt;=R315),"█","")</f>
        <v/>
      </c>
      <c r="P315" s="30" t="str">
        <f>IF(AND(Q315&lt;&gt;"",R315&lt;&gt;"",DATE(2026,12,31)&gt;=Q315,DATE(2026,12,1)&lt;=R315),"█","")</f>
        <v/>
      </c>
      <c r="Q315" s="7" t="str">
        <f>IF('Release Calendar'!I315&lt;&gt;"",'Release Calendar'!I315,"")</f>
        <v/>
      </c>
      <c r="R315" s="7" t="str">
        <f>IF('Release Calendar'!J315&lt;&gt;"",'Release Calendar'!J315,"")</f>
        <v/>
      </c>
    </row>
    <row r="316" spans="1:18" ht="20.100000000000001" customHeight="1">
      <c r="A316" s="31">
        <v>312</v>
      </c>
      <c r="B316" s="32" t="str">
        <f>IF('Release Calendar'!B316&lt;&gt;"",'Release Calendar'!B316,"")</f>
        <v/>
      </c>
      <c r="C316" s="33" t="str">
        <f>IF('Release Calendar'!K316&lt;&gt;"",'Release Calendar'!K316,"")</f>
        <v/>
      </c>
      <c r="D316" s="33" t="str">
        <f>IF('Release Calendar'!M316&lt;&gt;"",'Release Calendar'!M316,"")</f>
        <v/>
      </c>
      <c r="E316" s="34" t="str">
        <f>IF(AND(Q316&lt;&gt;"",R316&lt;&gt;"",DATE(2026,2,0)&gt;=Q316,DATE(2026,1,1)&lt;=R316),"█","")</f>
        <v/>
      </c>
      <c r="F316" s="34" t="str">
        <f>IF(AND(Q316&lt;&gt;"",R316&lt;&gt;"",DATE(2026,3,0)&gt;=Q316,DATE(2026,2,1)&lt;=R316),"█","")</f>
        <v/>
      </c>
      <c r="G316" s="34" t="str">
        <f>IF(AND(Q316&lt;&gt;"",R316&lt;&gt;"",DATE(2026,4,0)&gt;=Q316,DATE(2026,3,1)&lt;=R316),"█","")</f>
        <v/>
      </c>
      <c r="H316" s="34" t="str">
        <f>IF(AND(Q316&lt;&gt;"",R316&lt;&gt;"",DATE(2026,5,0)&gt;=Q316,DATE(2026,4,1)&lt;=R316),"█","")</f>
        <v/>
      </c>
      <c r="I316" s="34" t="str">
        <f>IF(AND(Q316&lt;&gt;"",R316&lt;&gt;"",DATE(2026,6,0)&gt;=Q316,DATE(2026,5,1)&lt;=R316),"█","")</f>
        <v/>
      </c>
      <c r="J316" s="34" t="str">
        <f>IF(AND(Q316&lt;&gt;"",R316&lt;&gt;"",DATE(2026,7,0)&gt;=Q316,DATE(2026,6,1)&lt;=R316),"█","")</f>
        <v/>
      </c>
      <c r="K316" s="34" t="str">
        <f>IF(AND(Q316&lt;&gt;"",R316&lt;&gt;"",DATE(2026,8,0)&gt;=Q316,DATE(2026,7,1)&lt;=R316),"█","")</f>
        <v/>
      </c>
      <c r="L316" s="34" t="str">
        <f>IF(AND(Q316&lt;&gt;"",R316&lt;&gt;"",DATE(2026,9,0)&gt;=Q316,DATE(2026,8,1)&lt;=R316),"█","")</f>
        <v/>
      </c>
      <c r="M316" s="34" t="str">
        <f>IF(AND(Q316&lt;&gt;"",R316&lt;&gt;"",DATE(2026,10,0)&gt;=Q316,DATE(2026,9,1)&lt;=R316),"█","")</f>
        <v/>
      </c>
      <c r="N316" s="34" t="str">
        <f>IF(AND(Q316&lt;&gt;"",R316&lt;&gt;"",DATE(2026,11,0)&gt;=Q316,DATE(2026,10,1)&lt;=R316),"█","")</f>
        <v/>
      </c>
      <c r="O316" s="34" t="str">
        <f>IF(AND(Q316&lt;&gt;"",R316&lt;&gt;"",DATE(2026,12,0)&gt;=Q316,DATE(2026,11,1)&lt;=R316),"█","")</f>
        <v/>
      </c>
      <c r="P316" s="34" t="str">
        <f>IF(AND(Q316&lt;&gt;"",R316&lt;&gt;"",DATE(2026,12,31)&gt;=Q316,DATE(2026,12,1)&lt;=R316),"█","")</f>
        <v/>
      </c>
      <c r="Q316" s="7" t="str">
        <f>IF('Release Calendar'!I316&lt;&gt;"",'Release Calendar'!I316,"")</f>
        <v/>
      </c>
      <c r="R316" s="7" t="str">
        <f>IF('Release Calendar'!J316&lt;&gt;"",'Release Calendar'!J316,"")</f>
        <v/>
      </c>
    </row>
    <row r="317" spans="1:18" ht="20.100000000000001" customHeight="1">
      <c r="A317" s="14">
        <v>313</v>
      </c>
      <c r="B317" s="28" t="str">
        <f>IF('Release Calendar'!B317&lt;&gt;"",'Release Calendar'!B317,"")</f>
        <v/>
      </c>
      <c r="C317" s="29" t="str">
        <f>IF('Release Calendar'!K317&lt;&gt;"",'Release Calendar'!K317,"")</f>
        <v/>
      </c>
      <c r="D317" s="29" t="str">
        <f>IF('Release Calendar'!M317&lt;&gt;"",'Release Calendar'!M317,"")</f>
        <v/>
      </c>
      <c r="E317" s="30" t="str">
        <f>IF(AND(Q317&lt;&gt;"",R317&lt;&gt;"",DATE(2026,2,0)&gt;=Q317,DATE(2026,1,1)&lt;=R317),"█","")</f>
        <v/>
      </c>
      <c r="F317" s="30" t="str">
        <f>IF(AND(Q317&lt;&gt;"",R317&lt;&gt;"",DATE(2026,3,0)&gt;=Q317,DATE(2026,2,1)&lt;=R317),"█","")</f>
        <v/>
      </c>
      <c r="G317" s="30" t="str">
        <f>IF(AND(Q317&lt;&gt;"",R317&lt;&gt;"",DATE(2026,4,0)&gt;=Q317,DATE(2026,3,1)&lt;=R317),"█","")</f>
        <v/>
      </c>
      <c r="H317" s="30" t="str">
        <f>IF(AND(Q317&lt;&gt;"",R317&lt;&gt;"",DATE(2026,5,0)&gt;=Q317,DATE(2026,4,1)&lt;=R317),"█","")</f>
        <v/>
      </c>
      <c r="I317" s="30" t="str">
        <f>IF(AND(Q317&lt;&gt;"",R317&lt;&gt;"",DATE(2026,6,0)&gt;=Q317,DATE(2026,5,1)&lt;=R317),"█","")</f>
        <v/>
      </c>
      <c r="J317" s="30" t="str">
        <f>IF(AND(Q317&lt;&gt;"",R317&lt;&gt;"",DATE(2026,7,0)&gt;=Q317,DATE(2026,6,1)&lt;=R317),"█","")</f>
        <v/>
      </c>
      <c r="K317" s="30" t="str">
        <f>IF(AND(Q317&lt;&gt;"",R317&lt;&gt;"",DATE(2026,8,0)&gt;=Q317,DATE(2026,7,1)&lt;=R317),"█","")</f>
        <v/>
      </c>
      <c r="L317" s="30" t="str">
        <f>IF(AND(Q317&lt;&gt;"",R317&lt;&gt;"",DATE(2026,9,0)&gt;=Q317,DATE(2026,8,1)&lt;=R317),"█","")</f>
        <v/>
      </c>
      <c r="M317" s="30" t="str">
        <f>IF(AND(Q317&lt;&gt;"",R317&lt;&gt;"",DATE(2026,10,0)&gt;=Q317,DATE(2026,9,1)&lt;=R317),"█","")</f>
        <v/>
      </c>
      <c r="N317" s="30" t="str">
        <f>IF(AND(Q317&lt;&gt;"",R317&lt;&gt;"",DATE(2026,11,0)&gt;=Q317,DATE(2026,10,1)&lt;=R317),"█","")</f>
        <v/>
      </c>
      <c r="O317" s="30" t="str">
        <f>IF(AND(Q317&lt;&gt;"",R317&lt;&gt;"",DATE(2026,12,0)&gt;=Q317,DATE(2026,11,1)&lt;=R317),"█","")</f>
        <v/>
      </c>
      <c r="P317" s="30" t="str">
        <f>IF(AND(Q317&lt;&gt;"",R317&lt;&gt;"",DATE(2026,12,31)&gt;=Q317,DATE(2026,12,1)&lt;=R317),"█","")</f>
        <v/>
      </c>
      <c r="Q317" s="7" t="str">
        <f>IF('Release Calendar'!I317&lt;&gt;"",'Release Calendar'!I317,"")</f>
        <v/>
      </c>
      <c r="R317" s="7" t="str">
        <f>IF('Release Calendar'!J317&lt;&gt;"",'Release Calendar'!J317,"")</f>
        <v/>
      </c>
    </row>
    <row r="318" spans="1:18" ht="20.100000000000001" customHeight="1">
      <c r="A318" s="31">
        <v>314</v>
      </c>
      <c r="B318" s="32" t="str">
        <f>IF('Release Calendar'!B318&lt;&gt;"",'Release Calendar'!B318,"")</f>
        <v/>
      </c>
      <c r="C318" s="33" t="str">
        <f>IF('Release Calendar'!K318&lt;&gt;"",'Release Calendar'!K318,"")</f>
        <v/>
      </c>
      <c r="D318" s="33" t="str">
        <f>IF('Release Calendar'!M318&lt;&gt;"",'Release Calendar'!M318,"")</f>
        <v/>
      </c>
      <c r="E318" s="34" t="str">
        <f>IF(AND(Q318&lt;&gt;"",R318&lt;&gt;"",DATE(2026,2,0)&gt;=Q318,DATE(2026,1,1)&lt;=R318),"█","")</f>
        <v/>
      </c>
      <c r="F318" s="34" t="str">
        <f>IF(AND(Q318&lt;&gt;"",R318&lt;&gt;"",DATE(2026,3,0)&gt;=Q318,DATE(2026,2,1)&lt;=R318),"█","")</f>
        <v/>
      </c>
      <c r="G318" s="34" t="str">
        <f>IF(AND(Q318&lt;&gt;"",R318&lt;&gt;"",DATE(2026,4,0)&gt;=Q318,DATE(2026,3,1)&lt;=R318),"█","")</f>
        <v/>
      </c>
      <c r="H318" s="34" t="str">
        <f>IF(AND(Q318&lt;&gt;"",R318&lt;&gt;"",DATE(2026,5,0)&gt;=Q318,DATE(2026,4,1)&lt;=R318),"█","")</f>
        <v/>
      </c>
      <c r="I318" s="34" t="str">
        <f>IF(AND(Q318&lt;&gt;"",R318&lt;&gt;"",DATE(2026,6,0)&gt;=Q318,DATE(2026,5,1)&lt;=R318),"█","")</f>
        <v/>
      </c>
      <c r="J318" s="34" t="str">
        <f>IF(AND(Q318&lt;&gt;"",R318&lt;&gt;"",DATE(2026,7,0)&gt;=Q318,DATE(2026,6,1)&lt;=R318),"█","")</f>
        <v/>
      </c>
      <c r="K318" s="34" t="str">
        <f>IF(AND(Q318&lt;&gt;"",R318&lt;&gt;"",DATE(2026,8,0)&gt;=Q318,DATE(2026,7,1)&lt;=R318),"█","")</f>
        <v/>
      </c>
      <c r="L318" s="34" t="str">
        <f>IF(AND(Q318&lt;&gt;"",R318&lt;&gt;"",DATE(2026,9,0)&gt;=Q318,DATE(2026,8,1)&lt;=R318),"█","")</f>
        <v/>
      </c>
      <c r="M318" s="34" t="str">
        <f>IF(AND(Q318&lt;&gt;"",R318&lt;&gt;"",DATE(2026,10,0)&gt;=Q318,DATE(2026,9,1)&lt;=R318),"█","")</f>
        <v/>
      </c>
      <c r="N318" s="34" t="str">
        <f>IF(AND(Q318&lt;&gt;"",R318&lt;&gt;"",DATE(2026,11,0)&gt;=Q318,DATE(2026,10,1)&lt;=R318),"█","")</f>
        <v/>
      </c>
      <c r="O318" s="34" t="str">
        <f>IF(AND(Q318&lt;&gt;"",R318&lt;&gt;"",DATE(2026,12,0)&gt;=Q318,DATE(2026,11,1)&lt;=R318),"█","")</f>
        <v/>
      </c>
      <c r="P318" s="34" t="str">
        <f>IF(AND(Q318&lt;&gt;"",R318&lt;&gt;"",DATE(2026,12,31)&gt;=Q318,DATE(2026,12,1)&lt;=R318),"█","")</f>
        <v/>
      </c>
      <c r="Q318" s="7" t="str">
        <f>IF('Release Calendar'!I318&lt;&gt;"",'Release Calendar'!I318,"")</f>
        <v/>
      </c>
      <c r="R318" s="7" t="str">
        <f>IF('Release Calendar'!J318&lt;&gt;"",'Release Calendar'!J318,"")</f>
        <v/>
      </c>
    </row>
    <row r="319" spans="1:18" ht="20.100000000000001" customHeight="1">
      <c r="A319" s="14">
        <v>315</v>
      </c>
      <c r="B319" s="28" t="str">
        <f>IF('Release Calendar'!B319&lt;&gt;"",'Release Calendar'!B319,"")</f>
        <v/>
      </c>
      <c r="C319" s="29" t="str">
        <f>IF('Release Calendar'!K319&lt;&gt;"",'Release Calendar'!K319,"")</f>
        <v/>
      </c>
      <c r="D319" s="29" t="str">
        <f>IF('Release Calendar'!M319&lt;&gt;"",'Release Calendar'!M319,"")</f>
        <v/>
      </c>
      <c r="E319" s="30" t="str">
        <f>IF(AND(Q319&lt;&gt;"",R319&lt;&gt;"",DATE(2026,2,0)&gt;=Q319,DATE(2026,1,1)&lt;=R319),"█","")</f>
        <v/>
      </c>
      <c r="F319" s="30" t="str">
        <f>IF(AND(Q319&lt;&gt;"",R319&lt;&gt;"",DATE(2026,3,0)&gt;=Q319,DATE(2026,2,1)&lt;=R319),"█","")</f>
        <v/>
      </c>
      <c r="G319" s="30" t="str">
        <f>IF(AND(Q319&lt;&gt;"",R319&lt;&gt;"",DATE(2026,4,0)&gt;=Q319,DATE(2026,3,1)&lt;=R319),"█","")</f>
        <v/>
      </c>
      <c r="H319" s="30" t="str">
        <f>IF(AND(Q319&lt;&gt;"",R319&lt;&gt;"",DATE(2026,5,0)&gt;=Q319,DATE(2026,4,1)&lt;=R319),"█","")</f>
        <v/>
      </c>
      <c r="I319" s="30" t="str">
        <f>IF(AND(Q319&lt;&gt;"",R319&lt;&gt;"",DATE(2026,6,0)&gt;=Q319,DATE(2026,5,1)&lt;=R319),"█","")</f>
        <v/>
      </c>
      <c r="J319" s="30" t="str">
        <f>IF(AND(Q319&lt;&gt;"",R319&lt;&gt;"",DATE(2026,7,0)&gt;=Q319,DATE(2026,6,1)&lt;=R319),"█","")</f>
        <v/>
      </c>
      <c r="K319" s="30" t="str">
        <f>IF(AND(Q319&lt;&gt;"",R319&lt;&gt;"",DATE(2026,8,0)&gt;=Q319,DATE(2026,7,1)&lt;=R319),"█","")</f>
        <v/>
      </c>
      <c r="L319" s="30" t="str">
        <f>IF(AND(Q319&lt;&gt;"",R319&lt;&gt;"",DATE(2026,9,0)&gt;=Q319,DATE(2026,8,1)&lt;=R319),"█","")</f>
        <v/>
      </c>
      <c r="M319" s="30" t="str">
        <f>IF(AND(Q319&lt;&gt;"",R319&lt;&gt;"",DATE(2026,10,0)&gt;=Q319,DATE(2026,9,1)&lt;=R319),"█","")</f>
        <v/>
      </c>
      <c r="N319" s="30" t="str">
        <f>IF(AND(Q319&lt;&gt;"",R319&lt;&gt;"",DATE(2026,11,0)&gt;=Q319,DATE(2026,10,1)&lt;=R319),"█","")</f>
        <v/>
      </c>
      <c r="O319" s="30" t="str">
        <f>IF(AND(Q319&lt;&gt;"",R319&lt;&gt;"",DATE(2026,12,0)&gt;=Q319,DATE(2026,11,1)&lt;=R319),"█","")</f>
        <v/>
      </c>
      <c r="P319" s="30" t="str">
        <f>IF(AND(Q319&lt;&gt;"",R319&lt;&gt;"",DATE(2026,12,31)&gt;=Q319,DATE(2026,12,1)&lt;=R319),"█","")</f>
        <v/>
      </c>
      <c r="Q319" s="7" t="str">
        <f>IF('Release Calendar'!I319&lt;&gt;"",'Release Calendar'!I319,"")</f>
        <v/>
      </c>
      <c r="R319" s="7" t="str">
        <f>IF('Release Calendar'!J319&lt;&gt;"",'Release Calendar'!J319,"")</f>
        <v/>
      </c>
    </row>
    <row r="320" spans="1:18" ht="20.100000000000001" customHeight="1">
      <c r="A320" s="31">
        <v>316</v>
      </c>
      <c r="B320" s="32" t="str">
        <f>IF('Release Calendar'!B320&lt;&gt;"",'Release Calendar'!B320,"")</f>
        <v/>
      </c>
      <c r="C320" s="33" t="str">
        <f>IF('Release Calendar'!K320&lt;&gt;"",'Release Calendar'!K320,"")</f>
        <v/>
      </c>
      <c r="D320" s="33" t="str">
        <f>IF('Release Calendar'!M320&lt;&gt;"",'Release Calendar'!M320,"")</f>
        <v/>
      </c>
      <c r="E320" s="34" t="str">
        <f>IF(AND(Q320&lt;&gt;"",R320&lt;&gt;"",DATE(2026,2,0)&gt;=Q320,DATE(2026,1,1)&lt;=R320),"█","")</f>
        <v/>
      </c>
      <c r="F320" s="34" t="str">
        <f>IF(AND(Q320&lt;&gt;"",R320&lt;&gt;"",DATE(2026,3,0)&gt;=Q320,DATE(2026,2,1)&lt;=R320),"█","")</f>
        <v/>
      </c>
      <c r="G320" s="34" t="str">
        <f>IF(AND(Q320&lt;&gt;"",R320&lt;&gt;"",DATE(2026,4,0)&gt;=Q320,DATE(2026,3,1)&lt;=R320),"█","")</f>
        <v/>
      </c>
      <c r="H320" s="34" t="str">
        <f>IF(AND(Q320&lt;&gt;"",R320&lt;&gt;"",DATE(2026,5,0)&gt;=Q320,DATE(2026,4,1)&lt;=R320),"█","")</f>
        <v/>
      </c>
      <c r="I320" s="34" t="str">
        <f>IF(AND(Q320&lt;&gt;"",R320&lt;&gt;"",DATE(2026,6,0)&gt;=Q320,DATE(2026,5,1)&lt;=R320),"█","")</f>
        <v/>
      </c>
      <c r="J320" s="34" t="str">
        <f>IF(AND(Q320&lt;&gt;"",R320&lt;&gt;"",DATE(2026,7,0)&gt;=Q320,DATE(2026,6,1)&lt;=R320),"█","")</f>
        <v/>
      </c>
      <c r="K320" s="34" t="str">
        <f>IF(AND(Q320&lt;&gt;"",R320&lt;&gt;"",DATE(2026,8,0)&gt;=Q320,DATE(2026,7,1)&lt;=R320),"█","")</f>
        <v/>
      </c>
      <c r="L320" s="34" t="str">
        <f>IF(AND(Q320&lt;&gt;"",R320&lt;&gt;"",DATE(2026,9,0)&gt;=Q320,DATE(2026,8,1)&lt;=R320),"█","")</f>
        <v/>
      </c>
      <c r="M320" s="34" t="str">
        <f>IF(AND(Q320&lt;&gt;"",R320&lt;&gt;"",DATE(2026,10,0)&gt;=Q320,DATE(2026,9,1)&lt;=R320),"█","")</f>
        <v/>
      </c>
      <c r="N320" s="34" t="str">
        <f>IF(AND(Q320&lt;&gt;"",R320&lt;&gt;"",DATE(2026,11,0)&gt;=Q320,DATE(2026,10,1)&lt;=R320),"█","")</f>
        <v/>
      </c>
      <c r="O320" s="34" t="str">
        <f>IF(AND(Q320&lt;&gt;"",R320&lt;&gt;"",DATE(2026,12,0)&gt;=Q320,DATE(2026,11,1)&lt;=R320),"█","")</f>
        <v/>
      </c>
      <c r="P320" s="34" t="str">
        <f>IF(AND(Q320&lt;&gt;"",R320&lt;&gt;"",DATE(2026,12,31)&gt;=Q320,DATE(2026,12,1)&lt;=R320),"█","")</f>
        <v/>
      </c>
      <c r="Q320" s="7" t="str">
        <f>IF('Release Calendar'!I320&lt;&gt;"",'Release Calendar'!I320,"")</f>
        <v/>
      </c>
      <c r="R320" s="7" t="str">
        <f>IF('Release Calendar'!J320&lt;&gt;"",'Release Calendar'!J320,"")</f>
        <v/>
      </c>
    </row>
    <row r="321" spans="1:18" ht="20.100000000000001" customHeight="1">
      <c r="A321" s="14">
        <v>317</v>
      </c>
      <c r="B321" s="28" t="str">
        <f>IF('Release Calendar'!B321&lt;&gt;"",'Release Calendar'!B321,"")</f>
        <v/>
      </c>
      <c r="C321" s="29" t="str">
        <f>IF('Release Calendar'!K321&lt;&gt;"",'Release Calendar'!K321,"")</f>
        <v/>
      </c>
      <c r="D321" s="29" t="str">
        <f>IF('Release Calendar'!M321&lt;&gt;"",'Release Calendar'!M321,"")</f>
        <v/>
      </c>
      <c r="E321" s="30" t="str">
        <f>IF(AND(Q321&lt;&gt;"",R321&lt;&gt;"",DATE(2026,2,0)&gt;=Q321,DATE(2026,1,1)&lt;=R321),"█","")</f>
        <v/>
      </c>
      <c r="F321" s="30" t="str">
        <f>IF(AND(Q321&lt;&gt;"",R321&lt;&gt;"",DATE(2026,3,0)&gt;=Q321,DATE(2026,2,1)&lt;=R321),"█","")</f>
        <v/>
      </c>
      <c r="G321" s="30" t="str">
        <f>IF(AND(Q321&lt;&gt;"",R321&lt;&gt;"",DATE(2026,4,0)&gt;=Q321,DATE(2026,3,1)&lt;=R321),"█","")</f>
        <v/>
      </c>
      <c r="H321" s="30" t="str">
        <f>IF(AND(Q321&lt;&gt;"",R321&lt;&gt;"",DATE(2026,5,0)&gt;=Q321,DATE(2026,4,1)&lt;=R321),"█","")</f>
        <v/>
      </c>
      <c r="I321" s="30" t="str">
        <f>IF(AND(Q321&lt;&gt;"",R321&lt;&gt;"",DATE(2026,6,0)&gt;=Q321,DATE(2026,5,1)&lt;=R321),"█","")</f>
        <v/>
      </c>
      <c r="J321" s="30" t="str">
        <f>IF(AND(Q321&lt;&gt;"",R321&lt;&gt;"",DATE(2026,7,0)&gt;=Q321,DATE(2026,6,1)&lt;=R321),"█","")</f>
        <v/>
      </c>
      <c r="K321" s="30" t="str">
        <f>IF(AND(Q321&lt;&gt;"",R321&lt;&gt;"",DATE(2026,8,0)&gt;=Q321,DATE(2026,7,1)&lt;=R321),"█","")</f>
        <v/>
      </c>
      <c r="L321" s="30" t="str">
        <f>IF(AND(Q321&lt;&gt;"",R321&lt;&gt;"",DATE(2026,9,0)&gt;=Q321,DATE(2026,8,1)&lt;=R321),"█","")</f>
        <v/>
      </c>
      <c r="M321" s="30" t="str">
        <f>IF(AND(Q321&lt;&gt;"",R321&lt;&gt;"",DATE(2026,10,0)&gt;=Q321,DATE(2026,9,1)&lt;=R321),"█","")</f>
        <v/>
      </c>
      <c r="N321" s="30" t="str">
        <f>IF(AND(Q321&lt;&gt;"",R321&lt;&gt;"",DATE(2026,11,0)&gt;=Q321,DATE(2026,10,1)&lt;=R321),"█","")</f>
        <v/>
      </c>
      <c r="O321" s="30" t="str">
        <f>IF(AND(Q321&lt;&gt;"",R321&lt;&gt;"",DATE(2026,12,0)&gt;=Q321,DATE(2026,11,1)&lt;=R321),"█","")</f>
        <v/>
      </c>
      <c r="P321" s="30" t="str">
        <f>IF(AND(Q321&lt;&gt;"",R321&lt;&gt;"",DATE(2026,12,31)&gt;=Q321,DATE(2026,12,1)&lt;=R321),"█","")</f>
        <v/>
      </c>
      <c r="Q321" s="7" t="str">
        <f>IF('Release Calendar'!I321&lt;&gt;"",'Release Calendar'!I321,"")</f>
        <v/>
      </c>
      <c r="R321" s="7" t="str">
        <f>IF('Release Calendar'!J321&lt;&gt;"",'Release Calendar'!J321,"")</f>
        <v/>
      </c>
    </row>
    <row r="322" spans="1:18" ht="20.100000000000001" customHeight="1">
      <c r="A322" s="31">
        <v>318</v>
      </c>
      <c r="B322" s="32" t="str">
        <f>IF('Release Calendar'!B322&lt;&gt;"",'Release Calendar'!B322,"")</f>
        <v/>
      </c>
      <c r="C322" s="33" t="str">
        <f>IF('Release Calendar'!K322&lt;&gt;"",'Release Calendar'!K322,"")</f>
        <v/>
      </c>
      <c r="D322" s="33" t="str">
        <f>IF('Release Calendar'!M322&lt;&gt;"",'Release Calendar'!M322,"")</f>
        <v/>
      </c>
      <c r="E322" s="34" t="str">
        <f>IF(AND(Q322&lt;&gt;"",R322&lt;&gt;"",DATE(2026,2,0)&gt;=Q322,DATE(2026,1,1)&lt;=R322),"█","")</f>
        <v/>
      </c>
      <c r="F322" s="34" t="str">
        <f>IF(AND(Q322&lt;&gt;"",R322&lt;&gt;"",DATE(2026,3,0)&gt;=Q322,DATE(2026,2,1)&lt;=R322),"█","")</f>
        <v/>
      </c>
      <c r="G322" s="34" t="str">
        <f>IF(AND(Q322&lt;&gt;"",R322&lt;&gt;"",DATE(2026,4,0)&gt;=Q322,DATE(2026,3,1)&lt;=R322),"█","")</f>
        <v/>
      </c>
      <c r="H322" s="34" t="str">
        <f>IF(AND(Q322&lt;&gt;"",R322&lt;&gt;"",DATE(2026,5,0)&gt;=Q322,DATE(2026,4,1)&lt;=R322),"█","")</f>
        <v/>
      </c>
      <c r="I322" s="34" t="str">
        <f>IF(AND(Q322&lt;&gt;"",R322&lt;&gt;"",DATE(2026,6,0)&gt;=Q322,DATE(2026,5,1)&lt;=R322),"█","")</f>
        <v/>
      </c>
      <c r="J322" s="34" t="str">
        <f>IF(AND(Q322&lt;&gt;"",R322&lt;&gt;"",DATE(2026,7,0)&gt;=Q322,DATE(2026,6,1)&lt;=R322),"█","")</f>
        <v/>
      </c>
      <c r="K322" s="34" t="str">
        <f>IF(AND(Q322&lt;&gt;"",R322&lt;&gt;"",DATE(2026,8,0)&gt;=Q322,DATE(2026,7,1)&lt;=R322),"█","")</f>
        <v/>
      </c>
      <c r="L322" s="34" t="str">
        <f>IF(AND(Q322&lt;&gt;"",R322&lt;&gt;"",DATE(2026,9,0)&gt;=Q322,DATE(2026,8,1)&lt;=R322),"█","")</f>
        <v/>
      </c>
      <c r="M322" s="34" t="str">
        <f>IF(AND(Q322&lt;&gt;"",R322&lt;&gt;"",DATE(2026,10,0)&gt;=Q322,DATE(2026,9,1)&lt;=R322),"█","")</f>
        <v/>
      </c>
      <c r="N322" s="34" t="str">
        <f>IF(AND(Q322&lt;&gt;"",R322&lt;&gt;"",DATE(2026,11,0)&gt;=Q322,DATE(2026,10,1)&lt;=R322),"█","")</f>
        <v/>
      </c>
      <c r="O322" s="34" t="str">
        <f>IF(AND(Q322&lt;&gt;"",R322&lt;&gt;"",DATE(2026,12,0)&gt;=Q322,DATE(2026,11,1)&lt;=R322),"█","")</f>
        <v/>
      </c>
      <c r="P322" s="34" t="str">
        <f>IF(AND(Q322&lt;&gt;"",R322&lt;&gt;"",DATE(2026,12,31)&gt;=Q322,DATE(2026,12,1)&lt;=R322),"█","")</f>
        <v/>
      </c>
      <c r="Q322" s="7" t="str">
        <f>IF('Release Calendar'!I322&lt;&gt;"",'Release Calendar'!I322,"")</f>
        <v/>
      </c>
      <c r="R322" s="7" t="str">
        <f>IF('Release Calendar'!J322&lt;&gt;"",'Release Calendar'!J322,"")</f>
        <v/>
      </c>
    </row>
    <row r="323" spans="1:18" ht="20.100000000000001" customHeight="1">
      <c r="A323" s="14">
        <v>319</v>
      </c>
      <c r="B323" s="28" t="str">
        <f>IF('Release Calendar'!B323&lt;&gt;"",'Release Calendar'!B323,"")</f>
        <v/>
      </c>
      <c r="C323" s="29" t="str">
        <f>IF('Release Calendar'!K323&lt;&gt;"",'Release Calendar'!K323,"")</f>
        <v/>
      </c>
      <c r="D323" s="29" t="str">
        <f>IF('Release Calendar'!M323&lt;&gt;"",'Release Calendar'!M323,"")</f>
        <v/>
      </c>
      <c r="E323" s="30" t="str">
        <f>IF(AND(Q323&lt;&gt;"",R323&lt;&gt;"",DATE(2026,2,0)&gt;=Q323,DATE(2026,1,1)&lt;=R323),"█","")</f>
        <v/>
      </c>
      <c r="F323" s="30" t="str">
        <f>IF(AND(Q323&lt;&gt;"",R323&lt;&gt;"",DATE(2026,3,0)&gt;=Q323,DATE(2026,2,1)&lt;=R323),"█","")</f>
        <v/>
      </c>
      <c r="G323" s="30" t="str">
        <f>IF(AND(Q323&lt;&gt;"",R323&lt;&gt;"",DATE(2026,4,0)&gt;=Q323,DATE(2026,3,1)&lt;=R323),"█","")</f>
        <v/>
      </c>
      <c r="H323" s="30" t="str">
        <f>IF(AND(Q323&lt;&gt;"",R323&lt;&gt;"",DATE(2026,5,0)&gt;=Q323,DATE(2026,4,1)&lt;=R323),"█","")</f>
        <v/>
      </c>
      <c r="I323" s="30" t="str">
        <f>IF(AND(Q323&lt;&gt;"",R323&lt;&gt;"",DATE(2026,6,0)&gt;=Q323,DATE(2026,5,1)&lt;=R323),"█","")</f>
        <v/>
      </c>
      <c r="J323" s="30" t="str">
        <f>IF(AND(Q323&lt;&gt;"",R323&lt;&gt;"",DATE(2026,7,0)&gt;=Q323,DATE(2026,6,1)&lt;=R323),"█","")</f>
        <v/>
      </c>
      <c r="K323" s="30" t="str">
        <f>IF(AND(Q323&lt;&gt;"",R323&lt;&gt;"",DATE(2026,8,0)&gt;=Q323,DATE(2026,7,1)&lt;=R323),"█","")</f>
        <v/>
      </c>
      <c r="L323" s="30" t="str">
        <f>IF(AND(Q323&lt;&gt;"",R323&lt;&gt;"",DATE(2026,9,0)&gt;=Q323,DATE(2026,8,1)&lt;=R323),"█","")</f>
        <v/>
      </c>
      <c r="M323" s="30" t="str">
        <f>IF(AND(Q323&lt;&gt;"",R323&lt;&gt;"",DATE(2026,10,0)&gt;=Q323,DATE(2026,9,1)&lt;=R323),"█","")</f>
        <v/>
      </c>
      <c r="N323" s="30" t="str">
        <f>IF(AND(Q323&lt;&gt;"",R323&lt;&gt;"",DATE(2026,11,0)&gt;=Q323,DATE(2026,10,1)&lt;=R323),"█","")</f>
        <v/>
      </c>
      <c r="O323" s="30" t="str">
        <f>IF(AND(Q323&lt;&gt;"",R323&lt;&gt;"",DATE(2026,12,0)&gt;=Q323,DATE(2026,11,1)&lt;=R323),"█","")</f>
        <v/>
      </c>
      <c r="P323" s="30" t="str">
        <f>IF(AND(Q323&lt;&gt;"",R323&lt;&gt;"",DATE(2026,12,31)&gt;=Q323,DATE(2026,12,1)&lt;=R323),"█","")</f>
        <v/>
      </c>
      <c r="Q323" s="7" t="str">
        <f>IF('Release Calendar'!I323&lt;&gt;"",'Release Calendar'!I323,"")</f>
        <v/>
      </c>
      <c r="R323" s="7" t="str">
        <f>IF('Release Calendar'!J323&lt;&gt;"",'Release Calendar'!J323,"")</f>
        <v/>
      </c>
    </row>
    <row r="324" spans="1:18" ht="20.100000000000001" customHeight="1">
      <c r="A324" s="31">
        <v>320</v>
      </c>
      <c r="B324" s="32" t="str">
        <f>IF('Release Calendar'!B324&lt;&gt;"",'Release Calendar'!B324,"")</f>
        <v/>
      </c>
      <c r="C324" s="33" t="str">
        <f>IF('Release Calendar'!K324&lt;&gt;"",'Release Calendar'!K324,"")</f>
        <v/>
      </c>
      <c r="D324" s="33" t="str">
        <f>IF('Release Calendar'!M324&lt;&gt;"",'Release Calendar'!M324,"")</f>
        <v/>
      </c>
      <c r="E324" s="34" t="str">
        <f>IF(AND(Q324&lt;&gt;"",R324&lt;&gt;"",DATE(2026,2,0)&gt;=Q324,DATE(2026,1,1)&lt;=R324),"█","")</f>
        <v/>
      </c>
      <c r="F324" s="34" t="str">
        <f>IF(AND(Q324&lt;&gt;"",R324&lt;&gt;"",DATE(2026,3,0)&gt;=Q324,DATE(2026,2,1)&lt;=R324),"█","")</f>
        <v/>
      </c>
      <c r="G324" s="34" t="str">
        <f>IF(AND(Q324&lt;&gt;"",R324&lt;&gt;"",DATE(2026,4,0)&gt;=Q324,DATE(2026,3,1)&lt;=R324),"█","")</f>
        <v/>
      </c>
      <c r="H324" s="34" t="str">
        <f>IF(AND(Q324&lt;&gt;"",R324&lt;&gt;"",DATE(2026,5,0)&gt;=Q324,DATE(2026,4,1)&lt;=R324),"█","")</f>
        <v/>
      </c>
      <c r="I324" s="34" t="str">
        <f>IF(AND(Q324&lt;&gt;"",R324&lt;&gt;"",DATE(2026,6,0)&gt;=Q324,DATE(2026,5,1)&lt;=R324),"█","")</f>
        <v/>
      </c>
      <c r="J324" s="34" t="str">
        <f>IF(AND(Q324&lt;&gt;"",R324&lt;&gt;"",DATE(2026,7,0)&gt;=Q324,DATE(2026,6,1)&lt;=R324),"█","")</f>
        <v/>
      </c>
      <c r="K324" s="34" t="str">
        <f>IF(AND(Q324&lt;&gt;"",R324&lt;&gt;"",DATE(2026,8,0)&gt;=Q324,DATE(2026,7,1)&lt;=R324),"█","")</f>
        <v/>
      </c>
      <c r="L324" s="34" t="str">
        <f>IF(AND(Q324&lt;&gt;"",R324&lt;&gt;"",DATE(2026,9,0)&gt;=Q324,DATE(2026,8,1)&lt;=R324),"█","")</f>
        <v/>
      </c>
      <c r="M324" s="34" t="str">
        <f>IF(AND(Q324&lt;&gt;"",R324&lt;&gt;"",DATE(2026,10,0)&gt;=Q324,DATE(2026,9,1)&lt;=R324),"█","")</f>
        <v/>
      </c>
      <c r="N324" s="34" t="str">
        <f>IF(AND(Q324&lt;&gt;"",R324&lt;&gt;"",DATE(2026,11,0)&gt;=Q324,DATE(2026,10,1)&lt;=R324),"█","")</f>
        <v/>
      </c>
      <c r="O324" s="34" t="str">
        <f>IF(AND(Q324&lt;&gt;"",R324&lt;&gt;"",DATE(2026,12,0)&gt;=Q324,DATE(2026,11,1)&lt;=R324),"█","")</f>
        <v/>
      </c>
      <c r="P324" s="34" t="str">
        <f>IF(AND(Q324&lt;&gt;"",R324&lt;&gt;"",DATE(2026,12,31)&gt;=Q324,DATE(2026,12,1)&lt;=R324),"█","")</f>
        <v/>
      </c>
      <c r="Q324" s="7" t="str">
        <f>IF('Release Calendar'!I324&lt;&gt;"",'Release Calendar'!I324,"")</f>
        <v/>
      </c>
      <c r="R324" s="7" t="str">
        <f>IF('Release Calendar'!J324&lt;&gt;"",'Release Calendar'!J324,"")</f>
        <v/>
      </c>
    </row>
    <row r="325" spans="1:18" ht="20.100000000000001" customHeight="1">
      <c r="A325" s="14">
        <v>321</v>
      </c>
      <c r="B325" s="28" t="str">
        <f>IF('Release Calendar'!B325&lt;&gt;"",'Release Calendar'!B325,"")</f>
        <v/>
      </c>
      <c r="C325" s="29" t="str">
        <f>IF('Release Calendar'!K325&lt;&gt;"",'Release Calendar'!K325,"")</f>
        <v/>
      </c>
      <c r="D325" s="29" t="str">
        <f>IF('Release Calendar'!M325&lt;&gt;"",'Release Calendar'!M325,"")</f>
        <v/>
      </c>
      <c r="E325" s="30" t="str">
        <f>IF(AND(Q325&lt;&gt;"",R325&lt;&gt;"",DATE(2026,2,0)&gt;=Q325,DATE(2026,1,1)&lt;=R325),"█","")</f>
        <v/>
      </c>
      <c r="F325" s="30" t="str">
        <f>IF(AND(Q325&lt;&gt;"",R325&lt;&gt;"",DATE(2026,3,0)&gt;=Q325,DATE(2026,2,1)&lt;=R325),"█","")</f>
        <v/>
      </c>
      <c r="G325" s="30" t="str">
        <f>IF(AND(Q325&lt;&gt;"",R325&lt;&gt;"",DATE(2026,4,0)&gt;=Q325,DATE(2026,3,1)&lt;=R325),"█","")</f>
        <v/>
      </c>
      <c r="H325" s="30" t="str">
        <f>IF(AND(Q325&lt;&gt;"",R325&lt;&gt;"",DATE(2026,5,0)&gt;=Q325,DATE(2026,4,1)&lt;=R325),"█","")</f>
        <v/>
      </c>
      <c r="I325" s="30" t="str">
        <f>IF(AND(Q325&lt;&gt;"",R325&lt;&gt;"",DATE(2026,6,0)&gt;=Q325,DATE(2026,5,1)&lt;=R325),"█","")</f>
        <v/>
      </c>
      <c r="J325" s="30" t="str">
        <f>IF(AND(Q325&lt;&gt;"",R325&lt;&gt;"",DATE(2026,7,0)&gt;=Q325,DATE(2026,6,1)&lt;=R325),"█","")</f>
        <v/>
      </c>
      <c r="K325" s="30" t="str">
        <f>IF(AND(Q325&lt;&gt;"",R325&lt;&gt;"",DATE(2026,8,0)&gt;=Q325,DATE(2026,7,1)&lt;=R325),"█","")</f>
        <v/>
      </c>
      <c r="L325" s="30" t="str">
        <f>IF(AND(Q325&lt;&gt;"",R325&lt;&gt;"",DATE(2026,9,0)&gt;=Q325,DATE(2026,8,1)&lt;=R325),"█","")</f>
        <v/>
      </c>
      <c r="M325" s="30" t="str">
        <f>IF(AND(Q325&lt;&gt;"",R325&lt;&gt;"",DATE(2026,10,0)&gt;=Q325,DATE(2026,9,1)&lt;=R325),"█","")</f>
        <v/>
      </c>
      <c r="N325" s="30" t="str">
        <f>IF(AND(Q325&lt;&gt;"",R325&lt;&gt;"",DATE(2026,11,0)&gt;=Q325,DATE(2026,10,1)&lt;=R325),"█","")</f>
        <v/>
      </c>
      <c r="O325" s="30" t="str">
        <f>IF(AND(Q325&lt;&gt;"",R325&lt;&gt;"",DATE(2026,12,0)&gt;=Q325,DATE(2026,11,1)&lt;=R325),"█","")</f>
        <v/>
      </c>
      <c r="P325" s="30" t="str">
        <f>IF(AND(Q325&lt;&gt;"",R325&lt;&gt;"",DATE(2026,12,31)&gt;=Q325,DATE(2026,12,1)&lt;=R325),"█","")</f>
        <v/>
      </c>
      <c r="Q325" s="7" t="str">
        <f>IF('Release Calendar'!I325&lt;&gt;"",'Release Calendar'!I325,"")</f>
        <v/>
      </c>
      <c r="R325" s="7" t="str">
        <f>IF('Release Calendar'!J325&lt;&gt;"",'Release Calendar'!J325,"")</f>
        <v/>
      </c>
    </row>
    <row r="326" spans="1:18" ht="20.100000000000001" customHeight="1">
      <c r="A326" s="31">
        <v>322</v>
      </c>
      <c r="B326" s="32" t="str">
        <f>IF('Release Calendar'!B326&lt;&gt;"",'Release Calendar'!B326,"")</f>
        <v/>
      </c>
      <c r="C326" s="33" t="str">
        <f>IF('Release Calendar'!K326&lt;&gt;"",'Release Calendar'!K326,"")</f>
        <v/>
      </c>
      <c r="D326" s="33" t="str">
        <f>IF('Release Calendar'!M326&lt;&gt;"",'Release Calendar'!M326,"")</f>
        <v/>
      </c>
      <c r="E326" s="34" t="str">
        <f>IF(AND(Q326&lt;&gt;"",R326&lt;&gt;"",DATE(2026,2,0)&gt;=Q326,DATE(2026,1,1)&lt;=R326),"█","")</f>
        <v/>
      </c>
      <c r="F326" s="34" t="str">
        <f>IF(AND(Q326&lt;&gt;"",R326&lt;&gt;"",DATE(2026,3,0)&gt;=Q326,DATE(2026,2,1)&lt;=R326),"█","")</f>
        <v/>
      </c>
      <c r="G326" s="34" t="str">
        <f>IF(AND(Q326&lt;&gt;"",R326&lt;&gt;"",DATE(2026,4,0)&gt;=Q326,DATE(2026,3,1)&lt;=R326),"█","")</f>
        <v/>
      </c>
      <c r="H326" s="34" t="str">
        <f>IF(AND(Q326&lt;&gt;"",R326&lt;&gt;"",DATE(2026,5,0)&gt;=Q326,DATE(2026,4,1)&lt;=R326),"█","")</f>
        <v/>
      </c>
      <c r="I326" s="34" t="str">
        <f>IF(AND(Q326&lt;&gt;"",R326&lt;&gt;"",DATE(2026,6,0)&gt;=Q326,DATE(2026,5,1)&lt;=R326),"█","")</f>
        <v/>
      </c>
      <c r="J326" s="34" t="str">
        <f>IF(AND(Q326&lt;&gt;"",R326&lt;&gt;"",DATE(2026,7,0)&gt;=Q326,DATE(2026,6,1)&lt;=R326),"█","")</f>
        <v/>
      </c>
      <c r="K326" s="34" t="str">
        <f>IF(AND(Q326&lt;&gt;"",R326&lt;&gt;"",DATE(2026,8,0)&gt;=Q326,DATE(2026,7,1)&lt;=R326),"█","")</f>
        <v/>
      </c>
      <c r="L326" s="34" t="str">
        <f>IF(AND(Q326&lt;&gt;"",R326&lt;&gt;"",DATE(2026,9,0)&gt;=Q326,DATE(2026,8,1)&lt;=R326),"█","")</f>
        <v/>
      </c>
      <c r="M326" s="34" t="str">
        <f>IF(AND(Q326&lt;&gt;"",R326&lt;&gt;"",DATE(2026,10,0)&gt;=Q326,DATE(2026,9,1)&lt;=R326),"█","")</f>
        <v/>
      </c>
      <c r="N326" s="34" t="str">
        <f>IF(AND(Q326&lt;&gt;"",R326&lt;&gt;"",DATE(2026,11,0)&gt;=Q326,DATE(2026,10,1)&lt;=R326),"█","")</f>
        <v/>
      </c>
      <c r="O326" s="34" t="str">
        <f>IF(AND(Q326&lt;&gt;"",R326&lt;&gt;"",DATE(2026,12,0)&gt;=Q326,DATE(2026,11,1)&lt;=R326),"█","")</f>
        <v/>
      </c>
      <c r="P326" s="34" t="str">
        <f>IF(AND(Q326&lt;&gt;"",R326&lt;&gt;"",DATE(2026,12,31)&gt;=Q326,DATE(2026,12,1)&lt;=R326),"█","")</f>
        <v/>
      </c>
      <c r="Q326" s="7" t="str">
        <f>IF('Release Calendar'!I326&lt;&gt;"",'Release Calendar'!I326,"")</f>
        <v/>
      </c>
      <c r="R326" s="7" t="str">
        <f>IF('Release Calendar'!J326&lt;&gt;"",'Release Calendar'!J326,"")</f>
        <v/>
      </c>
    </row>
    <row r="327" spans="1:18" ht="20.100000000000001" customHeight="1">
      <c r="A327" s="14">
        <v>323</v>
      </c>
      <c r="B327" s="28" t="str">
        <f>IF('Release Calendar'!B327&lt;&gt;"",'Release Calendar'!B327,"")</f>
        <v/>
      </c>
      <c r="C327" s="29" t="str">
        <f>IF('Release Calendar'!K327&lt;&gt;"",'Release Calendar'!K327,"")</f>
        <v/>
      </c>
      <c r="D327" s="29" t="str">
        <f>IF('Release Calendar'!M327&lt;&gt;"",'Release Calendar'!M327,"")</f>
        <v/>
      </c>
      <c r="E327" s="30" t="str">
        <f>IF(AND(Q327&lt;&gt;"",R327&lt;&gt;"",DATE(2026,2,0)&gt;=Q327,DATE(2026,1,1)&lt;=R327),"█","")</f>
        <v/>
      </c>
      <c r="F327" s="30" t="str">
        <f>IF(AND(Q327&lt;&gt;"",R327&lt;&gt;"",DATE(2026,3,0)&gt;=Q327,DATE(2026,2,1)&lt;=R327),"█","")</f>
        <v/>
      </c>
      <c r="G327" s="30" t="str">
        <f>IF(AND(Q327&lt;&gt;"",R327&lt;&gt;"",DATE(2026,4,0)&gt;=Q327,DATE(2026,3,1)&lt;=R327),"█","")</f>
        <v/>
      </c>
      <c r="H327" s="30" t="str">
        <f>IF(AND(Q327&lt;&gt;"",R327&lt;&gt;"",DATE(2026,5,0)&gt;=Q327,DATE(2026,4,1)&lt;=R327),"█","")</f>
        <v/>
      </c>
      <c r="I327" s="30" t="str">
        <f>IF(AND(Q327&lt;&gt;"",R327&lt;&gt;"",DATE(2026,6,0)&gt;=Q327,DATE(2026,5,1)&lt;=R327),"█","")</f>
        <v/>
      </c>
      <c r="J327" s="30" t="str">
        <f>IF(AND(Q327&lt;&gt;"",R327&lt;&gt;"",DATE(2026,7,0)&gt;=Q327,DATE(2026,6,1)&lt;=R327),"█","")</f>
        <v/>
      </c>
      <c r="K327" s="30" t="str">
        <f>IF(AND(Q327&lt;&gt;"",R327&lt;&gt;"",DATE(2026,8,0)&gt;=Q327,DATE(2026,7,1)&lt;=R327),"█","")</f>
        <v/>
      </c>
      <c r="L327" s="30" t="str">
        <f>IF(AND(Q327&lt;&gt;"",R327&lt;&gt;"",DATE(2026,9,0)&gt;=Q327,DATE(2026,8,1)&lt;=R327),"█","")</f>
        <v/>
      </c>
      <c r="M327" s="30" t="str">
        <f>IF(AND(Q327&lt;&gt;"",R327&lt;&gt;"",DATE(2026,10,0)&gt;=Q327,DATE(2026,9,1)&lt;=R327),"█","")</f>
        <v/>
      </c>
      <c r="N327" s="30" t="str">
        <f>IF(AND(Q327&lt;&gt;"",R327&lt;&gt;"",DATE(2026,11,0)&gt;=Q327,DATE(2026,10,1)&lt;=R327),"█","")</f>
        <v/>
      </c>
      <c r="O327" s="30" t="str">
        <f>IF(AND(Q327&lt;&gt;"",R327&lt;&gt;"",DATE(2026,12,0)&gt;=Q327,DATE(2026,11,1)&lt;=R327),"█","")</f>
        <v/>
      </c>
      <c r="P327" s="30" t="str">
        <f>IF(AND(Q327&lt;&gt;"",R327&lt;&gt;"",DATE(2026,12,31)&gt;=Q327,DATE(2026,12,1)&lt;=R327),"█","")</f>
        <v/>
      </c>
      <c r="Q327" s="7" t="str">
        <f>IF('Release Calendar'!I327&lt;&gt;"",'Release Calendar'!I327,"")</f>
        <v/>
      </c>
      <c r="R327" s="7" t="str">
        <f>IF('Release Calendar'!J327&lt;&gt;"",'Release Calendar'!J327,"")</f>
        <v/>
      </c>
    </row>
    <row r="328" spans="1:18" ht="20.100000000000001" customHeight="1">
      <c r="A328" s="31">
        <v>324</v>
      </c>
      <c r="B328" s="32" t="str">
        <f>IF('Release Calendar'!B328&lt;&gt;"",'Release Calendar'!B328,"")</f>
        <v/>
      </c>
      <c r="C328" s="33" t="str">
        <f>IF('Release Calendar'!K328&lt;&gt;"",'Release Calendar'!K328,"")</f>
        <v/>
      </c>
      <c r="D328" s="33" t="str">
        <f>IF('Release Calendar'!M328&lt;&gt;"",'Release Calendar'!M328,"")</f>
        <v/>
      </c>
      <c r="E328" s="34" t="str">
        <f>IF(AND(Q328&lt;&gt;"",R328&lt;&gt;"",DATE(2026,2,0)&gt;=Q328,DATE(2026,1,1)&lt;=R328),"█","")</f>
        <v/>
      </c>
      <c r="F328" s="34" t="str">
        <f>IF(AND(Q328&lt;&gt;"",R328&lt;&gt;"",DATE(2026,3,0)&gt;=Q328,DATE(2026,2,1)&lt;=R328),"█","")</f>
        <v/>
      </c>
      <c r="G328" s="34" t="str">
        <f>IF(AND(Q328&lt;&gt;"",R328&lt;&gt;"",DATE(2026,4,0)&gt;=Q328,DATE(2026,3,1)&lt;=R328),"█","")</f>
        <v/>
      </c>
      <c r="H328" s="34" t="str">
        <f>IF(AND(Q328&lt;&gt;"",R328&lt;&gt;"",DATE(2026,5,0)&gt;=Q328,DATE(2026,4,1)&lt;=R328),"█","")</f>
        <v/>
      </c>
      <c r="I328" s="34" t="str">
        <f>IF(AND(Q328&lt;&gt;"",R328&lt;&gt;"",DATE(2026,6,0)&gt;=Q328,DATE(2026,5,1)&lt;=R328),"█","")</f>
        <v/>
      </c>
      <c r="J328" s="34" t="str">
        <f>IF(AND(Q328&lt;&gt;"",R328&lt;&gt;"",DATE(2026,7,0)&gt;=Q328,DATE(2026,6,1)&lt;=R328),"█","")</f>
        <v/>
      </c>
      <c r="K328" s="34" t="str">
        <f>IF(AND(Q328&lt;&gt;"",R328&lt;&gt;"",DATE(2026,8,0)&gt;=Q328,DATE(2026,7,1)&lt;=R328),"█","")</f>
        <v/>
      </c>
      <c r="L328" s="34" t="str">
        <f>IF(AND(Q328&lt;&gt;"",R328&lt;&gt;"",DATE(2026,9,0)&gt;=Q328,DATE(2026,8,1)&lt;=R328),"█","")</f>
        <v/>
      </c>
      <c r="M328" s="34" t="str">
        <f>IF(AND(Q328&lt;&gt;"",R328&lt;&gt;"",DATE(2026,10,0)&gt;=Q328,DATE(2026,9,1)&lt;=R328),"█","")</f>
        <v/>
      </c>
      <c r="N328" s="34" t="str">
        <f>IF(AND(Q328&lt;&gt;"",R328&lt;&gt;"",DATE(2026,11,0)&gt;=Q328,DATE(2026,10,1)&lt;=R328),"█","")</f>
        <v/>
      </c>
      <c r="O328" s="34" t="str">
        <f>IF(AND(Q328&lt;&gt;"",R328&lt;&gt;"",DATE(2026,12,0)&gt;=Q328,DATE(2026,11,1)&lt;=R328),"█","")</f>
        <v/>
      </c>
      <c r="P328" s="34" t="str">
        <f>IF(AND(Q328&lt;&gt;"",R328&lt;&gt;"",DATE(2026,12,31)&gt;=Q328,DATE(2026,12,1)&lt;=R328),"█","")</f>
        <v/>
      </c>
      <c r="Q328" s="7" t="str">
        <f>IF('Release Calendar'!I328&lt;&gt;"",'Release Calendar'!I328,"")</f>
        <v/>
      </c>
      <c r="R328" s="7" t="str">
        <f>IF('Release Calendar'!J328&lt;&gt;"",'Release Calendar'!J328,"")</f>
        <v/>
      </c>
    </row>
    <row r="329" spans="1:18" ht="20.100000000000001" customHeight="1">
      <c r="A329" s="14">
        <v>325</v>
      </c>
      <c r="B329" s="28" t="str">
        <f>IF('Release Calendar'!B329&lt;&gt;"",'Release Calendar'!B329,"")</f>
        <v/>
      </c>
      <c r="C329" s="29" t="str">
        <f>IF('Release Calendar'!K329&lt;&gt;"",'Release Calendar'!K329,"")</f>
        <v/>
      </c>
      <c r="D329" s="29" t="str">
        <f>IF('Release Calendar'!M329&lt;&gt;"",'Release Calendar'!M329,"")</f>
        <v/>
      </c>
      <c r="E329" s="30" t="str">
        <f>IF(AND(Q329&lt;&gt;"",R329&lt;&gt;"",DATE(2026,2,0)&gt;=Q329,DATE(2026,1,1)&lt;=R329),"█","")</f>
        <v/>
      </c>
      <c r="F329" s="30" t="str">
        <f>IF(AND(Q329&lt;&gt;"",R329&lt;&gt;"",DATE(2026,3,0)&gt;=Q329,DATE(2026,2,1)&lt;=R329),"█","")</f>
        <v/>
      </c>
      <c r="G329" s="30" t="str">
        <f>IF(AND(Q329&lt;&gt;"",R329&lt;&gt;"",DATE(2026,4,0)&gt;=Q329,DATE(2026,3,1)&lt;=R329),"█","")</f>
        <v/>
      </c>
      <c r="H329" s="30" t="str">
        <f>IF(AND(Q329&lt;&gt;"",R329&lt;&gt;"",DATE(2026,5,0)&gt;=Q329,DATE(2026,4,1)&lt;=R329),"█","")</f>
        <v/>
      </c>
      <c r="I329" s="30" t="str">
        <f>IF(AND(Q329&lt;&gt;"",R329&lt;&gt;"",DATE(2026,6,0)&gt;=Q329,DATE(2026,5,1)&lt;=R329),"█","")</f>
        <v/>
      </c>
      <c r="J329" s="30" t="str">
        <f>IF(AND(Q329&lt;&gt;"",R329&lt;&gt;"",DATE(2026,7,0)&gt;=Q329,DATE(2026,6,1)&lt;=R329),"█","")</f>
        <v/>
      </c>
      <c r="K329" s="30" t="str">
        <f>IF(AND(Q329&lt;&gt;"",R329&lt;&gt;"",DATE(2026,8,0)&gt;=Q329,DATE(2026,7,1)&lt;=R329),"█","")</f>
        <v/>
      </c>
      <c r="L329" s="30" t="str">
        <f>IF(AND(Q329&lt;&gt;"",R329&lt;&gt;"",DATE(2026,9,0)&gt;=Q329,DATE(2026,8,1)&lt;=R329),"█","")</f>
        <v/>
      </c>
      <c r="M329" s="30" t="str">
        <f>IF(AND(Q329&lt;&gt;"",R329&lt;&gt;"",DATE(2026,10,0)&gt;=Q329,DATE(2026,9,1)&lt;=R329),"█","")</f>
        <v/>
      </c>
      <c r="N329" s="30" t="str">
        <f>IF(AND(Q329&lt;&gt;"",R329&lt;&gt;"",DATE(2026,11,0)&gt;=Q329,DATE(2026,10,1)&lt;=R329),"█","")</f>
        <v/>
      </c>
      <c r="O329" s="30" t="str">
        <f>IF(AND(Q329&lt;&gt;"",R329&lt;&gt;"",DATE(2026,12,0)&gt;=Q329,DATE(2026,11,1)&lt;=R329),"█","")</f>
        <v/>
      </c>
      <c r="P329" s="30" t="str">
        <f>IF(AND(Q329&lt;&gt;"",R329&lt;&gt;"",DATE(2026,12,31)&gt;=Q329,DATE(2026,12,1)&lt;=R329),"█","")</f>
        <v/>
      </c>
      <c r="Q329" s="7" t="str">
        <f>IF('Release Calendar'!I329&lt;&gt;"",'Release Calendar'!I329,"")</f>
        <v/>
      </c>
      <c r="R329" s="7" t="str">
        <f>IF('Release Calendar'!J329&lt;&gt;"",'Release Calendar'!J329,"")</f>
        <v/>
      </c>
    </row>
    <row r="330" spans="1:18" ht="20.100000000000001" customHeight="1">
      <c r="A330" s="31">
        <v>326</v>
      </c>
      <c r="B330" s="32" t="str">
        <f>IF('Release Calendar'!B330&lt;&gt;"",'Release Calendar'!B330,"")</f>
        <v/>
      </c>
      <c r="C330" s="33" t="str">
        <f>IF('Release Calendar'!K330&lt;&gt;"",'Release Calendar'!K330,"")</f>
        <v/>
      </c>
      <c r="D330" s="33" t="str">
        <f>IF('Release Calendar'!M330&lt;&gt;"",'Release Calendar'!M330,"")</f>
        <v/>
      </c>
      <c r="E330" s="34" t="str">
        <f>IF(AND(Q330&lt;&gt;"",R330&lt;&gt;"",DATE(2026,2,0)&gt;=Q330,DATE(2026,1,1)&lt;=R330),"█","")</f>
        <v/>
      </c>
      <c r="F330" s="34" t="str">
        <f>IF(AND(Q330&lt;&gt;"",R330&lt;&gt;"",DATE(2026,3,0)&gt;=Q330,DATE(2026,2,1)&lt;=R330),"█","")</f>
        <v/>
      </c>
      <c r="G330" s="34" t="str">
        <f>IF(AND(Q330&lt;&gt;"",R330&lt;&gt;"",DATE(2026,4,0)&gt;=Q330,DATE(2026,3,1)&lt;=R330),"█","")</f>
        <v/>
      </c>
      <c r="H330" s="34" t="str">
        <f>IF(AND(Q330&lt;&gt;"",R330&lt;&gt;"",DATE(2026,5,0)&gt;=Q330,DATE(2026,4,1)&lt;=R330),"█","")</f>
        <v/>
      </c>
      <c r="I330" s="34" t="str">
        <f>IF(AND(Q330&lt;&gt;"",R330&lt;&gt;"",DATE(2026,6,0)&gt;=Q330,DATE(2026,5,1)&lt;=R330),"█","")</f>
        <v/>
      </c>
      <c r="J330" s="34" t="str">
        <f>IF(AND(Q330&lt;&gt;"",R330&lt;&gt;"",DATE(2026,7,0)&gt;=Q330,DATE(2026,6,1)&lt;=R330),"█","")</f>
        <v/>
      </c>
      <c r="K330" s="34" t="str">
        <f>IF(AND(Q330&lt;&gt;"",R330&lt;&gt;"",DATE(2026,8,0)&gt;=Q330,DATE(2026,7,1)&lt;=R330),"█","")</f>
        <v/>
      </c>
      <c r="L330" s="34" t="str">
        <f>IF(AND(Q330&lt;&gt;"",R330&lt;&gt;"",DATE(2026,9,0)&gt;=Q330,DATE(2026,8,1)&lt;=R330),"█","")</f>
        <v/>
      </c>
      <c r="M330" s="34" t="str">
        <f>IF(AND(Q330&lt;&gt;"",R330&lt;&gt;"",DATE(2026,10,0)&gt;=Q330,DATE(2026,9,1)&lt;=R330),"█","")</f>
        <v/>
      </c>
      <c r="N330" s="34" t="str">
        <f>IF(AND(Q330&lt;&gt;"",R330&lt;&gt;"",DATE(2026,11,0)&gt;=Q330,DATE(2026,10,1)&lt;=R330),"█","")</f>
        <v/>
      </c>
      <c r="O330" s="34" t="str">
        <f>IF(AND(Q330&lt;&gt;"",R330&lt;&gt;"",DATE(2026,12,0)&gt;=Q330,DATE(2026,11,1)&lt;=R330),"█","")</f>
        <v/>
      </c>
      <c r="P330" s="34" t="str">
        <f>IF(AND(Q330&lt;&gt;"",R330&lt;&gt;"",DATE(2026,12,31)&gt;=Q330,DATE(2026,12,1)&lt;=R330),"█","")</f>
        <v/>
      </c>
      <c r="Q330" s="7" t="str">
        <f>IF('Release Calendar'!I330&lt;&gt;"",'Release Calendar'!I330,"")</f>
        <v/>
      </c>
      <c r="R330" s="7" t="str">
        <f>IF('Release Calendar'!J330&lt;&gt;"",'Release Calendar'!J330,"")</f>
        <v/>
      </c>
    </row>
    <row r="331" spans="1:18" ht="20.100000000000001" customHeight="1">
      <c r="A331" s="14">
        <v>327</v>
      </c>
      <c r="B331" s="28" t="str">
        <f>IF('Release Calendar'!B331&lt;&gt;"",'Release Calendar'!B331,"")</f>
        <v/>
      </c>
      <c r="C331" s="29" t="str">
        <f>IF('Release Calendar'!K331&lt;&gt;"",'Release Calendar'!K331,"")</f>
        <v/>
      </c>
      <c r="D331" s="29" t="str">
        <f>IF('Release Calendar'!M331&lt;&gt;"",'Release Calendar'!M331,"")</f>
        <v/>
      </c>
      <c r="E331" s="30" t="str">
        <f>IF(AND(Q331&lt;&gt;"",R331&lt;&gt;"",DATE(2026,2,0)&gt;=Q331,DATE(2026,1,1)&lt;=R331),"█","")</f>
        <v/>
      </c>
      <c r="F331" s="30" t="str">
        <f>IF(AND(Q331&lt;&gt;"",R331&lt;&gt;"",DATE(2026,3,0)&gt;=Q331,DATE(2026,2,1)&lt;=R331),"█","")</f>
        <v/>
      </c>
      <c r="G331" s="30" t="str">
        <f>IF(AND(Q331&lt;&gt;"",R331&lt;&gt;"",DATE(2026,4,0)&gt;=Q331,DATE(2026,3,1)&lt;=R331),"█","")</f>
        <v/>
      </c>
      <c r="H331" s="30" t="str">
        <f>IF(AND(Q331&lt;&gt;"",R331&lt;&gt;"",DATE(2026,5,0)&gt;=Q331,DATE(2026,4,1)&lt;=R331),"█","")</f>
        <v/>
      </c>
      <c r="I331" s="30" t="str">
        <f>IF(AND(Q331&lt;&gt;"",R331&lt;&gt;"",DATE(2026,6,0)&gt;=Q331,DATE(2026,5,1)&lt;=R331),"█","")</f>
        <v/>
      </c>
      <c r="J331" s="30" t="str">
        <f>IF(AND(Q331&lt;&gt;"",R331&lt;&gt;"",DATE(2026,7,0)&gt;=Q331,DATE(2026,6,1)&lt;=R331),"█","")</f>
        <v/>
      </c>
      <c r="K331" s="30" t="str">
        <f>IF(AND(Q331&lt;&gt;"",R331&lt;&gt;"",DATE(2026,8,0)&gt;=Q331,DATE(2026,7,1)&lt;=R331),"█","")</f>
        <v/>
      </c>
      <c r="L331" s="30" t="str">
        <f>IF(AND(Q331&lt;&gt;"",R331&lt;&gt;"",DATE(2026,9,0)&gt;=Q331,DATE(2026,8,1)&lt;=R331),"█","")</f>
        <v/>
      </c>
      <c r="M331" s="30" t="str">
        <f>IF(AND(Q331&lt;&gt;"",R331&lt;&gt;"",DATE(2026,10,0)&gt;=Q331,DATE(2026,9,1)&lt;=R331),"█","")</f>
        <v/>
      </c>
      <c r="N331" s="30" t="str">
        <f>IF(AND(Q331&lt;&gt;"",R331&lt;&gt;"",DATE(2026,11,0)&gt;=Q331,DATE(2026,10,1)&lt;=R331),"█","")</f>
        <v/>
      </c>
      <c r="O331" s="30" t="str">
        <f>IF(AND(Q331&lt;&gt;"",R331&lt;&gt;"",DATE(2026,12,0)&gt;=Q331,DATE(2026,11,1)&lt;=R331),"█","")</f>
        <v/>
      </c>
      <c r="P331" s="30" t="str">
        <f>IF(AND(Q331&lt;&gt;"",R331&lt;&gt;"",DATE(2026,12,31)&gt;=Q331,DATE(2026,12,1)&lt;=R331),"█","")</f>
        <v/>
      </c>
      <c r="Q331" s="7" t="str">
        <f>IF('Release Calendar'!I331&lt;&gt;"",'Release Calendar'!I331,"")</f>
        <v/>
      </c>
      <c r="R331" s="7" t="str">
        <f>IF('Release Calendar'!J331&lt;&gt;"",'Release Calendar'!J331,"")</f>
        <v/>
      </c>
    </row>
    <row r="332" spans="1:18" ht="20.100000000000001" customHeight="1">
      <c r="A332" s="31">
        <v>328</v>
      </c>
      <c r="B332" s="32" t="str">
        <f>IF('Release Calendar'!B332&lt;&gt;"",'Release Calendar'!B332,"")</f>
        <v/>
      </c>
      <c r="C332" s="33" t="str">
        <f>IF('Release Calendar'!K332&lt;&gt;"",'Release Calendar'!K332,"")</f>
        <v/>
      </c>
      <c r="D332" s="33" t="str">
        <f>IF('Release Calendar'!M332&lt;&gt;"",'Release Calendar'!M332,"")</f>
        <v/>
      </c>
      <c r="E332" s="34" t="str">
        <f>IF(AND(Q332&lt;&gt;"",R332&lt;&gt;"",DATE(2026,2,0)&gt;=Q332,DATE(2026,1,1)&lt;=R332),"█","")</f>
        <v/>
      </c>
      <c r="F332" s="34" t="str">
        <f>IF(AND(Q332&lt;&gt;"",R332&lt;&gt;"",DATE(2026,3,0)&gt;=Q332,DATE(2026,2,1)&lt;=R332),"█","")</f>
        <v/>
      </c>
      <c r="G332" s="34" t="str">
        <f>IF(AND(Q332&lt;&gt;"",R332&lt;&gt;"",DATE(2026,4,0)&gt;=Q332,DATE(2026,3,1)&lt;=R332),"█","")</f>
        <v/>
      </c>
      <c r="H332" s="34" t="str">
        <f>IF(AND(Q332&lt;&gt;"",R332&lt;&gt;"",DATE(2026,5,0)&gt;=Q332,DATE(2026,4,1)&lt;=R332),"█","")</f>
        <v/>
      </c>
      <c r="I332" s="34" t="str">
        <f>IF(AND(Q332&lt;&gt;"",R332&lt;&gt;"",DATE(2026,6,0)&gt;=Q332,DATE(2026,5,1)&lt;=R332),"█","")</f>
        <v/>
      </c>
      <c r="J332" s="34" t="str">
        <f>IF(AND(Q332&lt;&gt;"",R332&lt;&gt;"",DATE(2026,7,0)&gt;=Q332,DATE(2026,6,1)&lt;=R332),"█","")</f>
        <v/>
      </c>
      <c r="K332" s="34" t="str">
        <f>IF(AND(Q332&lt;&gt;"",R332&lt;&gt;"",DATE(2026,8,0)&gt;=Q332,DATE(2026,7,1)&lt;=R332),"█","")</f>
        <v/>
      </c>
      <c r="L332" s="34" t="str">
        <f>IF(AND(Q332&lt;&gt;"",R332&lt;&gt;"",DATE(2026,9,0)&gt;=Q332,DATE(2026,8,1)&lt;=R332),"█","")</f>
        <v/>
      </c>
      <c r="M332" s="34" t="str">
        <f>IF(AND(Q332&lt;&gt;"",R332&lt;&gt;"",DATE(2026,10,0)&gt;=Q332,DATE(2026,9,1)&lt;=R332),"█","")</f>
        <v/>
      </c>
      <c r="N332" s="34" t="str">
        <f>IF(AND(Q332&lt;&gt;"",R332&lt;&gt;"",DATE(2026,11,0)&gt;=Q332,DATE(2026,10,1)&lt;=R332),"█","")</f>
        <v/>
      </c>
      <c r="O332" s="34" t="str">
        <f>IF(AND(Q332&lt;&gt;"",R332&lt;&gt;"",DATE(2026,12,0)&gt;=Q332,DATE(2026,11,1)&lt;=R332),"█","")</f>
        <v/>
      </c>
      <c r="P332" s="34" t="str">
        <f>IF(AND(Q332&lt;&gt;"",R332&lt;&gt;"",DATE(2026,12,31)&gt;=Q332,DATE(2026,12,1)&lt;=R332),"█","")</f>
        <v/>
      </c>
      <c r="Q332" s="7" t="str">
        <f>IF('Release Calendar'!I332&lt;&gt;"",'Release Calendar'!I332,"")</f>
        <v/>
      </c>
      <c r="R332" s="7" t="str">
        <f>IF('Release Calendar'!J332&lt;&gt;"",'Release Calendar'!J332,"")</f>
        <v/>
      </c>
    </row>
    <row r="333" spans="1:18" ht="20.100000000000001" customHeight="1">
      <c r="A333" s="14">
        <v>329</v>
      </c>
      <c r="B333" s="28" t="str">
        <f>IF('Release Calendar'!B333&lt;&gt;"",'Release Calendar'!B333,"")</f>
        <v/>
      </c>
      <c r="C333" s="29" t="str">
        <f>IF('Release Calendar'!K333&lt;&gt;"",'Release Calendar'!K333,"")</f>
        <v/>
      </c>
      <c r="D333" s="29" t="str">
        <f>IF('Release Calendar'!M333&lt;&gt;"",'Release Calendar'!M333,"")</f>
        <v/>
      </c>
      <c r="E333" s="30" t="str">
        <f>IF(AND(Q333&lt;&gt;"",R333&lt;&gt;"",DATE(2026,2,0)&gt;=Q333,DATE(2026,1,1)&lt;=R333),"█","")</f>
        <v/>
      </c>
      <c r="F333" s="30" t="str">
        <f>IF(AND(Q333&lt;&gt;"",R333&lt;&gt;"",DATE(2026,3,0)&gt;=Q333,DATE(2026,2,1)&lt;=R333),"█","")</f>
        <v/>
      </c>
      <c r="G333" s="30" t="str">
        <f>IF(AND(Q333&lt;&gt;"",R333&lt;&gt;"",DATE(2026,4,0)&gt;=Q333,DATE(2026,3,1)&lt;=R333),"█","")</f>
        <v/>
      </c>
      <c r="H333" s="30" t="str">
        <f>IF(AND(Q333&lt;&gt;"",R333&lt;&gt;"",DATE(2026,5,0)&gt;=Q333,DATE(2026,4,1)&lt;=R333),"█","")</f>
        <v/>
      </c>
      <c r="I333" s="30" t="str">
        <f>IF(AND(Q333&lt;&gt;"",R333&lt;&gt;"",DATE(2026,6,0)&gt;=Q333,DATE(2026,5,1)&lt;=R333),"█","")</f>
        <v/>
      </c>
      <c r="J333" s="30" t="str">
        <f>IF(AND(Q333&lt;&gt;"",R333&lt;&gt;"",DATE(2026,7,0)&gt;=Q333,DATE(2026,6,1)&lt;=R333),"█","")</f>
        <v/>
      </c>
      <c r="K333" s="30" t="str">
        <f>IF(AND(Q333&lt;&gt;"",R333&lt;&gt;"",DATE(2026,8,0)&gt;=Q333,DATE(2026,7,1)&lt;=R333),"█","")</f>
        <v/>
      </c>
      <c r="L333" s="30" t="str">
        <f>IF(AND(Q333&lt;&gt;"",R333&lt;&gt;"",DATE(2026,9,0)&gt;=Q333,DATE(2026,8,1)&lt;=R333),"█","")</f>
        <v/>
      </c>
      <c r="M333" s="30" t="str">
        <f>IF(AND(Q333&lt;&gt;"",R333&lt;&gt;"",DATE(2026,10,0)&gt;=Q333,DATE(2026,9,1)&lt;=R333),"█","")</f>
        <v/>
      </c>
      <c r="N333" s="30" t="str">
        <f>IF(AND(Q333&lt;&gt;"",R333&lt;&gt;"",DATE(2026,11,0)&gt;=Q333,DATE(2026,10,1)&lt;=R333),"█","")</f>
        <v/>
      </c>
      <c r="O333" s="30" t="str">
        <f>IF(AND(Q333&lt;&gt;"",R333&lt;&gt;"",DATE(2026,12,0)&gt;=Q333,DATE(2026,11,1)&lt;=R333),"█","")</f>
        <v/>
      </c>
      <c r="P333" s="30" t="str">
        <f>IF(AND(Q333&lt;&gt;"",R333&lt;&gt;"",DATE(2026,12,31)&gt;=Q333,DATE(2026,12,1)&lt;=R333),"█","")</f>
        <v/>
      </c>
      <c r="Q333" s="7" t="str">
        <f>IF('Release Calendar'!I333&lt;&gt;"",'Release Calendar'!I333,"")</f>
        <v/>
      </c>
      <c r="R333" s="7" t="str">
        <f>IF('Release Calendar'!J333&lt;&gt;"",'Release Calendar'!J333,"")</f>
        <v/>
      </c>
    </row>
    <row r="334" spans="1:18" ht="20.100000000000001" customHeight="1">
      <c r="A334" s="31">
        <v>330</v>
      </c>
      <c r="B334" s="32" t="str">
        <f>IF('Release Calendar'!B334&lt;&gt;"",'Release Calendar'!B334,"")</f>
        <v/>
      </c>
      <c r="C334" s="33" t="str">
        <f>IF('Release Calendar'!K334&lt;&gt;"",'Release Calendar'!K334,"")</f>
        <v/>
      </c>
      <c r="D334" s="33" t="str">
        <f>IF('Release Calendar'!M334&lt;&gt;"",'Release Calendar'!M334,"")</f>
        <v/>
      </c>
      <c r="E334" s="34" t="str">
        <f>IF(AND(Q334&lt;&gt;"",R334&lt;&gt;"",DATE(2026,2,0)&gt;=Q334,DATE(2026,1,1)&lt;=R334),"█","")</f>
        <v/>
      </c>
      <c r="F334" s="34" t="str">
        <f>IF(AND(Q334&lt;&gt;"",R334&lt;&gt;"",DATE(2026,3,0)&gt;=Q334,DATE(2026,2,1)&lt;=R334),"█","")</f>
        <v/>
      </c>
      <c r="G334" s="34" t="str">
        <f>IF(AND(Q334&lt;&gt;"",R334&lt;&gt;"",DATE(2026,4,0)&gt;=Q334,DATE(2026,3,1)&lt;=R334),"█","")</f>
        <v/>
      </c>
      <c r="H334" s="34" t="str">
        <f>IF(AND(Q334&lt;&gt;"",R334&lt;&gt;"",DATE(2026,5,0)&gt;=Q334,DATE(2026,4,1)&lt;=R334),"█","")</f>
        <v/>
      </c>
      <c r="I334" s="34" t="str">
        <f>IF(AND(Q334&lt;&gt;"",R334&lt;&gt;"",DATE(2026,6,0)&gt;=Q334,DATE(2026,5,1)&lt;=R334),"█","")</f>
        <v/>
      </c>
      <c r="J334" s="34" t="str">
        <f>IF(AND(Q334&lt;&gt;"",R334&lt;&gt;"",DATE(2026,7,0)&gt;=Q334,DATE(2026,6,1)&lt;=R334),"█","")</f>
        <v/>
      </c>
      <c r="K334" s="34" t="str">
        <f>IF(AND(Q334&lt;&gt;"",R334&lt;&gt;"",DATE(2026,8,0)&gt;=Q334,DATE(2026,7,1)&lt;=R334),"█","")</f>
        <v/>
      </c>
      <c r="L334" s="34" t="str">
        <f>IF(AND(Q334&lt;&gt;"",R334&lt;&gt;"",DATE(2026,9,0)&gt;=Q334,DATE(2026,8,1)&lt;=R334),"█","")</f>
        <v/>
      </c>
      <c r="M334" s="34" t="str">
        <f>IF(AND(Q334&lt;&gt;"",R334&lt;&gt;"",DATE(2026,10,0)&gt;=Q334,DATE(2026,9,1)&lt;=R334),"█","")</f>
        <v/>
      </c>
      <c r="N334" s="34" t="str">
        <f>IF(AND(Q334&lt;&gt;"",R334&lt;&gt;"",DATE(2026,11,0)&gt;=Q334,DATE(2026,10,1)&lt;=R334),"█","")</f>
        <v/>
      </c>
      <c r="O334" s="34" t="str">
        <f>IF(AND(Q334&lt;&gt;"",R334&lt;&gt;"",DATE(2026,12,0)&gt;=Q334,DATE(2026,11,1)&lt;=R334),"█","")</f>
        <v/>
      </c>
      <c r="P334" s="34" t="str">
        <f>IF(AND(Q334&lt;&gt;"",R334&lt;&gt;"",DATE(2026,12,31)&gt;=Q334,DATE(2026,12,1)&lt;=R334),"█","")</f>
        <v/>
      </c>
      <c r="Q334" s="7" t="str">
        <f>IF('Release Calendar'!I334&lt;&gt;"",'Release Calendar'!I334,"")</f>
        <v/>
      </c>
      <c r="R334" s="7" t="str">
        <f>IF('Release Calendar'!J334&lt;&gt;"",'Release Calendar'!J334,"")</f>
        <v/>
      </c>
    </row>
    <row r="335" spans="1:18" ht="20.100000000000001" customHeight="1">
      <c r="A335" s="14">
        <v>331</v>
      </c>
      <c r="B335" s="28" t="str">
        <f>IF('Release Calendar'!B335&lt;&gt;"",'Release Calendar'!B335,"")</f>
        <v/>
      </c>
      <c r="C335" s="29" t="str">
        <f>IF('Release Calendar'!K335&lt;&gt;"",'Release Calendar'!K335,"")</f>
        <v/>
      </c>
      <c r="D335" s="29" t="str">
        <f>IF('Release Calendar'!M335&lt;&gt;"",'Release Calendar'!M335,"")</f>
        <v/>
      </c>
      <c r="E335" s="30" t="str">
        <f>IF(AND(Q335&lt;&gt;"",R335&lt;&gt;"",DATE(2026,2,0)&gt;=Q335,DATE(2026,1,1)&lt;=R335),"█","")</f>
        <v/>
      </c>
      <c r="F335" s="30" t="str">
        <f>IF(AND(Q335&lt;&gt;"",R335&lt;&gt;"",DATE(2026,3,0)&gt;=Q335,DATE(2026,2,1)&lt;=R335),"█","")</f>
        <v/>
      </c>
      <c r="G335" s="30" t="str">
        <f>IF(AND(Q335&lt;&gt;"",R335&lt;&gt;"",DATE(2026,4,0)&gt;=Q335,DATE(2026,3,1)&lt;=R335),"█","")</f>
        <v/>
      </c>
      <c r="H335" s="30" t="str">
        <f>IF(AND(Q335&lt;&gt;"",R335&lt;&gt;"",DATE(2026,5,0)&gt;=Q335,DATE(2026,4,1)&lt;=R335),"█","")</f>
        <v/>
      </c>
      <c r="I335" s="30" t="str">
        <f>IF(AND(Q335&lt;&gt;"",R335&lt;&gt;"",DATE(2026,6,0)&gt;=Q335,DATE(2026,5,1)&lt;=R335),"█","")</f>
        <v/>
      </c>
      <c r="J335" s="30" t="str">
        <f>IF(AND(Q335&lt;&gt;"",R335&lt;&gt;"",DATE(2026,7,0)&gt;=Q335,DATE(2026,6,1)&lt;=R335),"█","")</f>
        <v/>
      </c>
      <c r="K335" s="30" t="str">
        <f>IF(AND(Q335&lt;&gt;"",R335&lt;&gt;"",DATE(2026,8,0)&gt;=Q335,DATE(2026,7,1)&lt;=R335),"█","")</f>
        <v/>
      </c>
      <c r="L335" s="30" t="str">
        <f>IF(AND(Q335&lt;&gt;"",R335&lt;&gt;"",DATE(2026,9,0)&gt;=Q335,DATE(2026,8,1)&lt;=R335),"█","")</f>
        <v/>
      </c>
      <c r="M335" s="30" t="str">
        <f>IF(AND(Q335&lt;&gt;"",R335&lt;&gt;"",DATE(2026,10,0)&gt;=Q335,DATE(2026,9,1)&lt;=R335),"█","")</f>
        <v/>
      </c>
      <c r="N335" s="30" t="str">
        <f>IF(AND(Q335&lt;&gt;"",R335&lt;&gt;"",DATE(2026,11,0)&gt;=Q335,DATE(2026,10,1)&lt;=R335),"█","")</f>
        <v/>
      </c>
      <c r="O335" s="30" t="str">
        <f>IF(AND(Q335&lt;&gt;"",R335&lt;&gt;"",DATE(2026,12,0)&gt;=Q335,DATE(2026,11,1)&lt;=R335),"█","")</f>
        <v/>
      </c>
      <c r="P335" s="30" t="str">
        <f>IF(AND(Q335&lt;&gt;"",R335&lt;&gt;"",DATE(2026,12,31)&gt;=Q335,DATE(2026,12,1)&lt;=R335),"█","")</f>
        <v/>
      </c>
      <c r="Q335" s="7" t="str">
        <f>IF('Release Calendar'!I335&lt;&gt;"",'Release Calendar'!I335,"")</f>
        <v/>
      </c>
      <c r="R335" s="7" t="str">
        <f>IF('Release Calendar'!J335&lt;&gt;"",'Release Calendar'!J335,"")</f>
        <v/>
      </c>
    </row>
    <row r="336" spans="1:18" ht="20.100000000000001" customHeight="1">
      <c r="A336" s="31">
        <v>332</v>
      </c>
      <c r="B336" s="32" t="str">
        <f>IF('Release Calendar'!B336&lt;&gt;"",'Release Calendar'!B336,"")</f>
        <v/>
      </c>
      <c r="C336" s="33" t="str">
        <f>IF('Release Calendar'!K336&lt;&gt;"",'Release Calendar'!K336,"")</f>
        <v/>
      </c>
      <c r="D336" s="33" t="str">
        <f>IF('Release Calendar'!M336&lt;&gt;"",'Release Calendar'!M336,"")</f>
        <v/>
      </c>
      <c r="E336" s="34" t="str">
        <f>IF(AND(Q336&lt;&gt;"",R336&lt;&gt;"",DATE(2026,2,0)&gt;=Q336,DATE(2026,1,1)&lt;=R336),"█","")</f>
        <v/>
      </c>
      <c r="F336" s="34" t="str">
        <f>IF(AND(Q336&lt;&gt;"",R336&lt;&gt;"",DATE(2026,3,0)&gt;=Q336,DATE(2026,2,1)&lt;=R336),"█","")</f>
        <v/>
      </c>
      <c r="G336" s="34" t="str">
        <f>IF(AND(Q336&lt;&gt;"",R336&lt;&gt;"",DATE(2026,4,0)&gt;=Q336,DATE(2026,3,1)&lt;=R336),"█","")</f>
        <v/>
      </c>
      <c r="H336" s="34" t="str">
        <f>IF(AND(Q336&lt;&gt;"",R336&lt;&gt;"",DATE(2026,5,0)&gt;=Q336,DATE(2026,4,1)&lt;=R336),"█","")</f>
        <v/>
      </c>
      <c r="I336" s="34" t="str">
        <f>IF(AND(Q336&lt;&gt;"",R336&lt;&gt;"",DATE(2026,6,0)&gt;=Q336,DATE(2026,5,1)&lt;=R336),"█","")</f>
        <v/>
      </c>
      <c r="J336" s="34" t="str">
        <f>IF(AND(Q336&lt;&gt;"",R336&lt;&gt;"",DATE(2026,7,0)&gt;=Q336,DATE(2026,6,1)&lt;=R336),"█","")</f>
        <v/>
      </c>
      <c r="K336" s="34" t="str">
        <f>IF(AND(Q336&lt;&gt;"",R336&lt;&gt;"",DATE(2026,8,0)&gt;=Q336,DATE(2026,7,1)&lt;=R336),"█","")</f>
        <v/>
      </c>
      <c r="L336" s="34" t="str">
        <f>IF(AND(Q336&lt;&gt;"",R336&lt;&gt;"",DATE(2026,9,0)&gt;=Q336,DATE(2026,8,1)&lt;=R336),"█","")</f>
        <v/>
      </c>
      <c r="M336" s="34" t="str">
        <f>IF(AND(Q336&lt;&gt;"",R336&lt;&gt;"",DATE(2026,10,0)&gt;=Q336,DATE(2026,9,1)&lt;=R336),"█","")</f>
        <v/>
      </c>
      <c r="N336" s="34" t="str">
        <f>IF(AND(Q336&lt;&gt;"",R336&lt;&gt;"",DATE(2026,11,0)&gt;=Q336,DATE(2026,10,1)&lt;=R336),"█","")</f>
        <v/>
      </c>
      <c r="O336" s="34" t="str">
        <f>IF(AND(Q336&lt;&gt;"",R336&lt;&gt;"",DATE(2026,12,0)&gt;=Q336,DATE(2026,11,1)&lt;=R336),"█","")</f>
        <v/>
      </c>
      <c r="P336" s="34" t="str">
        <f>IF(AND(Q336&lt;&gt;"",R336&lt;&gt;"",DATE(2026,12,31)&gt;=Q336,DATE(2026,12,1)&lt;=R336),"█","")</f>
        <v/>
      </c>
      <c r="Q336" s="7" t="str">
        <f>IF('Release Calendar'!I336&lt;&gt;"",'Release Calendar'!I336,"")</f>
        <v/>
      </c>
      <c r="R336" s="7" t="str">
        <f>IF('Release Calendar'!J336&lt;&gt;"",'Release Calendar'!J336,"")</f>
        <v/>
      </c>
    </row>
    <row r="337" spans="1:18" ht="20.100000000000001" customHeight="1">
      <c r="A337" s="14">
        <v>333</v>
      </c>
      <c r="B337" s="28" t="str">
        <f>IF('Release Calendar'!B337&lt;&gt;"",'Release Calendar'!B337,"")</f>
        <v/>
      </c>
      <c r="C337" s="29" t="str">
        <f>IF('Release Calendar'!K337&lt;&gt;"",'Release Calendar'!K337,"")</f>
        <v/>
      </c>
      <c r="D337" s="29" t="str">
        <f>IF('Release Calendar'!M337&lt;&gt;"",'Release Calendar'!M337,"")</f>
        <v/>
      </c>
      <c r="E337" s="30" t="str">
        <f>IF(AND(Q337&lt;&gt;"",R337&lt;&gt;"",DATE(2026,2,0)&gt;=Q337,DATE(2026,1,1)&lt;=R337),"█","")</f>
        <v/>
      </c>
      <c r="F337" s="30" t="str">
        <f>IF(AND(Q337&lt;&gt;"",R337&lt;&gt;"",DATE(2026,3,0)&gt;=Q337,DATE(2026,2,1)&lt;=R337),"█","")</f>
        <v/>
      </c>
      <c r="G337" s="30" t="str">
        <f>IF(AND(Q337&lt;&gt;"",R337&lt;&gt;"",DATE(2026,4,0)&gt;=Q337,DATE(2026,3,1)&lt;=R337),"█","")</f>
        <v/>
      </c>
      <c r="H337" s="30" t="str">
        <f>IF(AND(Q337&lt;&gt;"",R337&lt;&gt;"",DATE(2026,5,0)&gt;=Q337,DATE(2026,4,1)&lt;=R337),"█","")</f>
        <v/>
      </c>
      <c r="I337" s="30" t="str">
        <f>IF(AND(Q337&lt;&gt;"",R337&lt;&gt;"",DATE(2026,6,0)&gt;=Q337,DATE(2026,5,1)&lt;=R337),"█","")</f>
        <v/>
      </c>
      <c r="J337" s="30" t="str">
        <f>IF(AND(Q337&lt;&gt;"",R337&lt;&gt;"",DATE(2026,7,0)&gt;=Q337,DATE(2026,6,1)&lt;=R337),"█","")</f>
        <v/>
      </c>
      <c r="K337" s="30" t="str">
        <f>IF(AND(Q337&lt;&gt;"",R337&lt;&gt;"",DATE(2026,8,0)&gt;=Q337,DATE(2026,7,1)&lt;=R337),"█","")</f>
        <v/>
      </c>
      <c r="L337" s="30" t="str">
        <f>IF(AND(Q337&lt;&gt;"",R337&lt;&gt;"",DATE(2026,9,0)&gt;=Q337,DATE(2026,8,1)&lt;=R337),"█","")</f>
        <v/>
      </c>
      <c r="M337" s="30" t="str">
        <f>IF(AND(Q337&lt;&gt;"",R337&lt;&gt;"",DATE(2026,10,0)&gt;=Q337,DATE(2026,9,1)&lt;=R337),"█","")</f>
        <v/>
      </c>
      <c r="N337" s="30" t="str">
        <f>IF(AND(Q337&lt;&gt;"",R337&lt;&gt;"",DATE(2026,11,0)&gt;=Q337,DATE(2026,10,1)&lt;=R337),"█","")</f>
        <v/>
      </c>
      <c r="O337" s="30" t="str">
        <f>IF(AND(Q337&lt;&gt;"",R337&lt;&gt;"",DATE(2026,12,0)&gt;=Q337,DATE(2026,11,1)&lt;=R337),"█","")</f>
        <v/>
      </c>
      <c r="P337" s="30" t="str">
        <f>IF(AND(Q337&lt;&gt;"",R337&lt;&gt;"",DATE(2026,12,31)&gt;=Q337,DATE(2026,12,1)&lt;=R337),"█","")</f>
        <v/>
      </c>
      <c r="Q337" s="7" t="str">
        <f>IF('Release Calendar'!I337&lt;&gt;"",'Release Calendar'!I337,"")</f>
        <v/>
      </c>
      <c r="R337" s="7" t="str">
        <f>IF('Release Calendar'!J337&lt;&gt;"",'Release Calendar'!J337,"")</f>
        <v/>
      </c>
    </row>
    <row r="338" spans="1:18" ht="20.100000000000001" customHeight="1">
      <c r="A338" s="31">
        <v>334</v>
      </c>
      <c r="B338" s="32" t="str">
        <f>IF('Release Calendar'!B338&lt;&gt;"",'Release Calendar'!B338,"")</f>
        <v/>
      </c>
      <c r="C338" s="33" t="str">
        <f>IF('Release Calendar'!K338&lt;&gt;"",'Release Calendar'!K338,"")</f>
        <v/>
      </c>
      <c r="D338" s="33" t="str">
        <f>IF('Release Calendar'!M338&lt;&gt;"",'Release Calendar'!M338,"")</f>
        <v/>
      </c>
      <c r="E338" s="34" t="str">
        <f>IF(AND(Q338&lt;&gt;"",R338&lt;&gt;"",DATE(2026,2,0)&gt;=Q338,DATE(2026,1,1)&lt;=R338),"█","")</f>
        <v/>
      </c>
      <c r="F338" s="34" t="str">
        <f>IF(AND(Q338&lt;&gt;"",R338&lt;&gt;"",DATE(2026,3,0)&gt;=Q338,DATE(2026,2,1)&lt;=R338),"█","")</f>
        <v/>
      </c>
      <c r="G338" s="34" t="str">
        <f>IF(AND(Q338&lt;&gt;"",R338&lt;&gt;"",DATE(2026,4,0)&gt;=Q338,DATE(2026,3,1)&lt;=R338),"█","")</f>
        <v/>
      </c>
      <c r="H338" s="34" t="str">
        <f>IF(AND(Q338&lt;&gt;"",R338&lt;&gt;"",DATE(2026,5,0)&gt;=Q338,DATE(2026,4,1)&lt;=R338),"█","")</f>
        <v/>
      </c>
      <c r="I338" s="34" t="str">
        <f>IF(AND(Q338&lt;&gt;"",R338&lt;&gt;"",DATE(2026,6,0)&gt;=Q338,DATE(2026,5,1)&lt;=R338),"█","")</f>
        <v/>
      </c>
      <c r="J338" s="34" t="str">
        <f>IF(AND(Q338&lt;&gt;"",R338&lt;&gt;"",DATE(2026,7,0)&gt;=Q338,DATE(2026,6,1)&lt;=R338),"█","")</f>
        <v/>
      </c>
      <c r="K338" s="34" t="str">
        <f>IF(AND(Q338&lt;&gt;"",R338&lt;&gt;"",DATE(2026,8,0)&gt;=Q338,DATE(2026,7,1)&lt;=R338),"█","")</f>
        <v/>
      </c>
      <c r="L338" s="34" t="str">
        <f>IF(AND(Q338&lt;&gt;"",R338&lt;&gt;"",DATE(2026,9,0)&gt;=Q338,DATE(2026,8,1)&lt;=R338),"█","")</f>
        <v/>
      </c>
      <c r="M338" s="34" t="str">
        <f>IF(AND(Q338&lt;&gt;"",R338&lt;&gt;"",DATE(2026,10,0)&gt;=Q338,DATE(2026,9,1)&lt;=R338),"█","")</f>
        <v/>
      </c>
      <c r="N338" s="34" t="str">
        <f>IF(AND(Q338&lt;&gt;"",R338&lt;&gt;"",DATE(2026,11,0)&gt;=Q338,DATE(2026,10,1)&lt;=R338),"█","")</f>
        <v/>
      </c>
      <c r="O338" s="34" t="str">
        <f>IF(AND(Q338&lt;&gt;"",R338&lt;&gt;"",DATE(2026,12,0)&gt;=Q338,DATE(2026,11,1)&lt;=R338),"█","")</f>
        <v/>
      </c>
      <c r="P338" s="34" t="str">
        <f>IF(AND(Q338&lt;&gt;"",R338&lt;&gt;"",DATE(2026,12,31)&gt;=Q338,DATE(2026,12,1)&lt;=R338),"█","")</f>
        <v/>
      </c>
      <c r="Q338" s="7" t="str">
        <f>IF('Release Calendar'!I338&lt;&gt;"",'Release Calendar'!I338,"")</f>
        <v/>
      </c>
      <c r="R338" s="7" t="str">
        <f>IF('Release Calendar'!J338&lt;&gt;"",'Release Calendar'!J338,"")</f>
        <v/>
      </c>
    </row>
    <row r="339" spans="1:18" ht="20.100000000000001" customHeight="1">
      <c r="A339" s="14">
        <v>335</v>
      </c>
      <c r="B339" s="28" t="str">
        <f>IF('Release Calendar'!B339&lt;&gt;"",'Release Calendar'!B339,"")</f>
        <v/>
      </c>
      <c r="C339" s="29" t="str">
        <f>IF('Release Calendar'!K339&lt;&gt;"",'Release Calendar'!K339,"")</f>
        <v/>
      </c>
      <c r="D339" s="29" t="str">
        <f>IF('Release Calendar'!M339&lt;&gt;"",'Release Calendar'!M339,"")</f>
        <v/>
      </c>
      <c r="E339" s="30" t="str">
        <f>IF(AND(Q339&lt;&gt;"",R339&lt;&gt;"",DATE(2026,2,0)&gt;=Q339,DATE(2026,1,1)&lt;=R339),"█","")</f>
        <v/>
      </c>
      <c r="F339" s="30" t="str">
        <f>IF(AND(Q339&lt;&gt;"",R339&lt;&gt;"",DATE(2026,3,0)&gt;=Q339,DATE(2026,2,1)&lt;=R339),"█","")</f>
        <v/>
      </c>
      <c r="G339" s="30" t="str">
        <f>IF(AND(Q339&lt;&gt;"",R339&lt;&gt;"",DATE(2026,4,0)&gt;=Q339,DATE(2026,3,1)&lt;=R339),"█","")</f>
        <v/>
      </c>
      <c r="H339" s="30" t="str">
        <f>IF(AND(Q339&lt;&gt;"",R339&lt;&gt;"",DATE(2026,5,0)&gt;=Q339,DATE(2026,4,1)&lt;=R339),"█","")</f>
        <v/>
      </c>
      <c r="I339" s="30" t="str">
        <f>IF(AND(Q339&lt;&gt;"",R339&lt;&gt;"",DATE(2026,6,0)&gt;=Q339,DATE(2026,5,1)&lt;=R339),"█","")</f>
        <v/>
      </c>
      <c r="J339" s="30" t="str">
        <f>IF(AND(Q339&lt;&gt;"",R339&lt;&gt;"",DATE(2026,7,0)&gt;=Q339,DATE(2026,6,1)&lt;=R339),"█","")</f>
        <v/>
      </c>
      <c r="K339" s="30" t="str">
        <f>IF(AND(Q339&lt;&gt;"",R339&lt;&gt;"",DATE(2026,8,0)&gt;=Q339,DATE(2026,7,1)&lt;=R339),"█","")</f>
        <v/>
      </c>
      <c r="L339" s="30" t="str">
        <f>IF(AND(Q339&lt;&gt;"",R339&lt;&gt;"",DATE(2026,9,0)&gt;=Q339,DATE(2026,8,1)&lt;=R339),"█","")</f>
        <v/>
      </c>
      <c r="M339" s="30" t="str">
        <f>IF(AND(Q339&lt;&gt;"",R339&lt;&gt;"",DATE(2026,10,0)&gt;=Q339,DATE(2026,9,1)&lt;=R339),"█","")</f>
        <v/>
      </c>
      <c r="N339" s="30" t="str">
        <f>IF(AND(Q339&lt;&gt;"",R339&lt;&gt;"",DATE(2026,11,0)&gt;=Q339,DATE(2026,10,1)&lt;=R339),"█","")</f>
        <v/>
      </c>
      <c r="O339" s="30" t="str">
        <f>IF(AND(Q339&lt;&gt;"",R339&lt;&gt;"",DATE(2026,12,0)&gt;=Q339,DATE(2026,11,1)&lt;=R339),"█","")</f>
        <v/>
      </c>
      <c r="P339" s="30" t="str">
        <f>IF(AND(Q339&lt;&gt;"",R339&lt;&gt;"",DATE(2026,12,31)&gt;=Q339,DATE(2026,12,1)&lt;=R339),"█","")</f>
        <v/>
      </c>
      <c r="Q339" s="7" t="str">
        <f>IF('Release Calendar'!I339&lt;&gt;"",'Release Calendar'!I339,"")</f>
        <v/>
      </c>
      <c r="R339" s="7" t="str">
        <f>IF('Release Calendar'!J339&lt;&gt;"",'Release Calendar'!J339,"")</f>
        <v/>
      </c>
    </row>
    <row r="340" spans="1:18" ht="20.100000000000001" customHeight="1">
      <c r="A340" s="31">
        <v>336</v>
      </c>
      <c r="B340" s="32" t="str">
        <f>IF('Release Calendar'!B340&lt;&gt;"",'Release Calendar'!B340,"")</f>
        <v/>
      </c>
      <c r="C340" s="33" t="str">
        <f>IF('Release Calendar'!K340&lt;&gt;"",'Release Calendar'!K340,"")</f>
        <v/>
      </c>
      <c r="D340" s="33" t="str">
        <f>IF('Release Calendar'!M340&lt;&gt;"",'Release Calendar'!M340,"")</f>
        <v/>
      </c>
      <c r="E340" s="34" t="str">
        <f>IF(AND(Q340&lt;&gt;"",R340&lt;&gt;"",DATE(2026,2,0)&gt;=Q340,DATE(2026,1,1)&lt;=R340),"█","")</f>
        <v/>
      </c>
      <c r="F340" s="34" t="str">
        <f>IF(AND(Q340&lt;&gt;"",R340&lt;&gt;"",DATE(2026,3,0)&gt;=Q340,DATE(2026,2,1)&lt;=R340),"█","")</f>
        <v/>
      </c>
      <c r="G340" s="34" t="str">
        <f>IF(AND(Q340&lt;&gt;"",R340&lt;&gt;"",DATE(2026,4,0)&gt;=Q340,DATE(2026,3,1)&lt;=R340),"█","")</f>
        <v/>
      </c>
      <c r="H340" s="34" t="str">
        <f>IF(AND(Q340&lt;&gt;"",R340&lt;&gt;"",DATE(2026,5,0)&gt;=Q340,DATE(2026,4,1)&lt;=R340),"█","")</f>
        <v/>
      </c>
      <c r="I340" s="34" t="str">
        <f>IF(AND(Q340&lt;&gt;"",R340&lt;&gt;"",DATE(2026,6,0)&gt;=Q340,DATE(2026,5,1)&lt;=R340),"█","")</f>
        <v/>
      </c>
      <c r="J340" s="34" t="str">
        <f>IF(AND(Q340&lt;&gt;"",R340&lt;&gt;"",DATE(2026,7,0)&gt;=Q340,DATE(2026,6,1)&lt;=R340),"█","")</f>
        <v/>
      </c>
      <c r="K340" s="34" t="str">
        <f>IF(AND(Q340&lt;&gt;"",R340&lt;&gt;"",DATE(2026,8,0)&gt;=Q340,DATE(2026,7,1)&lt;=R340),"█","")</f>
        <v/>
      </c>
      <c r="L340" s="34" t="str">
        <f>IF(AND(Q340&lt;&gt;"",R340&lt;&gt;"",DATE(2026,9,0)&gt;=Q340,DATE(2026,8,1)&lt;=R340),"█","")</f>
        <v/>
      </c>
      <c r="M340" s="34" t="str">
        <f>IF(AND(Q340&lt;&gt;"",R340&lt;&gt;"",DATE(2026,10,0)&gt;=Q340,DATE(2026,9,1)&lt;=R340),"█","")</f>
        <v/>
      </c>
      <c r="N340" s="34" t="str">
        <f>IF(AND(Q340&lt;&gt;"",R340&lt;&gt;"",DATE(2026,11,0)&gt;=Q340,DATE(2026,10,1)&lt;=R340),"█","")</f>
        <v/>
      </c>
      <c r="O340" s="34" t="str">
        <f>IF(AND(Q340&lt;&gt;"",R340&lt;&gt;"",DATE(2026,12,0)&gt;=Q340,DATE(2026,11,1)&lt;=R340),"█","")</f>
        <v/>
      </c>
      <c r="P340" s="34" t="str">
        <f>IF(AND(Q340&lt;&gt;"",R340&lt;&gt;"",DATE(2026,12,31)&gt;=Q340,DATE(2026,12,1)&lt;=R340),"█","")</f>
        <v/>
      </c>
      <c r="Q340" s="7" t="str">
        <f>IF('Release Calendar'!I340&lt;&gt;"",'Release Calendar'!I340,"")</f>
        <v/>
      </c>
      <c r="R340" s="7" t="str">
        <f>IF('Release Calendar'!J340&lt;&gt;"",'Release Calendar'!J340,"")</f>
        <v/>
      </c>
    </row>
    <row r="341" spans="1:18" ht="20.100000000000001" customHeight="1">
      <c r="A341" s="14">
        <v>337</v>
      </c>
      <c r="B341" s="28" t="str">
        <f>IF('Release Calendar'!B341&lt;&gt;"",'Release Calendar'!B341,"")</f>
        <v/>
      </c>
      <c r="C341" s="29" t="str">
        <f>IF('Release Calendar'!K341&lt;&gt;"",'Release Calendar'!K341,"")</f>
        <v/>
      </c>
      <c r="D341" s="29" t="str">
        <f>IF('Release Calendar'!M341&lt;&gt;"",'Release Calendar'!M341,"")</f>
        <v/>
      </c>
      <c r="E341" s="30" t="str">
        <f>IF(AND(Q341&lt;&gt;"",R341&lt;&gt;"",DATE(2026,2,0)&gt;=Q341,DATE(2026,1,1)&lt;=R341),"█","")</f>
        <v/>
      </c>
      <c r="F341" s="30" t="str">
        <f>IF(AND(Q341&lt;&gt;"",R341&lt;&gt;"",DATE(2026,3,0)&gt;=Q341,DATE(2026,2,1)&lt;=R341),"█","")</f>
        <v/>
      </c>
      <c r="G341" s="30" t="str">
        <f>IF(AND(Q341&lt;&gt;"",R341&lt;&gt;"",DATE(2026,4,0)&gt;=Q341,DATE(2026,3,1)&lt;=R341),"█","")</f>
        <v/>
      </c>
      <c r="H341" s="30" t="str">
        <f>IF(AND(Q341&lt;&gt;"",R341&lt;&gt;"",DATE(2026,5,0)&gt;=Q341,DATE(2026,4,1)&lt;=R341),"█","")</f>
        <v/>
      </c>
      <c r="I341" s="30" t="str">
        <f>IF(AND(Q341&lt;&gt;"",R341&lt;&gt;"",DATE(2026,6,0)&gt;=Q341,DATE(2026,5,1)&lt;=R341),"█","")</f>
        <v/>
      </c>
      <c r="J341" s="30" t="str">
        <f>IF(AND(Q341&lt;&gt;"",R341&lt;&gt;"",DATE(2026,7,0)&gt;=Q341,DATE(2026,6,1)&lt;=R341),"█","")</f>
        <v/>
      </c>
      <c r="K341" s="30" t="str">
        <f>IF(AND(Q341&lt;&gt;"",R341&lt;&gt;"",DATE(2026,8,0)&gt;=Q341,DATE(2026,7,1)&lt;=R341),"█","")</f>
        <v/>
      </c>
      <c r="L341" s="30" t="str">
        <f>IF(AND(Q341&lt;&gt;"",R341&lt;&gt;"",DATE(2026,9,0)&gt;=Q341,DATE(2026,8,1)&lt;=R341),"█","")</f>
        <v/>
      </c>
      <c r="M341" s="30" t="str">
        <f>IF(AND(Q341&lt;&gt;"",R341&lt;&gt;"",DATE(2026,10,0)&gt;=Q341,DATE(2026,9,1)&lt;=R341),"█","")</f>
        <v/>
      </c>
      <c r="N341" s="30" t="str">
        <f>IF(AND(Q341&lt;&gt;"",R341&lt;&gt;"",DATE(2026,11,0)&gt;=Q341,DATE(2026,10,1)&lt;=R341),"█","")</f>
        <v/>
      </c>
      <c r="O341" s="30" t="str">
        <f>IF(AND(Q341&lt;&gt;"",R341&lt;&gt;"",DATE(2026,12,0)&gt;=Q341,DATE(2026,11,1)&lt;=R341),"█","")</f>
        <v/>
      </c>
      <c r="P341" s="30" t="str">
        <f>IF(AND(Q341&lt;&gt;"",R341&lt;&gt;"",DATE(2026,12,31)&gt;=Q341,DATE(2026,12,1)&lt;=R341),"█","")</f>
        <v/>
      </c>
      <c r="Q341" s="7" t="str">
        <f>IF('Release Calendar'!I341&lt;&gt;"",'Release Calendar'!I341,"")</f>
        <v/>
      </c>
      <c r="R341" s="7" t="str">
        <f>IF('Release Calendar'!J341&lt;&gt;"",'Release Calendar'!J341,"")</f>
        <v/>
      </c>
    </row>
    <row r="342" spans="1:18" ht="20.100000000000001" customHeight="1">
      <c r="A342" s="31">
        <v>338</v>
      </c>
      <c r="B342" s="32" t="str">
        <f>IF('Release Calendar'!B342&lt;&gt;"",'Release Calendar'!B342,"")</f>
        <v/>
      </c>
      <c r="C342" s="33" t="str">
        <f>IF('Release Calendar'!K342&lt;&gt;"",'Release Calendar'!K342,"")</f>
        <v/>
      </c>
      <c r="D342" s="33" t="str">
        <f>IF('Release Calendar'!M342&lt;&gt;"",'Release Calendar'!M342,"")</f>
        <v/>
      </c>
      <c r="E342" s="34" t="str">
        <f>IF(AND(Q342&lt;&gt;"",R342&lt;&gt;"",DATE(2026,2,0)&gt;=Q342,DATE(2026,1,1)&lt;=R342),"█","")</f>
        <v/>
      </c>
      <c r="F342" s="34" t="str">
        <f>IF(AND(Q342&lt;&gt;"",R342&lt;&gt;"",DATE(2026,3,0)&gt;=Q342,DATE(2026,2,1)&lt;=R342),"█","")</f>
        <v/>
      </c>
      <c r="G342" s="34" t="str">
        <f>IF(AND(Q342&lt;&gt;"",R342&lt;&gt;"",DATE(2026,4,0)&gt;=Q342,DATE(2026,3,1)&lt;=R342),"█","")</f>
        <v/>
      </c>
      <c r="H342" s="34" t="str">
        <f>IF(AND(Q342&lt;&gt;"",R342&lt;&gt;"",DATE(2026,5,0)&gt;=Q342,DATE(2026,4,1)&lt;=R342),"█","")</f>
        <v/>
      </c>
      <c r="I342" s="34" t="str">
        <f>IF(AND(Q342&lt;&gt;"",R342&lt;&gt;"",DATE(2026,6,0)&gt;=Q342,DATE(2026,5,1)&lt;=R342),"█","")</f>
        <v/>
      </c>
      <c r="J342" s="34" t="str">
        <f>IF(AND(Q342&lt;&gt;"",R342&lt;&gt;"",DATE(2026,7,0)&gt;=Q342,DATE(2026,6,1)&lt;=R342),"█","")</f>
        <v/>
      </c>
      <c r="K342" s="34" t="str">
        <f>IF(AND(Q342&lt;&gt;"",R342&lt;&gt;"",DATE(2026,8,0)&gt;=Q342,DATE(2026,7,1)&lt;=R342),"█","")</f>
        <v/>
      </c>
      <c r="L342" s="34" t="str">
        <f>IF(AND(Q342&lt;&gt;"",R342&lt;&gt;"",DATE(2026,9,0)&gt;=Q342,DATE(2026,8,1)&lt;=R342),"█","")</f>
        <v/>
      </c>
      <c r="M342" s="34" t="str">
        <f>IF(AND(Q342&lt;&gt;"",R342&lt;&gt;"",DATE(2026,10,0)&gt;=Q342,DATE(2026,9,1)&lt;=R342),"█","")</f>
        <v/>
      </c>
      <c r="N342" s="34" t="str">
        <f>IF(AND(Q342&lt;&gt;"",R342&lt;&gt;"",DATE(2026,11,0)&gt;=Q342,DATE(2026,10,1)&lt;=R342),"█","")</f>
        <v/>
      </c>
      <c r="O342" s="34" t="str">
        <f>IF(AND(Q342&lt;&gt;"",R342&lt;&gt;"",DATE(2026,12,0)&gt;=Q342,DATE(2026,11,1)&lt;=R342),"█","")</f>
        <v/>
      </c>
      <c r="P342" s="34" t="str">
        <f>IF(AND(Q342&lt;&gt;"",R342&lt;&gt;"",DATE(2026,12,31)&gt;=Q342,DATE(2026,12,1)&lt;=R342),"█","")</f>
        <v/>
      </c>
      <c r="Q342" s="7" t="str">
        <f>IF('Release Calendar'!I342&lt;&gt;"",'Release Calendar'!I342,"")</f>
        <v/>
      </c>
      <c r="R342" s="7" t="str">
        <f>IF('Release Calendar'!J342&lt;&gt;"",'Release Calendar'!J342,"")</f>
        <v/>
      </c>
    </row>
    <row r="343" spans="1:18" ht="20.100000000000001" customHeight="1">
      <c r="A343" s="14">
        <v>339</v>
      </c>
      <c r="B343" s="28" t="str">
        <f>IF('Release Calendar'!B343&lt;&gt;"",'Release Calendar'!B343,"")</f>
        <v/>
      </c>
      <c r="C343" s="29" t="str">
        <f>IF('Release Calendar'!K343&lt;&gt;"",'Release Calendar'!K343,"")</f>
        <v/>
      </c>
      <c r="D343" s="29" t="str">
        <f>IF('Release Calendar'!M343&lt;&gt;"",'Release Calendar'!M343,"")</f>
        <v/>
      </c>
      <c r="E343" s="30" t="str">
        <f>IF(AND(Q343&lt;&gt;"",R343&lt;&gt;"",DATE(2026,2,0)&gt;=Q343,DATE(2026,1,1)&lt;=R343),"█","")</f>
        <v/>
      </c>
      <c r="F343" s="30" t="str">
        <f>IF(AND(Q343&lt;&gt;"",R343&lt;&gt;"",DATE(2026,3,0)&gt;=Q343,DATE(2026,2,1)&lt;=R343),"█","")</f>
        <v/>
      </c>
      <c r="G343" s="30" t="str">
        <f>IF(AND(Q343&lt;&gt;"",R343&lt;&gt;"",DATE(2026,4,0)&gt;=Q343,DATE(2026,3,1)&lt;=R343),"█","")</f>
        <v/>
      </c>
      <c r="H343" s="30" t="str">
        <f>IF(AND(Q343&lt;&gt;"",R343&lt;&gt;"",DATE(2026,5,0)&gt;=Q343,DATE(2026,4,1)&lt;=R343),"█","")</f>
        <v/>
      </c>
      <c r="I343" s="30" t="str">
        <f>IF(AND(Q343&lt;&gt;"",R343&lt;&gt;"",DATE(2026,6,0)&gt;=Q343,DATE(2026,5,1)&lt;=R343),"█","")</f>
        <v/>
      </c>
      <c r="J343" s="30" t="str">
        <f>IF(AND(Q343&lt;&gt;"",R343&lt;&gt;"",DATE(2026,7,0)&gt;=Q343,DATE(2026,6,1)&lt;=R343),"█","")</f>
        <v/>
      </c>
      <c r="K343" s="30" t="str">
        <f>IF(AND(Q343&lt;&gt;"",R343&lt;&gt;"",DATE(2026,8,0)&gt;=Q343,DATE(2026,7,1)&lt;=R343),"█","")</f>
        <v/>
      </c>
      <c r="L343" s="30" t="str">
        <f>IF(AND(Q343&lt;&gt;"",R343&lt;&gt;"",DATE(2026,9,0)&gt;=Q343,DATE(2026,8,1)&lt;=R343),"█","")</f>
        <v/>
      </c>
      <c r="M343" s="30" t="str">
        <f>IF(AND(Q343&lt;&gt;"",R343&lt;&gt;"",DATE(2026,10,0)&gt;=Q343,DATE(2026,9,1)&lt;=R343),"█","")</f>
        <v/>
      </c>
      <c r="N343" s="30" t="str">
        <f>IF(AND(Q343&lt;&gt;"",R343&lt;&gt;"",DATE(2026,11,0)&gt;=Q343,DATE(2026,10,1)&lt;=R343),"█","")</f>
        <v/>
      </c>
      <c r="O343" s="30" t="str">
        <f>IF(AND(Q343&lt;&gt;"",R343&lt;&gt;"",DATE(2026,12,0)&gt;=Q343,DATE(2026,11,1)&lt;=R343),"█","")</f>
        <v/>
      </c>
      <c r="P343" s="30" t="str">
        <f>IF(AND(Q343&lt;&gt;"",R343&lt;&gt;"",DATE(2026,12,31)&gt;=Q343,DATE(2026,12,1)&lt;=R343),"█","")</f>
        <v/>
      </c>
      <c r="Q343" s="7" t="str">
        <f>IF('Release Calendar'!I343&lt;&gt;"",'Release Calendar'!I343,"")</f>
        <v/>
      </c>
      <c r="R343" s="7" t="str">
        <f>IF('Release Calendar'!J343&lt;&gt;"",'Release Calendar'!J343,"")</f>
        <v/>
      </c>
    </row>
    <row r="344" spans="1:18" ht="20.100000000000001" customHeight="1">
      <c r="A344" s="31">
        <v>340</v>
      </c>
      <c r="B344" s="32" t="str">
        <f>IF('Release Calendar'!B344&lt;&gt;"",'Release Calendar'!B344,"")</f>
        <v/>
      </c>
      <c r="C344" s="33" t="str">
        <f>IF('Release Calendar'!K344&lt;&gt;"",'Release Calendar'!K344,"")</f>
        <v/>
      </c>
      <c r="D344" s="33" t="str">
        <f>IF('Release Calendar'!M344&lt;&gt;"",'Release Calendar'!M344,"")</f>
        <v/>
      </c>
      <c r="E344" s="34" t="str">
        <f>IF(AND(Q344&lt;&gt;"",R344&lt;&gt;"",DATE(2026,2,0)&gt;=Q344,DATE(2026,1,1)&lt;=R344),"█","")</f>
        <v/>
      </c>
      <c r="F344" s="34" t="str">
        <f>IF(AND(Q344&lt;&gt;"",R344&lt;&gt;"",DATE(2026,3,0)&gt;=Q344,DATE(2026,2,1)&lt;=R344),"█","")</f>
        <v/>
      </c>
      <c r="G344" s="34" t="str">
        <f>IF(AND(Q344&lt;&gt;"",R344&lt;&gt;"",DATE(2026,4,0)&gt;=Q344,DATE(2026,3,1)&lt;=R344),"█","")</f>
        <v/>
      </c>
      <c r="H344" s="34" t="str">
        <f>IF(AND(Q344&lt;&gt;"",R344&lt;&gt;"",DATE(2026,5,0)&gt;=Q344,DATE(2026,4,1)&lt;=R344),"█","")</f>
        <v/>
      </c>
      <c r="I344" s="34" t="str">
        <f>IF(AND(Q344&lt;&gt;"",R344&lt;&gt;"",DATE(2026,6,0)&gt;=Q344,DATE(2026,5,1)&lt;=R344),"█","")</f>
        <v/>
      </c>
      <c r="J344" s="34" t="str">
        <f>IF(AND(Q344&lt;&gt;"",R344&lt;&gt;"",DATE(2026,7,0)&gt;=Q344,DATE(2026,6,1)&lt;=R344),"█","")</f>
        <v/>
      </c>
      <c r="K344" s="34" t="str">
        <f>IF(AND(Q344&lt;&gt;"",R344&lt;&gt;"",DATE(2026,8,0)&gt;=Q344,DATE(2026,7,1)&lt;=R344),"█","")</f>
        <v/>
      </c>
      <c r="L344" s="34" t="str">
        <f>IF(AND(Q344&lt;&gt;"",R344&lt;&gt;"",DATE(2026,9,0)&gt;=Q344,DATE(2026,8,1)&lt;=R344),"█","")</f>
        <v/>
      </c>
      <c r="M344" s="34" t="str">
        <f>IF(AND(Q344&lt;&gt;"",R344&lt;&gt;"",DATE(2026,10,0)&gt;=Q344,DATE(2026,9,1)&lt;=R344),"█","")</f>
        <v/>
      </c>
      <c r="N344" s="34" t="str">
        <f>IF(AND(Q344&lt;&gt;"",R344&lt;&gt;"",DATE(2026,11,0)&gt;=Q344,DATE(2026,10,1)&lt;=R344),"█","")</f>
        <v/>
      </c>
      <c r="O344" s="34" t="str">
        <f>IF(AND(Q344&lt;&gt;"",R344&lt;&gt;"",DATE(2026,12,0)&gt;=Q344,DATE(2026,11,1)&lt;=R344),"█","")</f>
        <v/>
      </c>
      <c r="P344" s="34" t="str">
        <f>IF(AND(Q344&lt;&gt;"",R344&lt;&gt;"",DATE(2026,12,31)&gt;=Q344,DATE(2026,12,1)&lt;=R344),"█","")</f>
        <v/>
      </c>
      <c r="Q344" s="7" t="str">
        <f>IF('Release Calendar'!I344&lt;&gt;"",'Release Calendar'!I344,"")</f>
        <v/>
      </c>
      <c r="R344" s="7" t="str">
        <f>IF('Release Calendar'!J344&lt;&gt;"",'Release Calendar'!J344,"")</f>
        <v/>
      </c>
    </row>
    <row r="345" spans="1:18" ht="20.100000000000001" customHeight="1">
      <c r="A345" s="14">
        <v>341</v>
      </c>
      <c r="B345" s="28" t="str">
        <f>IF('Release Calendar'!B345&lt;&gt;"",'Release Calendar'!B345,"")</f>
        <v/>
      </c>
      <c r="C345" s="29" t="str">
        <f>IF('Release Calendar'!K345&lt;&gt;"",'Release Calendar'!K345,"")</f>
        <v/>
      </c>
      <c r="D345" s="29" t="str">
        <f>IF('Release Calendar'!M345&lt;&gt;"",'Release Calendar'!M345,"")</f>
        <v/>
      </c>
      <c r="E345" s="30" t="str">
        <f>IF(AND(Q345&lt;&gt;"",R345&lt;&gt;"",DATE(2026,2,0)&gt;=Q345,DATE(2026,1,1)&lt;=R345),"█","")</f>
        <v/>
      </c>
      <c r="F345" s="30" t="str">
        <f>IF(AND(Q345&lt;&gt;"",R345&lt;&gt;"",DATE(2026,3,0)&gt;=Q345,DATE(2026,2,1)&lt;=R345),"█","")</f>
        <v/>
      </c>
      <c r="G345" s="30" t="str">
        <f>IF(AND(Q345&lt;&gt;"",R345&lt;&gt;"",DATE(2026,4,0)&gt;=Q345,DATE(2026,3,1)&lt;=R345),"█","")</f>
        <v/>
      </c>
      <c r="H345" s="30" t="str">
        <f>IF(AND(Q345&lt;&gt;"",R345&lt;&gt;"",DATE(2026,5,0)&gt;=Q345,DATE(2026,4,1)&lt;=R345),"█","")</f>
        <v/>
      </c>
      <c r="I345" s="30" t="str">
        <f>IF(AND(Q345&lt;&gt;"",R345&lt;&gt;"",DATE(2026,6,0)&gt;=Q345,DATE(2026,5,1)&lt;=R345),"█","")</f>
        <v/>
      </c>
      <c r="J345" s="30" t="str">
        <f>IF(AND(Q345&lt;&gt;"",R345&lt;&gt;"",DATE(2026,7,0)&gt;=Q345,DATE(2026,6,1)&lt;=R345),"█","")</f>
        <v/>
      </c>
      <c r="K345" s="30" t="str">
        <f>IF(AND(Q345&lt;&gt;"",R345&lt;&gt;"",DATE(2026,8,0)&gt;=Q345,DATE(2026,7,1)&lt;=R345),"█","")</f>
        <v/>
      </c>
      <c r="L345" s="30" t="str">
        <f>IF(AND(Q345&lt;&gt;"",R345&lt;&gt;"",DATE(2026,9,0)&gt;=Q345,DATE(2026,8,1)&lt;=R345),"█","")</f>
        <v/>
      </c>
      <c r="M345" s="30" t="str">
        <f>IF(AND(Q345&lt;&gt;"",R345&lt;&gt;"",DATE(2026,10,0)&gt;=Q345,DATE(2026,9,1)&lt;=R345),"█","")</f>
        <v/>
      </c>
      <c r="N345" s="30" t="str">
        <f>IF(AND(Q345&lt;&gt;"",R345&lt;&gt;"",DATE(2026,11,0)&gt;=Q345,DATE(2026,10,1)&lt;=R345),"█","")</f>
        <v/>
      </c>
      <c r="O345" s="30" t="str">
        <f>IF(AND(Q345&lt;&gt;"",R345&lt;&gt;"",DATE(2026,12,0)&gt;=Q345,DATE(2026,11,1)&lt;=R345),"█","")</f>
        <v/>
      </c>
      <c r="P345" s="30" t="str">
        <f>IF(AND(Q345&lt;&gt;"",R345&lt;&gt;"",DATE(2026,12,31)&gt;=Q345,DATE(2026,12,1)&lt;=R345),"█","")</f>
        <v/>
      </c>
      <c r="Q345" s="7" t="str">
        <f>IF('Release Calendar'!I345&lt;&gt;"",'Release Calendar'!I345,"")</f>
        <v/>
      </c>
      <c r="R345" s="7" t="str">
        <f>IF('Release Calendar'!J345&lt;&gt;"",'Release Calendar'!J345,"")</f>
        <v/>
      </c>
    </row>
    <row r="346" spans="1:18" ht="20.100000000000001" customHeight="1">
      <c r="A346" s="31">
        <v>342</v>
      </c>
      <c r="B346" s="32" t="str">
        <f>IF('Release Calendar'!B346&lt;&gt;"",'Release Calendar'!B346,"")</f>
        <v/>
      </c>
      <c r="C346" s="33" t="str">
        <f>IF('Release Calendar'!K346&lt;&gt;"",'Release Calendar'!K346,"")</f>
        <v/>
      </c>
      <c r="D346" s="33" t="str">
        <f>IF('Release Calendar'!M346&lt;&gt;"",'Release Calendar'!M346,"")</f>
        <v/>
      </c>
      <c r="E346" s="34" t="str">
        <f>IF(AND(Q346&lt;&gt;"",R346&lt;&gt;"",DATE(2026,2,0)&gt;=Q346,DATE(2026,1,1)&lt;=R346),"█","")</f>
        <v/>
      </c>
      <c r="F346" s="34" t="str">
        <f>IF(AND(Q346&lt;&gt;"",R346&lt;&gt;"",DATE(2026,3,0)&gt;=Q346,DATE(2026,2,1)&lt;=R346),"█","")</f>
        <v/>
      </c>
      <c r="G346" s="34" t="str">
        <f>IF(AND(Q346&lt;&gt;"",R346&lt;&gt;"",DATE(2026,4,0)&gt;=Q346,DATE(2026,3,1)&lt;=R346),"█","")</f>
        <v/>
      </c>
      <c r="H346" s="34" t="str">
        <f>IF(AND(Q346&lt;&gt;"",R346&lt;&gt;"",DATE(2026,5,0)&gt;=Q346,DATE(2026,4,1)&lt;=R346),"█","")</f>
        <v/>
      </c>
      <c r="I346" s="34" t="str">
        <f>IF(AND(Q346&lt;&gt;"",R346&lt;&gt;"",DATE(2026,6,0)&gt;=Q346,DATE(2026,5,1)&lt;=R346),"█","")</f>
        <v/>
      </c>
      <c r="J346" s="34" t="str">
        <f>IF(AND(Q346&lt;&gt;"",R346&lt;&gt;"",DATE(2026,7,0)&gt;=Q346,DATE(2026,6,1)&lt;=R346),"█","")</f>
        <v/>
      </c>
      <c r="K346" s="34" t="str">
        <f>IF(AND(Q346&lt;&gt;"",R346&lt;&gt;"",DATE(2026,8,0)&gt;=Q346,DATE(2026,7,1)&lt;=R346),"█","")</f>
        <v/>
      </c>
      <c r="L346" s="34" t="str">
        <f>IF(AND(Q346&lt;&gt;"",R346&lt;&gt;"",DATE(2026,9,0)&gt;=Q346,DATE(2026,8,1)&lt;=R346),"█","")</f>
        <v/>
      </c>
      <c r="M346" s="34" t="str">
        <f>IF(AND(Q346&lt;&gt;"",R346&lt;&gt;"",DATE(2026,10,0)&gt;=Q346,DATE(2026,9,1)&lt;=R346),"█","")</f>
        <v/>
      </c>
      <c r="N346" s="34" t="str">
        <f>IF(AND(Q346&lt;&gt;"",R346&lt;&gt;"",DATE(2026,11,0)&gt;=Q346,DATE(2026,10,1)&lt;=R346),"█","")</f>
        <v/>
      </c>
      <c r="O346" s="34" t="str">
        <f>IF(AND(Q346&lt;&gt;"",R346&lt;&gt;"",DATE(2026,12,0)&gt;=Q346,DATE(2026,11,1)&lt;=R346),"█","")</f>
        <v/>
      </c>
      <c r="P346" s="34" t="str">
        <f>IF(AND(Q346&lt;&gt;"",R346&lt;&gt;"",DATE(2026,12,31)&gt;=Q346,DATE(2026,12,1)&lt;=R346),"█","")</f>
        <v/>
      </c>
      <c r="Q346" s="7" t="str">
        <f>IF('Release Calendar'!I346&lt;&gt;"",'Release Calendar'!I346,"")</f>
        <v/>
      </c>
      <c r="R346" s="7" t="str">
        <f>IF('Release Calendar'!J346&lt;&gt;"",'Release Calendar'!J346,"")</f>
        <v/>
      </c>
    </row>
    <row r="347" spans="1:18" ht="20.100000000000001" customHeight="1">
      <c r="A347" s="14">
        <v>343</v>
      </c>
      <c r="B347" s="28" t="str">
        <f>IF('Release Calendar'!B347&lt;&gt;"",'Release Calendar'!B347,"")</f>
        <v/>
      </c>
      <c r="C347" s="29" t="str">
        <f>IF('Release Calendar'!K347&lt;&gt;"",'Release Calendar'!K347,"")</f>
        <v/>
      </c>
      <c r="D347" s="29" t="str">
        <f>IF('Release Calendar'!M347&lt;&gt;"",'Release Calendar'!M347,"")</f>
        <v/>
      </c>
      <c r="E347" s="30" t="str">
        <f>IF(AND(Q347&lt;&gt;"",R347&lt;&gt;"",DATE(2026,2,0)&gt;=Q347,DATE(2026,1,1)&lt;=R347),"█","")</f>
        <v/>
      </c>
      <c r="F347" s="30" t="str">
        <f>IF(AND(Q347&lt;&gt;"",R347&lt;&gt;"",DATE(2026,3,0)&gt;=Q347,DATE(2026,2,1)&lt;=R347),"█","")</f>
        <v/>
      </c>
      <c r="G347" s="30" t="str">
        <f>IF(AND(Q347&lt;&gt;"",R347&lt;&gt;"",DATE(2026,4,0)&gt;=Q347,DATE(2026,3,1)&lt;=R347),"█","")</f>
        <v/>
      </c>
      <c r="H347" s="30" t="str">
        <f>IF(AND(Q347&lt;&gt;"",R347&lt;&gt;"",DATE(2026,5,0)&gt;=Q347,DATE(2026,4,1)&lt;=R347),"█","")</f>
        <v/>
      </c>
      <c r="I347" s="30" t="str">
        <f>IF(AND(Q347&lt;&gt;"",R347&lt;&gt;"",DATE(2026,6,0)&gt;=Q347,DATE(2026,5,1)&lt;=R347),"█","")</f>
        <v/>
      </c>
      <c r="J347" s="30" t="str">
        <f>IF(AND(Q347&lt;&gt;"",R347&lt;&gt;"",DATE(2026,7,0)&gt;=Q347,DATE(2026,6,1)&lt;=R347),"█","")</f>
        <v/>
      </c>
      <c r="K347" s="30" t="str">
        <f>IF(AND(Q347&lt;&gt;"",R347&lt;&gt;"",DATE(2026,8,0)&gt;=Q347,DATE(2026,7,1)&lt;=R347),"█","")</f>
        <v/>
      </c>
      <c r="L347" s="30" t="str">
        <f>IF(AND(Q347&lt;&gt;"",R347&lt;&gt;"",DATE(2026,9,0)&gt;=Q347,DATE(2026,8,1)&lt;=R347),"█","")</f>
        <v/>
      </c>
      <c r="M347" s="30" t="str">
        <f>IF(AND(Q347&lt;&gt;"",R347&lt;&gt;"",DATE(2026,10,0)&gt;=Q347,DATE(2026,9,1)&lt;=R347),"█","")</f>
        <v/>
      </c>
      <c r="N347" s="30" t="str">
        <f>IF(AND(Q347&lt;&gt;"",R347&lt;&gt;"",DATE(2026,11,0)&gt;=Q347,DATE(2026,10,1)&lt;=R347),"█","")</f>
        <v/>
      </c>
      <c r="O347" s="30" t="str">
        <f>IF(AND(Q347&lt;&gt;"",R347&lt;&gt;"",DATE(2026,12,0)&gt;=Q347,DATE(2026,11,1)&lt;=R347),"█","")</f>
        <v/>
      </c>
      <c r="P347" s="30" t="str">
        <f>IF(AND(Q347&lt;&gt;"",R347&lt;&gt;"",DATE(2026,12,31)&gt;=Q347,DATE(2026,12,1)&lt;=R347),"█","")</f>
        <v/>
      </c>
      <c r="Q347" s="7" t="str">
        <f>IF('Release Calendar'!I347&lt;&gt;"",'Release Calendar'!I347,"")</f>
        <v/>
      </c>
      <c r="R347" s="7" t="str">
        <f>IF('Release Calendar'!J347&lt;&gt;"",'Release Calendar'!J347,"")</f>
        <v/>
      </c>
    </row>
    <row r="348" spans="1:18" ht="20.100000000000001" customHeight="1">
      <c r="A348" s="31">
        <v>344</v>
      </c>
      <c r="B348" s="32" t="str">
        <f>IF('Release Calendar'!B348&lt;&gt;"",'Release Calendar'!B348,"")</f>
        <v/>
      </c>
      <c r="C348" s="33" t="str">
        <f>IF('Release Calendar'!K348&lt;&gt;"",'Release Calendar'!K348,"")</f>
        <v/>
      </c>
      <c r="D348" s="33" t="str">
        <f>IF('Release Calendar'!M348&lt;&gt;"",'Release Calendar'!M348,"")</f>
        <v/>
      </c>
      <c r="E348" s="34" t="str">
        <f>IF(AND(Q348&lt;&gt;"",R348&lt;&gt;"",DATE(2026,2,0)&gt;=Q348,DATE(2026,1,1)&lt;=R348),"█","")</f>
        <v/>
      </c>
      <c r="F348" s="34" t="str">
        <f>IF(AND(Q348&lt;&gt;"",R348&lt;&gt;"",DATE(2026,3,0)&gt;=Q348,DATE(2026,2,1)&lt;=R348),"█","")</f>
        <v/>
      </c>
      <c r="G348" s="34" t="str">
        <f>IF(AND(Q348&lt;&gt;"",R348&lt;&gt;"",DATE(2026,4,0)&gt;=Q348,DATE(2026,3,1)&lt;=R348),"█","")</f>
        <v/>
      </c>
      <c r="H348" s="34" t="str">
        <f>IF(AND(Q348&lt;&gt;"",R348&lt;&gt;"",DATE(2026,5,0)&gt;=Q348,DATE(2026,4,1)&lt;=R348),"█","")</f>
        <v/>
      </c>
      <c r="I348" s="34" t="str">
        <f>IF(AND(Q348&lt;&gt;"",R348&lt;&gt;"",DATE(2026,6,0)&gt;=Q348,DATE(2026,5,1)&lt;=R348),"█","")</f>
        <v/>
      </c>
      <c r="J348" s="34" t="str">
        <f>IF(AND(Q348&lt;&gt;"",R348&lt;&gt;"",DATE(2026,7,0)&gt;=Q348,DATE(2026,6,1)&lt;=R348),"█","")</f>
        <v/>
      </c>
      <c r="K348" s="34" t="str">
        <f>IF(AND(Q348&lt;&gt;"",R348&lt;&gt;"",DATE(2026,8,0)&gt;=Q348,DATE(2026,7,1)&lt;=R348),"█","")</f>
        <v/>
      </c>
      <c r="L348" s="34" t="str">
        <f>IF(AND(Q348&lt;&gt;"",R348&lt;&gt;"",DATE(2026,9,0)&gt;=Q348,DATE(2026,8,1)&lt;=R348),"█","")</f>
        <v/>
      </c>
      <c r="M348" s="34" t="str">
        <f>IF(AND(Q348&lt;&gt;"",R348&lt;&gt;"",DATE(2026,10,0)&gt;=Q348,DATE(2026,9,1)&lt;=R348),"█","")</f>
        <v/>
      </c>
      <c r="N348" s="34" t="str">
        <f>IF(AND(Q348&lt;&gt;"",R348&lt;&gt;"",DATE(2026,11,0)&gt;=Q348,DATE(2026,10,1)&lt;=R348),"█","")</f>
        <v/>
      </c>
      <c r="O348" s="34" t="str">
        <f>IF(AND(Q348&lt;&gt;"",R348&lt;&gt;"",DATE(2026,12,0)&gt;=Q348,DATE(2026,11,1)&lt;=R348),"█","")</f>
        <v/>
      </c>
      <c r="P348" s="34" t="str">
        <f>IF(AND(Q348&lt;&gt;"",R348&lt;&gt;"",DATE(2026,12,31)&gt;=Q348,DATE(2026,12,1)&lt;=R348),"█","")</f>
        <v/>
      </c>
      <c r="Q348" s="7" t="str">
        <f>IF('Release Calendar'!I348&lt;&gt;"",'Release Calendar'!I348,"")</f>
        <v/>
      </c>
      <c r="R348" s="7" t="str">
        <f>IF('Release Calendar'!J348&lt;&gt;"",'Release Calendar'!J348,"")</f>
        <v/>
      </c>
    </row>
    <row r="349" spans="1:18" ht="20.100000000000001" customHeight="1">
      <c r="A349" s="14">
        <v>345</v>
      </c>
      <c r="B349" s="28" t="str">
        <f>IF('Release Calendar'!B349&lt;&gt;"",'Release Calendar'!B349,"")</f>
        <v/>
      </c>
      <c r="C349" s="29" t="str">
        <f>IF('Release Calendar'!K349&lt;&gt;"",'Release Calendar'!K349,"")</f>
        <v/>
      </c>
      <c r="D349" s="29" t="str">
        <f>IF('Release Calendar'!M349&lt;&gt;"",'Release Calendar'!M349,"")</f>
        <v/>
      </c>
      <c r="E349" s="30" t="str">
        <f>IF(AND(Q349&lt;&gt;"",R349&lt;&gt;"",DATE(2026,2,0)&gt;=Q349,DATE(2026,1,1)&lt;=R349),"█","")</f>
        <v/>
      </c>
      <c r="F349" s="30" t="str">
        <f>IF(AND(Q349&lt;&gt;"",R349&lt;&gt;"",DATE(2026,3,0)&gt;=Q349,DATE(2026,2,1)&lt;=R349),"█","")</f>
        <v/>
      </c>
      <c r="G349" s="30" t="str">
        <f>IF(AND(Q349&lt;&gt;"",R349&lt;&gt;"",DATE(2026,4,0)&gt;=Q349,DATE(2026,3,1)&lt;=R349),"█","")</f>
        <v/>
      </c>
      <c r="H349" s="30" t="str">
        <f>IF(AND(Q349&lt;&gt;"",R349&lt;&gt;"",DATE(2026,5,0)&gt;=Q349,DATE(2026,4,1)&lt;=R349),"█","")</f>
        <v/>
      </c>
      <c r="I349" s="30" t="str">
        <f>IF(AND(Q349&lt;&gt;"",R349&lt;&gt;"",DATE(2026,6,0)&gt;=Q349,DATE(2026,5,1)&lt;=R349),"█","")</f>
        <v/>
      </c>
      <c r="J349" s="30" t="str">
        <f>IF(AND(Q349&lt;&gt;"",R349&lt;&gt;"",DATE(2026,7,0)&gt;=Q349,DATE(2026,6,1)&lt;=R349),"█","")</f>
        <v/>
      </c>
      <c r="K349" s="30" t="str">
        <f>IF(AND(Q349&lt;&gt;"",R349&lt;&gt;"",DATE(2026,8,0)&gt;=Q349,DATE(2026,7,1)&lt;=R349),"█","")</f>
        <v/>
      </c>
      <c r="L349" s="30" t="str">
        <f>IF(AND(Q349&lt;&gt;"",R349&lt;&gt;"",DATE(2026,9,0)&gt;=Q349,DATE(2026,8,1)&lt;=R349),"█","")</f>
        <v/>
      </c>
      <c r="M349" s="30" t="str">
        <f>IF(AND(Q349&lt;&gt;"",R349&lt;&gt;"",DATE(2026,10,0)&gt;=Q349,DATE(2026,9,1)&lt;=R349),"█","")</f>
        <v/>
      </c>
      <c r="N349" s="30" t="str">
        <f>IF(AND(Q349&lt;&gt;"",R349&lt;&gt;"",DATE(2026,11,0)&gt;=Q349,DATE(2026,10,1)&lt;=R349),"█","")</f>
        <v/>
      </c>
      <c r="O349" s="30" t="str">
        <f>IF(AND(Q349&lt;&gt;"",R349&lt;&gt;"",DATE(2026,12,0)&gt;=Q349,DATE(2026,11,1)&lt;=R349),"█","")</f>
        <v/>
      </c>
      <c r="P349" s="30" t="str">
        <f>IF(AND(Q349&lt;&gt;"",R349&lt;&gt;"",DATE(2026,12,31)&gt;=Q349,DATE(2026,12,1)&lt;=R349),"█","")</f>
        <v/>
      </c>
      <c r="Q349" s="7" t="str">
        <f>IF('Release Calendar'!I349&lt;&gt;"",'Release Calendar'!I349,"")</f>
        <v/>
      </c>
      <c r="R349" s="7" t="str">
        <f>IF('Release Calendar'!J349&lt;&gt;"",'Release Calendar'!J349,"")</f>
        <v/>
      </c>
    </row>
    <row r="350" spans="1:18" ht="20.100000000000001" customHeight="1">
      <c r="A350" s="31">
        <v>346</v>
      </c>
      <c r="B350" s="32" t="str">
        <f>IF('Release Calendar'!B350&lt;&gt;"",'Release Calendar'!B350,"")</f>
        <v/>
      </c>
      <c r="C350" s="33" t="str">
        <f>IF('Release Calendar'!K350&lt;&gt;"",'Release Calendar'!K350,"")</f>
        <v/>
      </c>
      <c r="D350" s="33" t="str">
        <f>IF('Release Calendar'!M350&lt;&gt;"",'Release Calendar'!M350,"")</f>
        <v/>
      </c>
      <c r="E350" s="34" t="str">
        <f>IF(AND(Q350&lt;&gt;"",R350&lt;&gt;"",DATE(2026,2,0)&gt;=Q350,DATE(2026,1,1)&lt;=R350),"█","")</f>
        <v/>
      </c>
      <c r="F350" s="34" t="str">
        <f>IF(AND(Q350&lt;&gt;"",R350&lt;&gt;"",DATE(2026,3,0)&gt;=Q350,DATE(2026,2,1)&lt;=R350),"█","")</f>
        <v/>
      </c>
      <c r="G350" s="34" t="str">
        <f>IF(AND(Q350&lt;&gt;"",R350&lt;&gt;"",DATE(2026,4,0)&gt;=Q350,DATE(2026,3,1)&lt;=R350),"█","")</f>
        <v/>
      </c>
      <c r="H350" s="34" t="str">
        <f>IF(AND(Q350&lt;&gt;"",R350&lt;&gt;"",DATE(2026,5,0)&gt;=Q350,DATE(2026,4,1)&lt;=R350),"█","")</f>
        <v/>
      </c>
      <c r="I350" s="34" t="str">
        <f>IF(AND(Q350&lt;&gt;"",R350&lt;&gt;"",DATE(2026,6,0)&gt;=Q350,DATE(2026,5,1)&lt;=R350),"█","")</f>
        <v/>
      </c>
      <c r="J350" s="34" t="str">
        <f>IF(AND(Q350&lt;&gt;"",R350&lt;&gt;"",DATE(2026,7,0)&gt;=Q350,DATE(2026,6,1)&lt;=R350),"█","")</f>
        <v/>
      </c>
      <c r="K350" s="34" t="str">
        <f>IF(AND(Q350&lt;&gt;"",R350&lt;&gt;"",DATE(2026,8,0)&gt;=Q350,DATE(2026,7,1)&lt;=R350),"█","")</f>
        <v/>
      </c>
      <c r="L350" s="34" t="str">
        <f>IF(AND(Q350&lt;&gt;"",R350&lt;&gt;"",DATE(2026,9,0)&gt;=Q350,DATE(2026,8,1)&lt;=R350),"█","")</f>
        <v/>
      </c>
      <c r="M350" s="34" t="str">
        <f>IF(AND(Q350&lt;&gt;"",R350&lt;&gt;"",DATE(2026,10,0)&gt;=Q350,DATE(2026,9,1)&lt;=R350),"█","")</f>
        <v/>
      </c>
      <c r="N350" s="34" t="str">
        <f>IF(AND(Q350&lt;&gt;"",R350&lt;&gt;"",DATE(2026,11,0)&gt;=Q350,DATE(2026,10,1)&lt;=R350),"█","")</f>
        <v/>
      </c>
      <c r="O350" s="34" t="str">
        <f>IF(AND(Q350&lt;&gt;"",R350&lt;&gt;"",DATE(2026,12,0)&gt;=Q350,DATE(2026,11,1)&lt;=R350),"█","")</f>
        <v/>
      </c>
      <c r="P350" s="34" t="str">
        <f>IF(AND(Q350&lt;&gt;"",R350&lt;&gt;"",DATE(2026,12,31)&gt;=Q350,DATE(2026,12,1)&lt;=R350),"█","")</f>
        <v/>
      </c>
      <c r="Q350" s="7" t="str">
        <f>IF('Release Calendar'!I350&lt;&gt;"",'Release Calendar'!I350,"")</f>
        <v/>
      </c>
      <c r="R350" s="7" t="str">
        <f>IF('Release Calendar'!J350&lt;&gt;"",'Release Calendar'!J350,"")</f>
        <v/>
      </c>
    </row>
    <row r="351" spans="1:18" ht="20.100000000000001" customHeight="1">
      <c r="A351" s="14">
        <v>347</v>
      </c>
      <c r="B351" s="28" t="str">
        <f>IF('Release Calendar'!B351&lt;&gt;"",'Release Calendar'!B351,"")</f>
        <v/>
      </c>
      <c r="C351" s="29" t="str">
        <f>IF('Release Calendar'!K351&lt;&gt;"",'Release Calendar'!K351,"")</f>
        <v/>
      </c>
      <c r="D351" s="29" t="str">
        <f>IF('Release Calendar'!M351&lt;&gt;"",'Release Calendar'!M351,"")</f>
        <v/>
      </c>
      <c r="E351" s="30" t="str">
        <f>IF(AND(Q351&lt;&gt;"",R351&lt;&gt;"",DATE(2026,2,0)&gt;=Q351,DATE(2026,1,1)&lt;=R351),"█","")</f>
        <v/>
      </c>
      <c r="F351" s="30" t="str">
        <f>IF(AND(Q351&lt;&gt;"",R351&lt;&gt;"",DATE(2026,3,0)&gt;=Q351,DATE(2026,2,1)&lt;=R351),"█","")</f>
        <v/>
      </c>
      <c r="G351" s="30" t="str">
        <f>IF(AND(Q351&lt;&gt;"",R351&lt;&gt;"",DATE(2026,4,0)&gt;=Q351,DATE(2026,3,1)&lt;=R351),"█","")</f>
        <v/>
      </c>
      <c r="H351" s="30" t="str">
        <f>IF(AND(Q351&lt;&gt;"",R351&lt;&gt;"",DATE(2026,5,0)&gt;=Q351,DATE(2026,4,1)&lt;=R351),"█","")</f>
        <v/>
      </c>
      <c r="I351" s="30" t="str">
        <f>IF(AND(Q351&lt;&gt;"",R351&lt;&gt;"",DATE(2026,6,0)&gt;=Q351,DATE(2026,5,1)&lt;=R351),"█","")</f>
        <v/>
      </c>
      <c r="J351" s="30" t="str">
        <f>IF(AND(Q351&lt;&gt;"",R351&lt;&gt;"",DATE(2026,7,0)&gt;=Q351,DATE(2026,6,1)&lt;=R351),"█","")</f>
        <v/>
      </c>
      <c r="K351" s="30" t="str">
        <f>IF(AND(Q351&lt;&gt;"",R351&lt;&gt;"",DATE(2026,8,0)&gt;=Q351,DATE(2026,7,1)&lt;=R351),"█","")</f>
        <v/>
      </c>
      <c r="L351" s="30" t="str">
        <f>IF(AND(Q351&lt;&gt;"",R351&lt;&gt;"",DATE(2026,9,0)&gt;=Q351,DATE(2026,8,1)&lt;=R351),"█","")</f>
        <v/>
      </c>
      <c r="M351" s="30" t="str">
        <f>IF(AND(Q351&lt;&gt;"",R351&lt;&gt;"",DATE(2026,10,0)&gt;=Q351,DATE(2026,9,1)&lt;=R351),"█","")</f>
        <v/>
      </c>
      <c r="N351" s="30" t="str">
        <f>IF(AND(Q351&lt;&gt;"",R351&lt;&gt;"",DATE(2026,11,0)&gt;=Q351,DATE(2026,10,1)&lt;=R351),"█","")</f>
        <v/>
      </c>
      <c r="O351" s="30" t="str">
        <f>IF(AND(Q351&lt;&gt;"",R351&lt;&gt;"",DATE(2026,12,0)&gt;=Q351,DATE(2026,11,1)&lt;=R351),"█","")</f>
        <v/>
      </c>
      <c r="P351" s="30" t="str">
        <f>IF(AND(Q351&lt;&gt;"",R351&lt;&gt;"",DATE(2026,12,31)&gt;=Q351,DATE(2026,12,1)&lt;=R351),"█","")</f>
        <v/>
      </c>
      <c r="Q351" s="7" t="str">
        <f>IF('Release Calendar'!I351&lt;&gt;"",'Release Calendar'!I351,"")</f>
        <v/>
      </c>
      <c r="R351" s="7" t="str">
        <f>IF('Release Calendar'!J351&lt;&gt;"",'Release Calendar'!J351,"")</f>
        <v/>
      </c>
    </row>
    <row r="352" spans="1:18" ht="20.100000000000001" customHeight="1">
      <c r="A352" s="31">
        <v>348</v>
      </c>
      <c r="B352" s="32" t="str">
        <f>IF('Release Calendar'!B352&lt;&gt;"",'Release Calendar'!B352,"")</f>
        <v/>
      </c>
      <c r="C352" s="33" t="str">
        <f>IF('Release Calendar'!K352&lt;&gt;"",'Release Calendar'!K352,"")</f>
        <v/>
      </c>
      <c r="D352" s="33" t="str">
        <f>IF('Release Calendar'!M352&lt;&gt;"",'Release Calendar'!M352,"")</f>
        <v/>
      </c>
      <c r="E352" s="34" t="str">
        <f>IF(AND(Q352&lt;&gt;"",R352&lt;&gt;"",DATE(2026,2,0)&gt;=Q352,DATE(2026,1,1)&lt;=R352),"█","")</f>
        <v/>
      </c>
      <c r="F352" s="34" t="str">
        <f>IF(AND(Q352&lt;&gt;"",R352&lt;&gt;"",DATE(2026,3,0)&gt;=Q352,DATE(2026,2,1)&lt;=R352),"█","")</f>
        <v/>
      </c>
      <c r="G352" s="34" t="str">
        <f>IF(AND(Q352&lt;&gt;"",R352&lt;&gt;"",DATE(2026,4,0)&gt;=Q352,DATE(2026,3,1)&lt;=R352),"█","")</f>
        <v/>
      </c>
      <c r="H352" s="34" t="str">
        <f>IF(AND(Q352&lt;&gt;"",R352&lt;&gt;"",DATE(2026,5,0)&gt;=Q352,DATE(2026,4,1)&lt;=R352),"█","")</f>
        <v/>
      </c>
      <c r="I352" s="34" t="str">
        <f>IF(AND(Q352&lt;&gt;"",R352&lt;&gt;"",DATE(2026,6,0)&gt;=Q352,DATE(2026,5,1)&lt;=R352),"█","")</f>
        <v/>
      </c>
      <c r="J352" s="34" t="str">
        <f>IF(AND(Q352&lt;&gt;"",R352&lt;&gt;"",DATE(2026,7,0)&gt;=Q352,DATE(2026,6,1)&lt;=R352),"█","")</f>
        <v/>
      </c>
      <c r="K352" s="34" t="str">
        <f>IF(AND(Q352&lt;&gt;"",R352&lt;&gt;"",DATE(2026,8,0)&gt;=Q352,DATE(2026,7,1)&lt;=R352),"█","")</f>
        <v/>
      </c>
      <c r="L352" s="34" t="str">
        <f>IF(AND(Q352&lt;&gt;"",R352&lt;&gt;"",DATE(2026,9,0)&gt;=Q352,DATE(2026,8,1)&lt;=R352),"█","")</f>
        <v/>
      </c>
      <c r="M352" s="34" t="str">
        <f>IF(AND(Q352&lt;&gt;"",R352&lt;&gt;"",DATE(2026,10,0)&gt;=Q352,DATE(2026,9,1)&lt;=R352),"█","")</f>
        <v/>
      </c>
      <c r="N352" s="34" t="str">
        <f>IF(AND(Q352&lt;&gt;"",R352&lt;&gt;"",DATE(2026,11,0)&gt;=Q352,DATE(2026,10,1)&lt;=R352),"█","")</f>
        <v/>
      </c>
      <c r="O352" s="34" t="str">
        <f>IF(AND(Q352&lt;&gt;"",R352&lt;&gt;"",DATE(2026,12,0)&gt;=Q352,DATE(2026,11,1)&lt;=R352),"█","")</f>
        <v/>
      </c>
      <c r="P352" s="34" t="str">
        <f>IF(AND(Q352&lt;&gt;"",R352&lt;&gt;"",DATE(2026,12,31)&gt;=Q352,DATE(2026,12,1)&lt;=R352),"█","")</f>
        <v/>
      </c>
      <c r="Q352" s="7" t="str">
        <f>IF('Release Calendar'!I352&lt;&gt;"",'Release Calendar'!I352,"")</f>
        <v/>
      </c>
      <c r="R352" s="7" t="str">
        <f>IF('Release Calendar'!J352&lt;&gt;"",'Release Calendar'!J352,"")</f>
        <v/>
      </c>
    </row>
    <row r="353" spans="1:18" ht="20.100000000000001" customHeight="1">
      <c r="A353" s="14">
        <v>349</v>
      </c>
      <c r="B353" s="28" t="str">
        <f>IF('Release Calendar'!B353&lt;&gt;"",'Release Calendar'!B353,"")</f>
        <v/>
      </c>
      <c r="C353" s="29" t="str">
        <f>IF('Release Calendar'!K353&lt;&gt;"",'Release Calendar'!K353,"")</f>
        <v/>
      </c>
      <c r="D353" s="29" t="str">
        <f>IF('Release Calendar'!M353&lt;&gt;"",'Release Calendar'!M353,"")</f>
        <v/>
      </c>
      <c r="E353" s="30" t="str">
        <f>IF(AND(Q353&lt;&gt;"",R353&lt;&gt;"",DATE(2026,2,0)&gt;=Q353,DATE(2026,1,1)&lt;=R353),"█","")</f>
        <v/>
      </c>
      <c r="F353" s="30" t="str">
        <f>IF(AND(Q353&lt;&gt;"",R353&lt;&gt;"",DATE(2026,3,0)&gt;=Q353,DATE(2026,2,1)&lt;=R353),"█","")</f>
        <v/>
      </c>
      <c r="G353" s="30" t="str">
        <f>IF(AND(Q353&lt;&gt;"",R353&lt;&gt;"",DATE(2026,4,0)&gt;=Q353,DATE(2026,3,1)&lt;=R353),"█","")</f>
        <v/>
      </c>
      <c r="H353" s="30" t="str">
        <f>IF(AND(Q353&lt;&gt;"",R353&lt;&gt;"",DATE(2026,5,0)&gt;=Q353,DATE(2026,4,1)&lt;=R353),"█","")</f>
        <v/>
      </c>
      <c r="I353" s="30" t="str">
        <f>IF(AND(Q353&lt;&gt;"",R353&lt;&gt;"",DATE(2026,6,0)&gt;=Q353,DATE(2026,5,1)&lt;=R353),"█","")</f>
        <v/>
      </c>
      <c r="J353" s="30" t="str">
        <f>IF(AND(Q353&lt;&gt;"",R353&lt;&gt;"",DATE(2026,7,0)&gt;=Q353,DATE(2026,6,1)&lt;=R353),"█","")</f>
        <v/>
      </c>
      <c r="K353" s="30" t="str">
        <f>IF(AND(Q353&lt;&gt;"",R353&lt;&gt;"",DATE(2026,8,0)&gt;=Q353,DATE(2026,7,1)&lt;=R353),"█","")</f>
        <v/>
      </c>
      <c r="L353" s="30" t="str">
        <f>IF(AND(Q353&lt;&gt;"",R353&lt;&gt;"",DATE(2026,9,0)&gt;=Q353,DATE(2026,8,1)&lt;=R353),"█","")</f>
        <v/>
      </c>
      <c r="M353" s="30" t="str">
        <f>IF(AND(Q353&lt;&gt;"",R353&lt;&gt;"",DATE(2026,10,0)&gt;=Q353,DATE(2026,9,1)&lt;=R353),"█","")</f>
        <v/>
      </c>
      <c r="N353" s="30" t="str">
        <f>IF(AND(Q353&lt;&gt;"",R353&lt;&gt;"",DATE(2026,11,0)&gt;=Q353,DATE(2026,10,1)&lt;=R353),"█","")</f>
        <v/>
      </c>
      <c r="O353" s="30" t="str">
        <f>IF(AND(Q353&lt;&gt;"",R353&lt;&gt;"",DATE(2026,12,0)&gt;=Q353,DATE(2026,11,1)&lt;=R353),"█","")</f>
        <v/>
      </c>
      <c r="P353" s="30" t="str">
        <f>IF(AND(Q353&lt;&gt;"",R353&lt;&gt;"",DATE(2026,12,31)&gt;=Q353,DATE(2026,12,1)&lt;=R353),"█","")</f>
        <v/>
      </c>
      <c r="Q353" s="7" t="str">
        <f>IF('Release Calendar'!I353&lt;&gt;"",'Release Calendar'!I353,"")</f>
        <v/>
      </c>
      <c r="R353" s="7" t="str">
        <f>IF('Release Calendar'!J353&lt;&gt;"",'Release Calendar'!J353,"")</f>
        <v/>
      </c>
    </row>
    <row r="354" spans="1:18" ht="20.100000000000001" customHeight="1">
      <c r="A354" s="31">
        <v>350</v>
      </c>
      <c r="B354" s="32" t="str">
        <f>IF('Release Calendar'!B354&lt;&gt;"",'Release Calendar'!B354,"")</f>
        <v/>
      </c>
      <c r="C354" s="33" t="str">
        <f>IF('Release Calendar'!K354&lt;&gt;"",'Release Calendar'!K354,"")</f>
        <v/>
      </c>
      <c r="D354" s="33" t="str">
        <f>IF('Release Calendar'!M354&lt;&gt;"",'Release Calendar'!M354,"")</f>
        <v/>
      </c>
      <c r="E354" s="34" t="str">
        <f>IF(AND(Q354&lt;&gt;"",R354&lt;&gt;"",DATE(2026,2,0)&gt;=Q354,DATE(2026,1,1)&lt;=R354),"█","")</f>
        <v/>
      </c>
      <c r="F354" s="34" t="str">
        <f>IF(AND(Q354&lt;&gt;"",R354&lt;&gt;"",DATE(2026,3,0)&gt;=Q354,DATE(2026,2,1)&lt;=R354),"█","")</f>
        <v/>
      </c>
      <c r="G354" s="34" t="str">
        <f>IF(AND(Q354&lt;&gt;"",R354&lt;&gt;"",DATE(2026,4,0)&gt;=Q354,DATE(2026,3,1)&lt;=R354),"█","")</f>
        <v/>
      </c>
      <c r="H354" s="34" t="str">
        <f>IF(AND(Q354&lt;&gt;"",R354&lt;&gt;"",DATE(2026,5,0)&gt;=Q354,DATE(2026,4,1)&lt;=R354),"█","")</f>
        <v/>
      </c>
      <c r="I354" s="34" t="str">
        <f>IF(AND(Q354&lt;&gt;"",R354&lt;&gt;"",DATE(2026,6,0)&gt;=Q354,DATE(2026,5,1)&lt;=R354),"█","")</f>
        <v/>
      </c>
      <c r="J354" s="34" t="str">
        <f>IF(AND(Q354&lt;&gt;"",R354&lt;&gt;"",DATE(2026,7,0)&gt;=Q354,DATE(2026,6,1)&lt;=R354),"█","")</f>
        <v/>
      </c>
      <c r="K354" s="34" t="str">
        <f>IF(AND(Q354&lt;&gt;"",R354&lt;&gt;"",DATE(2026,8,0)&gt;=Q354,DATE(2026,7,1)&lt;=R354),"█","")</f>
        <v/>
      </c>
      <c r="L354" s="34" t="str">
        <f>IF(AND(Q354&lt;&gt;"",R354&lt;&gt;"",DATE(2026,9,0)&gt;=Q354,DATE(2026,8,1)&lt;=R354),"█","")</f>
        <v/>
      </c>
      <c r="M354" s="34" t="str">
        <f>IF(AND(Q354&lt;&gt;"",R354&lt;&gt;"",DATE(2026,10,0)&gt;=Q354,DATE(2026,9,1)&lt;=R354),"█","")</f>
        <v/>
      </c>
      <c r="N354" s="34" t="str">
        <f>IF(AND(Q354&lt;&gt;"",R354&lt;&gt;"",DATE(2026,11,0)&gt;=Q354,DATE(2026,10,1)&lt;=R354),"█","")</f>
        <v/>
      </c>
      <c r="O354" s="34" t="str">
        <f>IF(AND(Q354&lt;&gt;"",R354&lt;&gt;"",DATE(2026,12,0)&gt;=Q354,DATE(2026,11,1)&lt;=R354),"█","")</f>
        <v/>
      </c>
      <c r="P354" s="34" t="str">
        <f>IF(AND(Q354&lt;&gt;"",R354&lt;&gt;"",DATE(2026,12,31)&gt;=Q354,DATE(2026,12,1)&lt;=R354),"█","")</f>
        <v/>
      </c>
      <c r="Q354" s="7" t="str">
        <f>IF('Release Calendar'!I354&lt;&gt;"",'Release Calendar'!I354,"")</f>
        <v/>
      </c>
      <c r="R354" s="7" t="str">
        <f>IF('Release Calendar'!J354&lt;&gt;"",'Release Calendar'!J354,"")</f>
        <v/>
      </c>
    </row>
    <row r="355" spans="1:18" ht="20.100000000000001" customHeight="1">
      <c r="A355" s="14">
        <v>351</v>
      </c>
      <c r="B355" s="28" t="str">
        <f>IF('Release Calendar'!B355&lt;&gt;"",'Release Calendar'!B355,"")</f>
        <v/>
      </c>
      <c r="C355" s="29" t="str">
        <f>IF('Release Calendar'!K355&lt;&gt;"",'Release Calendar'!K355,"")</f>
        <v/>
      </c>
      <c r="D355" s="29" t="str">
        <f>IF('Release Calendar'!M355&lt;&gt;"",'Release Calendar'!M355,"")</f>
        <v/>
      </c>
      <c r="E355" s="30" t="str">
        <f>IF(AND(Q355&lt;&gt;"",R355&lt;&gt;"",DATE(2026,2,0)&gt;=Q355,DATE(2026,1,1)&lt;=R355),"█","")</f>
        <v/>
      </c>
      <c r="F355" s="30" t="str">
        <f>IF(AND(Q355&lt;&gt;"",R355&lt;&gt;"",DATE(2026,3,0)&gt;=Q355,DATE(2026,2,1)&lt;=R355),"█","")</f>
        <v/>
      </c>
      <c r="G355" s="30" t="str">
        <f>IF(AND(Q355&lt;&gt;"",R355&lt;&gt;"",DATE(2026,4,0)&gt;=Q355,DATE(2026,3,1)&lt;=R355),"█","")</f>
        <v/>
      </c>
      <c r="H355" s="30" t="str">
        <f>IF(AND(Q355&lt;&gt;"",R355&lt;&gt;"",DATE(2026,5,0)&gt;=Q355,DATE(2026,4,1)&lt;=R355),"█","")</f>
        <v/>
      </c>
      <c r="I355" s="30" t="str">
        <f>IF(AND(Q355&lt;&gt;"",R355&lt;&gt;"",DATE(2026,6,0)&gt;=Q355,DATE(2026,5,1)&lt;=R355),"█","")</f>
        <v/>
      </c>
      <c r="J355" s="30" t="str">
        <f>IF(AND(Q355&lt;&gt;"",R355&lt;&gt;"",DATE(2026,7,0)&gt;=Q355,DATE(2026,6,1)&lt;=R355),"█","")</f>
        <v/>
      </c>
      <c r="K355" s="30" t="str">
        <f>IF(AND(Q355&lt;&gt;"",R355&lt;&gt;"",DATE(2026,8,0)&gt;=Q355,DATE(2026,7,1)&lt;=R355),"█","")</f>
        <v/>
      </c>
      <c r="L355" s="30" t="str">
        <f>IF(AND(Q355&lt;&gt;"",R355&lt;&gt;"",DATE(2026,9,0)&gt;=Q355,DATE(2026,8,1)&lt;=R355),"█","")</f>
        <v/>
      </c>
      <c r="M355" s="30" t="str">
        <f>IF(AND(Q355&lt;&gt;"",R355&lt;&gt;"",DATE(2026,10,0)&gt;=Q355,DATE(2026,9,1)&lt;=R355),"█","")</f>
        <v/>
      </c>
      <c r="N355" s="30" t="str">
        <f>IF(AND(Q355&lt;&gt;"",R355&lt;&gt;"",DATE(2026,11,0)&gt;=Q355,DATE(2026,10,1)&lt;=R355),"█","")</f>
        <v/>
      </c>
      <c r="O355" s="30" t="str">
        <f>IF(AND(Q355&lt;&gt;"",R355&lt;&gt;"",DATE(2026,12,0)&gt;=Q355,DATE(2026,11,1)&lt;=R355),"█","")</f>
        <v/>
      </c>
      <c r="P355" s="30" t="str">
        <f>IF(AND(Q355&lt;&gt;"",R355&lt;&gt;"",DATE(2026,12,31)&gt;=Q355,DATE(2026,12,1)&lt;=R355),"█","")</f>
        <v/>
      </c>
      <c r="Q355" s="7" t="str">
        <f>IF('Release Calendar'!I355&lt;&gt;"",'Release Calendar'!I355,"")</f>
        <v/>
      </c>
      <c r="R355" s="7" t="str">
        <f>IF('Release Calendar'!J355&lt;&gt;"",'Release Calendar'!J355,"")</f>
        <v/>
      </c>
    </row>
    <row r="356" spans="1:18" ht="20.100000000000001" customHeight="1">
      <c r="A356" s="31">
        <v>352</v>
      </c>
      <c r="B356" s="32" t="str">
        <f>IF('Release Calendar'!B356&lt;&gt;"",'Release Calendar'!B356,"")</f>
        <v/>
      </c>
      <c r="C356" s="33" t="str">
        <f>IF('Release Calendar'!K356&lt;&gt;"",'Release Calendar'!K356,"")</f>
        <v/>
      </c>
      <c r="D356" s="33" t="str">
        <f>IF('Release Calendar'!M356&lt;&gt;"",'Release Calendar'!M356,"")</f>
        <v/>
      </c>
      <c r="E356" s="34" t="str">
        <f>IF(AND(Q356&lt;&gt;"",R356&lt;&gt;"",DATE(2026,2,0)&gt;=Q356,DATE(2026,1,1)&lt;=R356),"█","")</f>
        <v/>
      </c>
      <c r="F356" s="34" t="str">
        <f>IF(AND(Q356&lt;&gt;"",R356&lt;&gt;"",DATE(2026,3,0)&gt;=Q356,DATE(2026,2,1)&lt;=R356),"█","")</f>
        <v/>
      </c>
      <c r="G356" s="34" t="str">
        <f>IF(AND(Q356&lt;&gt;"",R356&lt;&gt;"",DATE(2026,4,0)&gt;=Q356,DATE(2026,3,1)&lt;=R356),"█","")</f>
        <v/>
      </c>
      <c r="H356" s="34" t="str">
        <f>IF(AND(Q356&lt;&gt;"",R356&lt;&gt;"",DATE(2026,5,0)&gt;=Q356,DATE(2026,4,1)&lt;=R356),"█","")</f>
        <v/>
      </c>
      <c r="I356" s="34" t="str">
        <f>IF(AND(Q356&lt;&gt;"",R356&lt;&gt;"",DATE(2026,6,0)&gt;=Q356,DATE(2026,5,1)&lt;=R356),"█","")</f>
        <v/>
      </c>
      <c r="J356" s="34" t="str">
        <f>IF(AND(Q356&lt;&gt;"",R356&lt;&gt;"",DATE(2026,7,0)&gt;=Q356,DATE(2026,6,1)&lt;=R356),"█","")</f>
        <v/>
      </c>
      <c r="K356" s="34" t="str">
        <f>IF(AND(Q356&lt;&gt;"",R356&lt;&gt;"",DATE(2026,8,0)&gt;=Q356,DATE(2026,7,1)&lt;=R356),"█","")</f>
        <v/>
      </c>
      <c r="L356" s="34" t="str">
        <f>IF(AND(Q356&lt;&gt;"",R356&lt;&gt;"",DATE(2026,9,0)&gt;=Q356,DATE(2026,8,1)&lt;=R356),"█","")</f>
        <v/>
      </c>
      <c r="M356" s="34" t="str">
        <f>IF(AND(Q356&lt;&gt;"",R356&lt;&gt;"",DATE(2026,10,0)&gt;=Q356,DATE(2026,9,1)&lt;=R356),"█","")</f>
        <v/>
      </c>
      <c r="N356" s="34" t="str">
        <f>IF(AND(Q356&lt;&gt;"",R356&lt;&gt;"",DATE(2026,11,0)&gt;=Q356,DATE(2026,10,1)&lt;=R356),"█","")</f>
        <v/>
      </c>
      <c r="O356" s="34" t="str">
        <f>IF(AND(Q356&lt;&gt;"",R356&lt;&gt;"",DATE(2026,12,0)&gt;=Q356,DATE(2026,11,1)&lt;=R356),"█","")</f>
        <v/>
      </c>
      <c r="P356" s="34" t="str">
        <f>IF(AND(Q356&lt;&gt;"",R356&lt;&gt;"",DATE(2026,12,31)&gt;=Q356,DATE(2026,12,1)&lt;=R356),"█","")</f>
        <v/>
      </c>
      <c r="Q356" s="7" t="str">
        <f>IF('Release Calendar'!I356&lt;&gt;"",'Release Calendar'!I356,"")</f>
        <v/>
      </c>
      <c r="R356" s="7" t="str">
        <f>IF('Release Calendar'!J356&lt;&gt;"",'Release Calendar'!J356,"")</f>
        <v/>
      </c>
    </row>
    <row r="357" spans="1:18" ht="20.100000000000001" customHeight="1">
      <c r="A357" s="14">
        <v>353</v>
      </c>
      <c r="B357" s="28" t="str">
        <f>IF('Release Calendar'!B357&lt;&gt;"",'Release Calendar'!B357,"")</f>
        <v/>
      </c>
      <c r="C357" s="29" t="str">
        <f>IF('Release Calendar'!K357&lt;&gt;"",'Release Calendar'!K357,"")</f>
        <v/>
      </c>
      <c r="D357" s="29" t="str">
        <f>IF('Release Calendar'!M357&lt;&gt;"",'Release Calendar'!M357,"")</f>
        <v/>
      </c>
      <c r="E357" s="30" t="str">
        <f>IF(AND(Q357&lt;&gt;"",R357&lt;&gt;"",DATE(2026,2,0)&gt;=Q357,DATE(2026,1,1)&lt;=R357),"█","")</f>
        <v/>
      </c>
      <c r="F357" s="30" t="str">
        <f>IF(AND(Q357&lt;&gt;"",R357&lt;&gt;"",DATE(2026,3,0)&gt;=Q357,DATE(2026,2,1)&lt;=R357),"█","")</f>
        <v/>
      </c>
      <c r="G357" s="30" t="str">
        <f>IF(AND(Q357&lt;&gt;"",R357&lt;&gt;"",DATE(2026,4,0)&gt;=Q357,DATE(2026,3,1)&lt;=R357),"█","")</f>
        <v/>
      </c>
      <c r="H357" s="30" t="str">
        <f>IF(AND(Q357&lt;&gt;"",R357&lt;&gt;"",DATE(2026,5,0)&gt;=Q357,DATE(2026,4,1)&lt;=R357),"█","")</f>
        <v/>
      </c>
      <c r="I357" s="30" t="str">
        <f>IF(AND(Q357&lt;&gt;"",R357&lt;&gt;"",DATE(2026,6,0)&gt;=Q357,DATE(2026,5,1)&lt;=R357),"█","")</f>
        <v/>
      </c>
      <c r="J357" s="30" t="str">
        <f>IF(AND(Q357&lt;&gt;"",R357&lt;&gt;"",DATE(2026,7,0)&gt;=Q357,DATE(2026,6,1)&lt;=R357),"█","")</f>
        <v/>
      </c>
      <c r="K357" s="30" t="str">
        <f>IF(AND(Q357&lt;&gt;"",R357&lt;&gt;"",DATE(2026,8,0)&gt;=Q357,DATE(2026,7,1)&lt;=R357),"█","")</f>
        <v/>
      </c>
      <c r="L357" s="30" t="str">
        <f>IF(AND(Q357&lt;&gt;"",R357&lt;&gt;"",DATE(2026,9,0)&gt;=Q357,DATE(2026,8,1)&lt;=R357),"█","")</f>
        <v/>
      </c>
      <c r="M357" s="30" t="str">
        <f>IF(AND(Q357&lt;&gt;"",R357&lt;&gt;"",DATE(2026,10,0)&gt;=Q357,DATE(2026,9,1)&lt;=R357),"█","")</f>
        <v/>
      </c>
      <c r="N357" s="30" t="str">
        <f>IF(AND(Q357&lt;&gt;"",R357&lt;&gt;"",DATE(2026,11,0)&gt;=Q357,DATE(2026,10,1)&lt;=R357),"█","")</f>
        <v/>
      </c>
      <c r="O357" s="30" t="str">
        <f>IF(AND(Q357&lt;&gt;"",R357&lt;&gt;"",DATE(2026,12,0)&gt;=Q357,DATE(2026,11,1)&lt;=R357),"█","")</f>
        <v/>
      </c>
      <c r="P357" s="30" t="str">
        <f>IF(AND(Q357&lt;&gt;"",R357&lt;&gt;"",DATE(2026,12,31)&gt;=Q357,DATE(2026,12,1)&lt;=R357),"█","")</f>
        <v/>
      </c>
      <c r="Q357" s="7" t="str">
        <f>IF('Release Calendar'!I357&lt;&gt;"",'Release Calendar'!I357,"")</f>
        <v/>
      </c>
      <c r="R357" s="7" t="str">
        <f>IF('Release Calendar'!J357&lt;&gt;"",'Release Calendar'!J357,"")</f>
        <v/>
      </c>
    </row>
    <row r="358" spans="1:18" ht="20.100000000000001" customHeight="1">
      <c r="A358" s="31">
        <v>354</v>
      </c>
      <c r="B358" s="32" t="str">
        <f>IF('Release Calendar'!B358&lt;&gt;"",'Release Calendar'!B358,"")</f>
        <v/>
      </c>
      <c r="C358" s="33" t="str">
        <f>IF('Release Calendar'!K358&lt;&gt;"",'Release Calendar'!K358,"")</f>
        <v/>
      </c>
      <c r="D358" s="33" t="str">
        <f>IF('Release Calendar'!M358&lt;&gt;"",'Release Calendar'!M358,"")</f>
        <v/>
      </c>
      <c r="E358" s="34" t="str">
        <f>IF(AND(Q358&lt;&gt;"",R358&lt;&gt;"",DATE(2026,2,0)&gt;=Q358,DATE(2026,1,1)&lt;=R358),"█","")</f>
        <v/>
      </c>
      <c r="F358" s="34" t="str">
        <f>IF(AND(Q358&lt;&gt;"",R358&lt;&gt;"",DATE(2026,3,0)&gt;=Q358,DATE(2026,2,1)&lt;=R358),"█","")</f>
        <v/>
      </c>
      <c r="G358" s="34" t="str">
        <f>IF(AND(Q358&lt;&gt;"",R358&lt;&gt;"",DATE(2026,4,0)&gt;=Q358,DATE(2026,3,1)&lt;=R358),"█","")</f>
        <v/>
      </c>
      <c r="H358" s="34" t="str">
        <f>IF(AND(Q358&lt;&gt;"",R358&lt;&gt;"",DATE(2026,5,0)&gt;=Q358,DATE(2026,4,1)&lt;=R358),"█","")</f>
        <v/>
      </c>
      <c r="I358" s="34" t="str">
        <f>IF(AND(Q358&lt;&gt;"",R358&lt;&gt;"",DATE(2026,6,0)&gt;=Q358,DATE(2026,5,1)&lt;=R358),"█","")</f>
        <v/>
      </c>
      <c r="J358" s="34" t="str">
        <f>IF(AND(Q358&lt;&gt;"",R358&lt;&gt;"",DATE(2026,7,0)&gt;=Q358,DATE(2026,6,1)&lt;=R358),"█","")</f>
        <v/>
      </c>
      <c r="K358" s="34" t="str">
        <f>IF(AND(Q358&lt;&gt;"",R358&lt;&gt;"",DATE(2026,8,0)&gt;=Q358,DATE(2026,7,1)&lt;=R358),"█","")</f>
        <v/>
      </c>
      <c r="L358" s="34" t="str">
        <f>IF(AND(Q358&lt;&gt;"",R358&lt;&gt;"",DATE(2026,9,0)&gt;=Q358,DATE(2026,8,1)&lt;=R358),"█","")</f>
        <v/>
      </c>
      <c r="M358" s="34" t="str">
        <f>IF(AND(Q358&lt;&gt;"",R358&lt;&gt;"",DATE(2026,10,0)&gt;=Q358,DATE(2026,9,1)&lt;=R358),"█","")</f>
        <v/>
      </c>
      <c r="N358" s="34" t="str">
        <f>IF(AND(Q358&lt;&gt;"",R358&lt;&gt;"",DATE(2026,11,0)&gt;=Q358,DATE(2026,10,1)&lt;=R358),"█","")</f>
        <v/>
      </c>
      <c r="O358" s="34" t="str">
        <f>IF(AND(Q358&lt;&gt;"",R358&lt;&gt;"",DATE(2026,12,0)&gt;=Q358,DATE(2026,11,1)&lt;=R358),"█","")</f>
        <v/>
      </c>
      <c r="P358" s="34" t="str">
        <f>IF(AND(Q358&lt;&gt;"",R358&lt;&gt;"",DATE(2026,12,31)&gt;=Q358,DATE(2026,12,1)&lt;=R358),"█","")</f>
        <v/>
      </c>
      <c r="Q358" s="7" t="str">
        <f>IF('Release Calendar'!I358&lt;&gt;"",'Release Calendar'!I358,"")</f>
        <v/>
      </c>
      <c r="R358" s="7" t="str">
        <f>IF('Release Calendar'!J358&lt;&gt;"",'Release Calendar'!J358,"")</f>
        <v/>
      </c>
    </row>
    <row r="359" spans="1:18" ht="20.100000000000001" customHeight="1">
      <c r="A359" s="14">
        <v>355</v>
      </c>
      <c r="B359" s="28" t="str">
        <f>IF('Release Calendar'!B359&lt;&gt;"",'Release Calendar'!B359,"")</f>
        <v/>
      </c>
      <c r="C359" s="29" t="str">
        <f>IF('Release Calendar'!K359&lt;&gt;"",'Release Calendar'!K359,"")</f>
        <v/>
      </c>
      <c r="D359" s="29" t="str">
        <f>IF('Release Calendar'!M359&lt;&gt;"",'Release Calendar'!M359,"")</f>
        <v/>
      </c>
      <c r="E359" s="30" t="str">
        <f>IF(AND(Q359&lt;&gt;"",R359&lt;&gt;"",DATE(2026,2,0)&gt;=Q359,DATE(2026,1,1)&lt;=R359),"█","")</f>
        <v/>
      </c>
      <c r="F359" s="30" t="str">
        <f>IF(AND(Q359&lt;&gt;"",R359&lt;&gt;"",DATE(2026,3,0)&gt;=Q359,DATE(2026,2,1)&lt;=R359),"█","")</f>
        <v/>
      </c>
      <c r="G359" s="30" t="str">
        <f>IF(AND(Q359&lt;&gt;"",R359&lt;&gt;"",DATE(2026,4,0)&gt;=Q359,DATE(2026,3,1)&lt;=R359),"█","")</f>
        <v/>
      </c>
      <c r="H359" s="30" t="str">
        <f>IF(AND(Q359&lt;&gt;"",R359&lt;&gt;"",DATE(2026,5,0)&gt;=Q359,DATE(2026,4,1)&lt;=R359),"█","")</f>
        <v/>
      </c>
      <c r="I359" s="30" t="str">
        <f>IF(AND(Q359&lt;&gt;"",R359&lt;&gt;"",DATE(2026,6,0)&gt;=Q359,DATE(2026,5,1)&lt;=R359),"█","")</f>
        <v/>
      </c>
      <c r="J359" s="30" t="str">
        <f>IF(AND(Q359&lt;&gt;"",R359&lt;&gt;"",DATE(2026,7,0)&gt;=Q359,DATE(2026,6,1)&lt;=R359),"█","")</f>
        <v/>
      </c>
      <c r="K359" s="30" t="str">
        <f>IF(AND(Q359&lt;&gt;"",R359&lt;&gt;"",DATE(2026,8,0)&gt;=Q359,DATE(2026,7,1)&lt;=R359),"█","")</f>
        <v/>
      </c>
      <c r="L359" s="30" t="str">
        <f>IF(AND(Q359&lt;&gt;"",R359&lt;&gt;"",DATE(2026,9,0)&gt;=Q359,DATE(2026,8,1)&lt;=R359),"█","")</f>
        <v/>
      </c>
      <c r="M359" s="30" t="str">
        <f>IF(AND(Q359&lt;&gt;"",R359&lt;&gt;"",DATE(2026,10,0)&gt;=Q359,DATE(2026,9,1)&lt;=R359),"█","")</f>
        <v/>
      </c>
      <c r="N359" s="30" t="str">
        <f>IF(AND(Q359&lt;&gt;"",R359&lt;&gt;"",DATE(2026,11,0)&gt;=Q359,DATE(2026,10,1)&lt;=R359),"█","")</f>
        <v/>
      </c>
      <c r="O359" s="30" t="str">
        <f>IF(AND(Q359&lt;&gt;"",R359&lt;&gt;"",DATE(2026,12,0)&gt;=Q359,DATE(2026,11,1)&lt;=R359),"█","")</f>
        <v/>
      </c>
      <c r="P359" s="30" t="str">
        <f>IF(AND(Q359&lt;&gt;"",R359&lt;&gt;"",DATE(2026,12,31)&gt;=Q359,DATE(2026,12,1)&lt;=R359),"█","")</f>
        <v/>
      </c>
      <c r="Q359" s="7" t="str">
        <f>IF('Release Calendar'!I359&lt;&gt;"",'Release Calendar'!I359,"")</f>
        <v/>
      </c>
      <c r="R359" s="7" t="str">
        <f>IF('Release Calendar'!J359&lt;&gt;"",'Release Calendar'!J359,"")</f>
        <v/>
      </c>
    </row>
    <row r="360" spans="1:18" ht="20.100000000000001" customHeight="1">
      <c r="A360" s="31">
        <v>356</v>
      </c>
      <c r="B360" s="32" t="str">
        <f>IF('Release Calendar'!B360&lt;&gt;"",'Release Calendar'!B360,"")</f>
        <v/>
      </c>
      <c r="C360" s="33" t="str">
        <f>IF('Release Calendar'!K360&lt;&gt;"",'Release Calendar'!K360,"")</f>
        <v/>
      </c>
      <c r="D360" s="33" t="str">
        <f>IF('Release Calendar'!M360&lt;&gt;"",'Release Calendar'!M360,"")</f>
        <v/>
      </c>
      <c r="E360" s="34" t="str">
        <f>IF(AND(Q360&lt;&gt;"",R360&lt;&gt;"",DATE(2026,2,0)&gt;=Q360,DATE(2026,1,1)&lt;=R360),"█","")</f>
        <v/>
      </c>
      <c r="F360" s="34" t="str">
        <f>IF(AND(Q360&lt;&gt;"",R360&lt;&gt;"",DATE(2026,3,0)&gt;=Q360,DATE(2026,2,1)&lt;=R360),"█","")</f>
        <v/>
      </c>
      <c r="G360" s="34" t="str">
        <f>IF(AND(Q360&lt;&gt;"",R360&lt;&gt;"",DATE(2026,4,0)&gt;=Q360,DATE(2026,3,1)&lt;=R360),"█","")</f>
        <v/>
      </c>
      <c r="H360" s="34" t="str">
        <f>IF(AND(Q360&lt;&gt;"",R360&lt;&gt;"",DATE(2026,5,0)&gt;=Q360,DATE(2026,4,1)&lt;=R360),"█","")</f>
        <v/>
      </c>
      <c r="I360" s="34" t="str">
        <f>IF(AND(Q360&lt;&gt;"",R360&lt;&gt;"",DATE(2026,6,0)&gt;=Q360,DATE(2026,5,1)&lt;=R360),"█","")</f>
        <v/>
      </c>
      <c r="J360" s="34" t="str">
        <f>IF(AND(Q360&lt;&gt;"",R360&lt;&gt;"",DATE(2026,7,0)&gt;=Q360,DATE(2026,6,1)&lt;=R360),"█","")</f>
        <v/>
      </c>
      <c r="K360" s="34" t="str">
        <f>IF(AND(Q360&lt;&gt;"",R360&lt;&gt;"",DATE(2026,8,0)&gt;=Q360,DATE(2026,7,1)&lt;=R360),"█","")</f>
        <v/>
      </c>
      <c r="L360" s="34" t="str">
        <f>IF(AND(Q360&lt;&gt;"",R360&lt;&gt;"",DATE(2026,9,0)&gt;=Q360,DATE(2026,8,1)&lt;=R360),"█","")</f>
        <v/>
      </c>
      <c r="M360" s="34" t="str">
        <f>IF(AND(Q360&lt;&gt;"",R360&lt;&gt;"",DATE(2026,10,0)&gt;=Q360,DATE(2026,9,1)&lt;=R360),"█","")</f>
        <v/>
      </c>
      <c r="N360" s="34" t="str">
        <f>IF(AND(Q360&lt;&gt;"",R360&lt;&gt;"",DATE(2026,11,0)&gt;=Q360,DATE(2026,10,1)&lt;=R360),"█","")</f>
        <v/>
      </c>
      <c r="O360" s="34" t="str">
        <f>IF(AND(Q360&lt;&gt;"",R360&lt;&gt;"",DATE(2026,12,0)&gt;=Q360,DATE(2026,11,1)&lt;=R360),"█","")</f>
        <v/>
      </c>
      <c r="P360" s="34" t="str">
        <f>IF(AND(Q360&lt;&gt;"",R360&lt;&gt;"",DATE(2026,12,31)&gt;=Q360,DATE(2026,12,1)&lt;=R360),"█","")</f>
        <v/>
      </c>
      <c r="Q360" s="7" t="str">
        <f>IF('Release Calendar'!I360&lt;&gt;"",'Release Calendar'!I360,"")</f>
        <v/>
      </c>
      <c r="R360" s="7" t="str">
        <f>IF('Release Calendar'!J360&lt;&gt;"",'Release Calendar'!J360,"")</f>
        <v/>
      </c>
    </row>
    <row r="361" spans="1:18" ht="20.100000000000001" customHeight="1">
      <c r="A361" s="14">
        <v>357</v>
      </c>
      <c r="B361" s="28" t="str">
        <f>IF('Release Calendar'!B361&lt;&gt;"",'Release Calendar'!B361,"")</f>
        <v/>
      </c>
      <c r="C361" s="29" t="str">
        <f>IF('Release Calendar'!K361&lt;&gt;"",'Release Calendar'!K361,"")</f>
        <v/>
      </c>
      <c r="D361" s="29" t="str">
        <f>IF('Release Calendar'!M361&lt;&gt;"",'Release Calendar'!M361,"")</f>
        <v/>
      </c>
      <c r="E361" s="30" t="str">
        <f>IF(AND(Q361&lt;&gt;"",R361&lt;&gt;"",DATE(2026,2,0)&gt;=Q361,DATE(2026,1,1)&lt;=R361),"█","")</f>
        <v/>
      </c>
      <c r="F361" s="30" t="str">
        <f>IF(AND(Q361&lt;&gt;"",R361&lt;&gt;"",DATE(2026,3,0)&gt;=Q361,DATE(2026,2,1)&lt;=R361),"█","")</f>
        <v/>
      </c>
      <c r="G361" s="30" t="str">
        <f>IF(AND(Q361&lt;&gt;"",R361&lt;&gt;"",DATE(2026,4,0)&gt;=Q361,DATE(2026,3,1)&lt;=R361),"█","")</f>
        <v/>
      </c>
      <c r="H361" s="30" t="str">
        <f>IF(AND(Q361&lt;&gt;"",R361&lt;&gt;"",DATE(2026,5,0)&gt;=Q361,DATE(2026,4,1)&lt;=R361),"█","")</f>
        <v/>
      </c>
      <c r="I361" s="30" t="str">
        <f>IF(AND(Q361&lt;&gt;"",R361&lt;&gt;"",DATE(2026,6,0)&gt;=Q361,DATE(2026,5,1)&lt;=R361),"█","")</f>
        <v/>
      </c>
      <c r="J361" s="30" t="str">
        <f>IF(AND(Q361&lt;&gt;"",R361&lt;&gt;"",DATE(2026,7,0)&gt;=Q361,DATE(2026,6,1)&lt;=R361),"█","")</f>
        <v/>
      </c>
      <c r="K361" s="30" t="str">
        <f>IF(AND(Q361&lt;&gt;"",R361&lt;&gt;"",DATE(2026,8,0)&gt;=Q361,DATE(2026,7,1)&lt;=R361),"█","")</f>
        <v/>
      </c>
      <c r="L361" s="30" t="str">
        <f>IF(AND(Q361&lt;&gt;"",R361&lt;&gt;"",DATE(2026,9,0)&gt;=Q361,DATE(2026,8,1)&lt;=R361),"█","")</f>
        <v/>
      </c>
      <c r="M361" s="30" t="str">
        <f>IF(AND(Q361&lt;&gt;"",R361&lt;&gt;"",DATE(2026,10,0)&gt;=Q361,DATE(2026,9,1)&lt;=R361),"█","")</f>
        <v/>
      </c>
      <c r="N361" s="30" t="str">
        <f>IF(AND(Q361&lt;&gt;"",R361&lt;&gt;"",DATE(2026,11,0)&gt;=Q361,DATE(2026,10,1)&lt;=R361),"█","")</f>
        <v/>
      </c>
      <c r="O361" s="30" t="str">
        <f>IF(AND(Q361&lt;&gt;"",R361&lt;&gt;"",DATE(2026,12,0)&gt;=Q361,DATE(2026,11,1)&lt;=R361),"█","")</f>
        <v/>
      </c>
      <c r="P361" s="30" t="str">
        <f>IF(AND(Q361&lt;&gt;"",R361&lt;&gt;"",DATE(2026,12,31)&gt;=Q361,DATE(2026,12,1)&lt;=R361),"█","")</f>
        <v/>
      </c>
      <c r="Q361" s="7" t="str">
        <f>IF('Release Calendar'!I361&lt;&gt;"",'Release Calendar'!I361,"")</f>
        <v/>
      </c>
      <c r="R361" s="7" t="str">
        <f>IF('Release Calendar'!J361&lt;&gt;"",'Release Calendar'!J361,"")</f>
        <v/>
      </c>
    </row>
    <row r="362" spans="1:18" ht="20.100000000000001" customHeight="1">
      <c r="A362" s="31">
        <v>358</v>
      </c>
      <c r="B362" s="32" t="str">
        <f>IF('Release Calendar'!B362&lt;&gt;"",'Release Calendar'!B362,"")</f>
        <v/>
      </c>
      <c r="C362" s="33" t="str">
        <f>IF('Release Calendar'!K362&lt;&gt;"",'Release Calendar'!K362,"")</f>
        <v/>
      </c>
      <c r="D362" s="33" t="str">
        <f>IF('Release Calendar'!M362&lt;&gt;"",'Release Calendar'!M362,"")</f>
        <v/>
      </c>
      <c r="E362" s="34" t="str">
        <f>IF(AND(Q362&lt;&gt;"",R362&lt;&gt;"",DATE(2026,2,0)&gt;=Q362,DATE(2026,1,1)&lt;=R362),"█","")</f>
        <v/>
      </c>
      <c r="F362" s="34" t="str">
        <f>IF(AND(Q362&lt;&gt;"",R362&lt;&gt;"",DATE(2026,3,0)&gt;=Q362,DATE(2026,2,1)&lt;=R362),"█","")</f>
        <v/>
      </c>
      <c r="G362" s="34" t="str">
        <f>IF(AND(Q362&lt;&gt;"",R362&lt;&gt;"",DATE(2026,4,0)&gt;=Q362,DATE(2026,3,1)&lt;=R362),"█","")</f>
        <v/>
      </c>
      <c r="H362" s="34" t="str">
        <f>IF(AND(Q362&lt;&gt;"",R362&lt;&gt;"",DATE(2026,5,0)&gt;=Q362,DATE(2026,4,1)&lt;=R362),"█","")</f>
        <v/>
      </c>
      <c r="I362" s="34" t="str">
        <f>IF(AND(Q362&lt;&gt;"",R362&lt;&gt;"",DATE(2026,6,0)&gt;=Q362,DATE(2026,5,1)&lt;=R362),"█","")</f>
        <v/>
      </c>
      <c r="J362" s="34" t="str">
        <f>IF(AND(Q362&lt;&gt;"",R362&lt;&gt;"",DATE(2026,7,0)&gt;=Q362,DATE(2026,6,1)&lt;=R362),"█","")</f>
        <v/>
      </c>
      <c r="K362" s="34" t="str">
        <f>IF(AND(Q362&lt;&gt;"",R362&lt;&gt;"",DATE(2026,8,0)&gt;=Q362,DATE(2026,7,1)&lt;=R362),"█","")</f>
        <v/>
      </c>
      <c r="L362" s="34" t="str">
        <f>IF(AND(Q362&lt;&gt;"",R362&lt;&gt;"",DATE(2026,9,0)&gt;=Q362,DATE(2026,8,1)&lt;=R362),"█","")</f>
        <v/>
      </c>
      <c r="M362" s="34" t="str">
        <f>IF(AND(Q362&lt;&gt;"",R362&lt;&gt;"",DATE(2026,10,0)&gt;=Q362,DATE(2026,9,1)&lt;=R362),"█","")</f>
        <v/>
      </c>
      <c r="N362" s="34" t="str">
        <f>IF(AND(Q362&lt;&gt;"",R362&lt;&gt;"",DATE(2026,11,0)&gt;=Q362,DATE(2026,10,1)&lt;=R362),"█","")</f>
        <v/>
      </c>
      <c r="O362" s="34" t="str">
        <f>IF(AND(Q362&lt;&gt;"",R362&lt;&gt;"",DATE(2026,12,0)&gt;=Q362,DATE(2026,11,1)&lt;=R362),"█","")</f>
        <v/>
      </c>
      <c r="P362" s="34" t="str">
        <f>IF(AND(Q362&lt;&gt;"",R362&lt;&gt;"",DATE(2026,12,31)&gt;=Q362,DATE(2026,12,1)&lt;=R362),"█","")</f>
        <v/>
      </c>
      <c r="Q362" s="7" t="str">
        <f>IF('Release Calendar'!I362&lt;&gt;"",'Release Calendar'!I362,"")</f>
        <v/>
      </c>
      <c r="R362" s="7" t="str">
        <f>IF('Release Calendar'!J362&lt;&gt;"",'Release Calendar'!J362,"")</f>
        <v/>
      </c>
    </row>
    <row r="363" spans="1:18" ht="20.100000000000001" customHeight="1">
      <c r="A363" s="14">
        <v>359</v>
      </c>
      <c r="B363" s="28" t="str">
        <f>IF('Release Calendar'!B363&lt;&gt;"",'Release Calendar'!B363,"")</f>
        <v/>
      </c>
      <c r="C363" s="29" t="str">
        <f>IF('Release Calendar'!K363&lt;&gt;"",'Release Calendar'!K363,"")</f>
        <v/>
      </c>
      <c r="D363" s="29" t="str">
        <f>IF('Release Calendar'!M363&lt;&gt;"",'Release Calendar'!M363,"")</f>
        <v/>
      </c>
      <c r="E363" s="30" t="str">
        <f>IF(AND(Q363&lt;&gt;"",R363&lt;&gt;"",DATE(2026,2,0)&gt;=Q363,DATE(2026,1,1)&lt;=R363),"█","")</f>
        <v/>
      </c>
      <c r="F363" s="30" t="str">
        <f>IF(AND(Q363&lt;&gt;"",R363&lt;&gt;"",DATE(2026,3,0)&gt;=Q363,DATE(2026,2,1)&lt;=R363),"█","")</f>
        <v/>
      </c>
      <c r="G363" s="30" t="str">
        <f>IF(AND(Q363&lt;&gt;"",R363&lt;&gt;"",DATE(2026,4,0)&gt;=Q363,DATE(2026,3,1)&lt;=R363),"█","")</f>
        <v/>
      </c>
      <c r="H363" s="30" t="str">
        <f>IF(AND(Q363&lt;&gt;"",R363&lt;&gt;"",DATE(2026,5,0)&gt;=Q363,DATE(2026,4,1)&lt;=R363),"█","")</f>
        <v/>
      </c>
      <c r="I363" s="30" t="str">
        <f>IF(AND(Q363&lt;&gt;"",R363&lt;&gt;"",DATE(2026,6,0)&gt;=Q363,DATE(2026,5,1)&lt;=R363),"█","")</f>
        <v/>
      </c>
      <c r="J363" s="30" t="str">
        <f>IF(AND(Q363&lt;&gt;"",R363&lt;&gt;"",DATE(2026,7,0)&gt;=Q363,DATE(2026,6,1)&lt;=R363),"█","")</f>
        <v/>
      </c>
      <c r="K363" s="30" t="str">
        <f>IF(AND(Q363&lt;&gt;"",R363&lt;&gt;"",DATE(2026,8,0)&gt;=Q363,DATE(2026,7,1)&lt;=R363),"█","")</f>
        <v/>
      </c>
      <c r="L363" s="30" t="str">
        <f>IF(AND(Q363&lt;&gt;"",R363&lt;&gt;"",DATE(2026,9,0)&gt;=Q363,DATE(2026,8,1)&lt;=R363),"█","")</f>
        <v/>
      </c>
      <c r="M363" s="30" t="str">
        <f>IF(AND(Q363&lt;&gt;"",R363&lt;&gt;"",DATE(2026,10,0)&gt;=Q363,DATE(2026,9,1)&lt;=R363),"█","")</f>
        <v/>
      </c>
      <c r="N363" s="30" t="str">
        <f>IF(AND(Q363&lt;&gt;"",R363&lt;&gt;"",DATE(2026,11,0)&gt;=Q363,DATE(2026,10,1)&lt;=R363),"█","")</f>
        <v/>
      </c>
      <c r="O363" s="30" t="str">
        <f>IF(AND(Q363&lt;&gt;"",R363&lt;&gt;"",DATE(2026,12,0)&gt;=Q363,DATE(2026,11,1)&lt;=R363),"█","")</f>
        <v/>
      </c>
      <c r="P363" s="30" t="str">
        <f>IF(AND(Q363&lt;&gt;"",R363&lt;&gt;"",DATE(2026,12,31)&gt;=Q363,DATE(2026,12,1)&lt;=R363),"█","")</f>
        <v/>
      </c>
      <c r="Q363" s="7" t="str">
        <f>IF('Release Calendar'!I363&lt;&gt;"",'Release Calendar'!I363,"")</f>
        <v/>
      </c>
      <c r="R363" s="7" t="str">
        <f>IF('Release Calendar'!J363&lt;&gt;"",'Release Calendar'!J363,"")</f>
        <v/>
      </c>
    </row>
    <row r="364" spans="1:18" ht="20.100000000000001" customHeight="1">
      <c r="A364" s="31">
        <v>360</v>
      </c>
      <c r="B364" s="32" t="str">
        <f>IF('Release Calendar'!B364&lt;&gt;"",'Release Calendar'!B364,"")</f>
        <v/>
      </c>
      <c r="C364" s="33" t="str">
        <f>IF('Release Calendar'!K364&lt;&gt;"",'Release Calendar'!K364,"")</f>
        <v/>
      </c>
      <c r="D364" s="33" t="str">
        <f>IF('Release Calendar'!M364&lt;&gt;"",'Release Calendar'!M364,"")</f>
        <v/>
      </c>
      <c r="E364" s="34" t="str">
        <f>IF(AND(Q364&lt;&gt;"",R364&lt;&gt;"",DATE(2026,2,0)&gt;=Q364,DATE(2026,1,1)&lt;=R364),"█","")</f>
        <v/>
      </c>
      <c r="F364" s="34" t="str">
        <f>IF(AND(Q364&lt;&gt;"",R364&lt;&gt;"",DATE(2026,3,0)&gt;=Q364,DATE(2026,2,1)&lt;=R364),"█","")</f>
        <v/>
      </c>
      <c r="G364" s="34" t="str">
        <f>IF(AND(Q364&lt;&gt;"",R364&lt;&gt;"",DATE(2026,4,0)&gt;=Q364,DATE(2026,3,1)&lt;=R364),"█","")</f>
        <v/>
      </c>
      <c r="H364" s="34" t="str">
        <f>IF(AND(Q364&lt;&gt;"",R364&lt;&gt;"",DATE(2026,5,0)&gt;=Q364,DATE(2026,4,1)&lt;=R364),"█","")</f>
        <v/>
      </c>
      <c r="I364" s="34" t="str">
        <f>IF(AND(Q364&lt;&gt;"",R364&lt;&gt;"",DATE(2026,6,0)&gt;=Q364,DATE(2026,5,1)&lt;=R364),"█","")</f>
        <v/>
      </c>
      <c r="J364" s="34" t="str">
        <f>IF(AND(Q364&lt;&gt;"",R364&lt;&gt;"",DATE(2026,7,0)&gt;=Q364,DATE(2026,6,1)&lt;=R364),"█","")</f>
        <v/>
      </c>
      <c r="K364" s="34" t="str">
        <f>IF(AND(Q364&lt;&gt;"",R364&lt;&gt;"",DATE(2026,8,0)&gt;=Q364,DATE(2026,7,1)&lt;=R364),"█","")</f>
        <v/>
      </c>
      <c r="L364" s="34" t="str">
        <f>IF(AND(Q364&lt;&gt;"",R364&lt;&gt;"",DATE(2026,9,0)&gt;=Q364,DATE(2026,8,1)&lt;=R364),"█","")</f>
        <v/>
      </c>
      <c r="M364" s="34" t="str">
        <f>IF(AND(Q364&lt;&gt;"",R364&lt;&gt;"",DATE(2026,10,0)&gt;=Q364,DATE(2026,9,1)&lt;=R364),"█","")</f>
        <v/>
      </c>
      <c r="N364" s="34" t="str">
        <f>IF(AND(Q364&lt;&gt;"",R364&lt;&gt;"",DATE(2026,11,0)&gt;=Q364,DATE(2026,10,1)&lt;=R364),"█","")</f>
        <v/>
      </c>
      <c r="O364" s="34" t="str">
        <f>IF(AND(Q364&lt;&gt;"",R364&lt;&gt;"",DATE(2026,12,0)&gt;=Q364,DATE(2026,11,1)&lt;=R364),"█","")</f>
        <v/>
      </c>
      <c r="P364" s="34" t="str">
        <f>IF(AND(Q364&lt;&gt;"",R364&lt;&gt;"",DATE(2026,12,31)&gt;=Q364,DATE(2026,12,1)&lt;=R364),"█","")</f>
        <v/>
      </c>
      <c r="Q364" s="7" t="str">
        <f>IF('Release Calendar'!I364&lt;&gt;"",'Release Calendar'!I364,"")</f>
        <v/>
      </c>
      <c r="R364" s="7" t="str">
        <f>IF('Release Calendar'!J364&lt;&gt;"",'Release Calendar'!J364,"")</f>
        <v/>
      </c>
    </row>
    <row r="365" spans="1:18" ht="20.100000000000001" customHeight="1">
      <c r="A365" s="14">
        <v>361</v>
      </c>
      <c r="B365" s="28" t="str">
        <f>IF('Release Calendar'!B365&lt;&gt;"",'Release Calendar'!B365,"")</f>
        <v/>
      </c>
      <c r="C365" s="29" t="str">
        <f>IF('Release Calendar'!K365&lt;&gt;"",'Release Calendar'!K365,"")</f>
        <v/>
      </c>
      <c r="D365" s="29" t="str">
        <f>IF('Release Calendar'!M365&lt;&gt;"",'Release Calendar'!M365,"")</f>
        <v/>
      </c>
      <c r="E365" s="30" t="str">
        <f>IF(AND(Q365&lt;&gt;"",R365&lt;&gt;"",DATE(2026,2,0)&gt;=Q365,DATE(2026,1,1)&lt;=R365),"█","")</f>
        <v/>
      </c>
      <c r="F365" s="30" t="str">
        <f>IF(AND(Q365&lt;&gt;"",R365&lt;&gt;"",DATE(2026,3,0)&gt;=Q365,DATE(2026,2,1)&lt;=R365),"█","")</f>
        <v/>
      </c>
      <c r="G365" s="30" t="str">
        <f>IF(AND(Q365&lt;&gt;"",R365&lt;&gt;"",DATE(2026,4,0)&gt;=Q365,DATE(2026,3,1)&lt;=R365),"█","")</f>
        <v/>
      </c>
      <c r="H365" s="30" t="str">
        <f>IF(AND(Q365&lt;&gt;"",R365&lt;&gt;"",DATE(2026,5,0)&gt;=Q365,DATE(2026,4,1)&lt;=R365),"█","")</f>
        <v/>
      </c>
      <c r="I365" s="30" t="str">
        <f>IF(AND(Q365&lt;&gt;"",R365&lt;&gt;"",DATE(2026,6,0)&gt;=Q365,DATE(2026,5,1)&lt;=R365),"█","")</f>
        <v/>
      </c>
      <c r="J365" s="30" t="str">
        <f>IF(AND(Q365&lt;&gt;"",R365&lt;&gt;"",DATE(2026,7,0)&gt;=Q365,DATE(2026,6,1)&lt;=R365),"█","")</f>
        <v/>
      </c>
      <c r="K365" s="30" t="str">
        <f>IF(AND(Q365&lt;&gt;"",R365&lt;&gt;"",DATE(2026,8,0)&gt;=Q365,DATE(2026,7,1)&lt;=R365),"█","")</f>
        <v/>
      </c>
      <c r="L365" s="30" t="str">
        <f>IF(AND(Q365&lt;&gt;"",R365&lt;&gt;"",DATE(2026,9,0)&gt;=Q365,DATE(2026,8,1)&lt;=R365),"█","")</f>
        <v/>
      </c>
      <c r="M365" s="30" t="str">
        <f>IF(AND(Q365&lt;&gt;"",R365&lt;&gt;"",DATE(2026,10,0)&gt;=Q365,DATE(2026,9,1)&lt;=R365),"█","")</f>
        <v/>
      </c>
      <c r="N365" s="30" t="str">
        <f>IF(AND(Q365&lt;&gt;"",R365&lt;&gt;"",DATE(2026,11,0)&gt;=Q365,DATE(2026,10,1)&lt;=R365),"█","")</f>
        <v/>
      </c>
      <c r="O365" s="30" t="str">
        <f>IF(AND(Q365&lt;&gt;"",R365&lt;&gt;"",DATE(2026,12,0)&gt;=Q365,DATE(2026,11,1)&lt;=R365),"█","")</f>
        <v/>
      </c>
      <c r="P365" s="30" t="str">
        <f>IF(AND(Q365&lt;&gt;"",R365&lt;&gt;"",DATE(2026,12,31)&gt;=Q365,DATE(2026,12,1)&lt;=R365),"█","")</f>
        <v/>
      </c>
      <c r="Q365" s="7" t="str">
        <f>IF('Release Calendar'!I365&lt;&gt;"",'Release Calendar'!I365,"")</f>
        <v/>
      </c>
      <c r="R365" s="7" t="str">
        <f>IF('Release Calendar'!J365&lt;&gt;"",'Release Calendar'!J365,"")</f>
        <v/>
      </c>
    </row>
    <row r="366" spans="1:18" ht="20.100000000000001" customHeight="1">
      <c r="A366" s="31">
        <v>362</v>
      </c>
      <c r="B366" s="32" t="str">
        <f>IF('Release Calendar'!B366&lt;&gt;"",'Release Calendar'!B366,"")</f>
        <v/>
      </c>
      <c r="C366" s="33" t="str">
        <f>IF('Release Calendar'!K366&lt;&gt;"",'Release Calendar'!K366,"")</f>
        <v/>
      </c>
      <c r="D366" s="33" t="str">
        <f>IF('Release Calendar'!M366&lt;&gt;"",'Release Calendar'!M366,"")</f>
        <v/>
      </c>
      <c r="E366" s="34" t="str">
        <f>IF(AND(Q366&lt;&gt;"",R366&lt;&gt;"",DATE(2026,2,0)&gt;=Q366,DATE(2026,1,1)&lt;=R366),"█","")</f>
        <v/>
      </c>
      <c r="F366" s="34" t="str">
        <f>IF(AND(Q366&lt;&gt;"",R366&lt;&gt;"",DATE(2026,3,0)&gt;=Q366,DATE(2026,2,1)&lt;=R366),"█","")</f>
        <v/>
      </c>
      <c r="G366" s="34" t="str">
        <f>IF(AND(Q366&lt;&gt;"",R366&lt;&gt;"",DATE(2026,4,0)&gt;=Q366,DATE(2026,3,1)&lt;=R366),"█","")</f>
        <v/>
      </c>
      <c r="H366" s="34" t="str">
        <f>IF(AND(Q366&lt;&gt;"",R366&lt;&gt;"",DATE(2026,5,0)&gt;=Q366,DATE(2026,4,1)&lt;=R366),"█","")</f>
        <v/>
      </c>
      <c r="I366" s="34" t="str">
        <f>IF(AND(Q366&lt;&gt;"",R366&lt;&gt;"",DATE(2026,6,0)&gt;=Q366,DATE(2026,5,1)&lt;=R366),"█","")</f>
        <v/>
      </c>
      <c r="J366" s="34" t="str">
        <f>IF(AND(Q366&lt;&gt;"",R366&lt;&gt;"",DATE(2026,7,0)&gt;=Q366,DATE(2026,6,1)&lt;=R366),"█","")</f>
        <v/>
      </c>
      <c r="K366" s="34" t="str">
        <f>IF(AND(Q366&lt;&gt;"",R366&lt;&gt;"",DATE(2026,8,0)&gt;=Q366,DATE(2026,7,1)&lt;=R366),"█","")</f>
        <v/>
      </c>
      <c r="L366" s="34" t="str">
        <f>IF(AND(Q366&lt;&gt;"",R366&lt;&gt;"",DATE(2026,9,0)&gt;=Q366,DATE(2026,8,1)&lt;=R366),"█","")</f>
        <v/>
      </c>
      <c r="M366" s="34" t="str">
        <f>IF(AND(Q366&lt;&gt;"",R366&lt;&gt;"",DATE(2026,10,0)&gt;=Q366,DATE(2026,9,1)&lt;=R366),"█","")</f>
        <v/>
      </c>
      <c r="N366" s="34" t="str">
        <f>IF(AND(Q366&lt;&gt;"",R366&lt;&gt;"",DATE(2026,11,0)&gt;=Q366,DATE(2026,10,1)&lt;=R366),"█","")</f>
        <v/>
      </c>
      <c r="O366" s="34" t="str">
        <f>IF(AND(Q366&lt;&gt;"",R366&lt;&gt;"",DATE(2026,12,0)&gt;=Q366,DATE(2026,11,1)&lt;=R366),"█","")</f>
        <v/>
      </c>
      <c r="P366" s="34" t="str">
        <f>IF(AND(Q366&lt;&gt;"",R366&lt;&gt;"",DATE(2026,12,31)&gt;=Q366,DATE(2026,12,1)&lt;=R366),"█","")</f>
        <v/>
      </c>
      <c r="Q366" s="7" t="str">
        <f>IF('Release Calendar'!I366&lt;&gt;"",'Release Calendar'!I366,"")</f>
        <v/>
      </c>
      <c r="R366" s="7" t="str">
        <f>IF('Release Calendar'!J366&lt;&gt;"",'Release Calendar'!J366,"")</f>
        <v/>
      </c>
    </row>
    <row r="367" spans="1:18" ht="20.100000000000001" customHeight="1">
      <c r="A367" s="14">
        <v>363</v>
      </c>
      <c r="B367" s="28" t="str">
        <f>IF('Release Calendar'!B367&lt;&gt;"",'Release Calendar'!B367,"")</f>
        <v/>
      </c>
      <c r="C367" s="29" t="str">
        <f>IF('Release Calendar'!K367&lt;&gt;"",'Release Calendar'!K367,"")</f>
        <v/>
      </c>
      <c r="D367" s="29" t="str">
        <f>IF('Release Calendar'!M367&lt;&gt;"",'Release Calendar'!M367,"")</f>
        <v/>
      </c>
      <c r="E367" s="30" t="str">
        <f>IF(AND(Q367&lt;&gt;"",R367&lt;&gt;"",DATE(2026,2,0)&gt;=Q367,DATE(2026,1,1)&lt;=R367),"█","")</f>
        <v/>
      </c>
      <c r="F367" s="30" t="str">
        <f>IF(AND(Q367&lt;&gt;"",R367&lt;&gt;"",DATE(2026,3,0)&gt;=Q367,DATE(2026,2,1)&lt;=R367),"█","")</f>
        <v/>
      </c>
      <c r="G367" s="30" t="str">
        <f>IF(AND(Q367&lt;&gt;"",R367&lt;&gt;"",DATE(2026,4,0)&gt;=Q367,DATE(2026,3,1)&lt;=R367),"█","")</f>
        <v/>
      </c>
      <c r="H367" s="30" t="str">
        <f>IF(AND(Q367&lt;&gt;"",R367&lt;&gt;"",DATE(2026,5,0)&gt;=Q367,DATE(2026,4,1)&lt;=R367),"█","")</f>
        <v/>
      </c>
      <c r="I367" s="30" t="str">
        <f>IF(AND(Q367&lt;&gt;"",R367&lt;&gt;"",DATE(2026,6,0)&gt;=Q367,DATE(2026,5,1)&lt;=R367),"█","")</f>
        <v/>
      </c>
      <c r="J367" s="30" t="str">
        <f>IF(AND(Q367&lt;&gt;"",R367&lt;&gt;"",DATE(2026,7,0)&gt;=Q367,DATE(2026,6,1)&lt;=R367),"█","")</f>
        <v/>
      </c>
      <c r="K367" s="30" t="str">
        <f>IF(AND(Q367&lt;&gt;"",R367&lt;&gt;"",DATE(2026,8,0)&gt;=Q367,DATE(2026,7,1)&lt;=R367),"█","")</f>
        <v/>
      </c>
      <c r="L367" s="30" t="str">
        <f>IF(AND(Q367&lt;&gt;"",R367&lt;&gt;"",DATE(2026,9,0)&gt;=Q367,DATE(2026,8,1)&lt;=R367),"█","")</f>
        <v/>
      </c>
      <c r="M367" s="30" t="str">
        <f>IF(AND(Q367&lt;&gt;"",R367&lt;&gt;"",DATE(2026,10,0)&gt;=Q367,DATE(2026,9,1)&lt;=R367),"█","")</f>
        <v/>
      </c>
      <c r="N367" s="30" t="str">
        <f>IF(AND(Q367&lt;&gt;"",R367&lt;&gt;"",DATE(2026,11,0)&gt;=Q367,DATE(2026,10,1)&lt;=R367),"█","")</f>
        <v/>
      </c>
      <c r="O367" s="30" t="str">
        <f>IF(AND(Q367&lt;&gt;"",R367&lt;&gt;"",DATE(2026,12,0)&gt;=Q367,DATE(2026,11,1)&lt;=R367),"█","")</f>
        <v/>
      </c>
      <c r="P367" s="30" t="str">
        <f>IF(AND(Q367&lt;&gt;"",R367&lt;&gt;"",DATE(2026,12,31)&gt;=Q367,DATE(2026,12,1)&lt;=R367),"█","")</f>
        <v/>
      </c>
      <c r="Q367" s="7" t="str">
        <f>IF('Release Calendar'!I367&lt;&gt;"",'Release Calendar'!I367,"")</f>
        <v/>
      </c>
      <c r="R367" s="7" t="str">
        <f>IF('Release Calendar'!J367&lt;&gt;"",'Release Calendar'!J367,"")</f>
        <v/>
      </c>
    </row>
    <row r="368" spans="1:18" ht="20.100000000000001" customHeight="1">
      <c r="A368" s="31">
        <v>364</v>
      </c>
      <c r="B368" s="32" t="str">
        <f>IF('Release Calendar'!B368&lt;&gt;"",'Release Calendar'!B368,"")</f>
        <v/>
      </c>
      <c r="C368" s="33" t="str">
        <f>IF('Release Calendar'!K368&lt;&gt;"",'Release Calendar'!K368,"")</f>
        <v/>
      </c>
      <c r="D368" s="33" t="str">
        <f>IF('Release Calendar'!M368&lt;&gt;"",'Release Calendar'!M368,"")</f>
        <v/>
      </c>
      <c r="E368" s="34" t="str">
        <f>IF(AND(Q368&lt;&gt;"",R368&lt;&gt;"",DATE(2026,2,0)&gt;=Q368,DATE(2026,1,1)&lt;=R368),"█","")</f>
        <v/>
      </c>
      <c r="F368" s="34" t="str">
        <f>IF(AND(Q368&lt;&gt;"",R368&lt;&gt;"",DATE(2026,3,0)&gt;=Q368,DATE(2026,2,1)&lt;=R368),"█","")</f>
        <v/>
      </c>
      <c r="G368" s="34" t="str">
        <f>IF(AND(Q368&lt;&gt;"",R368&lt;&gt;"",DATE(2026,4,0)&gt;=Q368,DATE(2026,3,1)&lt;=R368),"█","")</f>
        <v/>
      </c>
      <c r="H368" s="34" t="str">
        <f>IF(AND(Q368&lt;&gt;"",R368&lt;&gt;"",DATE(2026,5,0)&gt;=Q368,DATE(2026,4,1)&lt;=R368),"█","")</f>
        <v/>
      </c>
      <c r="I368" s="34" t="str">
        <f>IF(AND(Q368&lt;&gt;"",R368&lt;&gt;"",DATE(2026,6,0)&gt;=Q368,DATE(2026,5,1)&lt;=R368),"█","")</f>
        <v/>
      </c>
      <c r="J368" s="34" t="str">
        <f>IF(AND(Q368&lt;&gt;"",R368&lt;&gt;"",DATE(2026,7,0)&gt;=Q368,DATE(2026,6,1)&lt;=R368),"█","")</f>
        <v/>
      </c>
      <c r="K368" s="34" t="str">
        <f>IF(AND(Q368&lt;&gt;"",R368&lt;&gt;"",DATE(2026,8,0)&gt;=Q368,DATE(2026,7,1)&lt;=R368),"█","")</f>
        <v/>
      </c>
      <c r="L368" s="34" t="str">
        <f>IF(AND(Q368&lt;&gt;"",R368&lt;&gt;"",DATE(2026,9,0)&gt;=Q368,DATE(2026,8,1)&lt;=R368),"█","")</f>
        <v/>
      </c>
      <c r="M368" s="34" t="str">
        <f>IF(AND(Q368&lt;&gt;"",R368&lt;&gt;"",DATE(2026,10,0)&gt;=Q368,DATE(2026,9,1)&lt;=R368),"█","")</f>
        <v/>
      </c>
      <c r="N368" s="34" t="str">
        <f>IF(AND(Q368&lt;&gt;"",R368&lt;&gt;"",DATE(2026,11,0)&gt;=Q368,DATE(2026,10,1)&lt;=R368),"█","")</f>
        <v/>
      </c>
      <c r="O368" s="34" t="str">
        <f>IF(AND(Q368&lt;&gt;"",R368&lt;&gt;"",DATE(2026,12,0)&gt;=Q368,DATE(2026,11,1)&lt;=R368),"█","")</f>
        <v/>
      </c>
      <c r="P368" s="34" t="str">
        <f>IF(AND(Q368&lt;&gt;"",R368&lt;&gt;"",DATE(2026,12,31)&gt;=Q368,DATE(2026,12,1)&lt;=R368),"█","")</f>
        <v/>
      </c>
      <c r="Q368" s="7" t="str">
        <f>IF('Release Calendar'!I368&lt;&gt;"",'Release Calendar'!I368,"")</f>
        <v/>
      </c>
      <c r="R368" s="7" t="str">
        <f>IF('Release Calendar'!J368&lt;&gt;"",'Release Calendar'!J368,"")</f>
        <v/>
      </c>
    </row>
    <row r="369" spans="1:18" ht="20.100000000000001" customHeight="1">
      <c r="A369" s="14">
        <v>365</v>
      </c>
      <c r="B369" s="28" t="str">
        <f>IF('Release Calendar'!B369&lt;&gt;"",'Release Calendar'!B369,"")</f>
        <v/>
      </c>
      <c r="C369" s="29" t="str">
        <f>IF('Release Calendar'!K369&lt;&gt;"",'Release Calendar'!K369,"")</f>
        <v/>
      </c>
      <c r="D369" s="29" t="str">
        <f>IF('Release Calendar'!M369&lt;&gt;"",'Release Calendar'!M369,"")</f>
        <v/>
      </c>
      <c r="E369" s="30" t="str">
        <f>IF(AND(Q369&lt;&gt;"",R369&lt;&gt;"",DATE(2026,2,0)&gt;=Q369,DATE(2026,1,1)&lt;=R369),"█","")</f>
        <v/>
      </c>
      <c r="F369" s="30" t="str">
        <f>IF(AND(Q369&lt;&gt;"",R369&lt;&gt;"",DATE(2026,3,0)&gt;=Q369,DATE(2026,2,1)&lt;=R369),"█","")</f>
        <v/>
      </c>
      <c r="G369" s="30" t="str">
        <f>IF(AND(Q369&lt;&gt;"",R369&lt;&gt;"",DATE(2026,4,0)&gt;=Q369,DATE(2026,3,1)&lt;=R369),"█","")</f>
        <v/>
      </c>
      <c r="H369" s="30" t="str">
        <f>IF(AND(Q369&lt;&gt;"",R369&lt;&gt;"",DATE(2026,5,0)&gt;=Q369,DATE(2026,4,1)&lt;=R369),"█","")</f>
        <v/>
      </c>
      <c r="I369" s="30" t="str">
        <f>IF(AND(Q369&lt;&gt;"",R369&lt;&gt;"",DATE(2026,6,0)&gt;=Q369,DATE(2026,5,1)&lt;=R369),"█","")</f>
        <v/>
      </c>
      <c r="J369" s="30" t="str">
        <f>IF(AND(Q369&lt;&gt;"",R369&lt;&gt;"",DATE(2026,7,0)&gt;=Q369,DATE(2026,6,1)&lt;=R369),"█","")</f>
        <v/>
      </c>
      <c r="K369" s="30" t="str">
        <f>IF(AND(Q369&lt;&gt;"",R369&lt;&gt;"",DATE(2026,8,0)&gt;=Q369,DATE(2026,7,1)&lt;=R369),"█","")</f>
        <v/>
      </c>
      <c r="L369" s="30" t="str">
        <f>IF(AND(Q369&lt;&gt;"",R369&lt;&gt;"",DATE(2026,9,0)&gt;=Q369,DATE(2026,8,1)&lt;=R369),"█","")</f>
        <v/>
      </c>
      <c r="M369" s="30" t="str">
        <f>IF(AND(Q369&lt;&gt;"",R369&lt;&gt;"",DATE(2026,10,0)&gt;=Q369,DATE(2026,9,1)&lt;=R369),"█","")</f>
        <v/>
      </c>
      <c r="N369" s="30" t="str">
        <f>IF(AND(Q369&lt;&gt;"",R369&lt;&gt;"",DATE(2026,11,0)&gt;=Q369,DATE(2026,10,1)&lt;=R369),"█","")</f>
        <v/>
      </c>
      <c r="O369" s="30" t="str">
        <f>IF(AND(Q369&lt;&gt;"",R369&lt;&gt;"",DATE(2026,12,0)&gt;=Q369,DATE(2026,11,1)&lt;=R369),"█","")</f>
        <v/>
      </c>
      <c r="P369" s="30" t="str">
        <f>IF(AND(Q369&lt;&gt;"",R369&lt;&gt;"",DATE(2026,12,31)&gt;=Q369,DATE(2026,12,1)&lt;=R369),"█","")</f>
        <v/>
      </c>
      <c r="Q369" s="7" t="str">
        <f>IF('Release Calendar'!I369&lt;&gt;"",'Release Calendar'!I369,"")</f>
        <v/>
      </c>
      <c r="R369" s="7" t="str">
        <f>IF('Release Calendar'!J369&lt;&gt;"",'Release Calendar'!J369,"")</f>
        <v/>
      </c>
    </row>
    <row r="370" spans="1:18" ht="20.100000000000001" customHeight="1">
      <c r="A370" s="31">
        <v>366</v>
      </c>
      <c r="B370" s="32" t="str">
        <f>IF('Release Calendar'!B370&lt;&gt;"",'Release Calendar'!B370,"")</f>
        <v/>
      </c>
      <c r="C370" s="33" t="str">
        <f>IF('Release Calendar'!K370&lt;&gt;"",'Release Calendar'!K370,"")</f>
        <v/>
      </c>
      <c r="D370" s="33" t="str">
        <f>IF('Release Calendar'!M370&lt;&gt;"",'Release Calendar'!M370,"")</f>
        <v/>
      </c>
      <c r="E370" s="34" t="str">
        <f>IF(AND(Q370&lt;&gt;"",R370&lt;&gt;"",DATE(2026,2,0)&gt;=Q370,DATE(2026,1,1)&lt;=R370),"█","")</f>
        <v/>
      </c>
      <c r="F370" s="34" t="str">
        <f>IF(AND(Q370&lt;&gt;"",R370&lt;&gt;"",DATE(2026,3,0)&gt;=Q370,DATE(2026,2,1)&lt;=R370),"█","")</f>
        <v/>
      </c>
      <c r="G370" s="34" t="str">
        <f>IF(AND(Q370&lt;&gt;"",R370&lt;&gt;"",DATE(2026,4,0)&gt;=Q370,DATE(2026,3,1)&lt;=R370),"█","")</f>
        <v/>
      </c>
      <c r="H370" s="34" t="str">
        <f>IF(AND(Q370&lt;&gt;"",R370&lt;&gt;"",DATE(2026,5,0)&gt;=Q370,DATE(2026,4,1)&lt;=R370),"█","")</f>
        <v/>
      </c>
      <c r="I370" s="34" t="str">
        <f>IF(AND(Q370&lt;&gt;"",R370&lt;&gt;"",DATE(2026,6,0)&gt;=Q370,DATE(2026,5,1)&lt;=R370),"█","")</f>
        <v/>
      </c>
      <c r="J370" s="34" t="str">
        <f>IF(AND(Q370&lt;&gt;"",R370&lt;&gt;"",DATE(2026,7,0)&gt;=Q370,DATE(2026,6,1)&lt;=R370),"█","")</f>
        <v/>
      </c>
      <c r="K370" s="34" t="str">
        <f>IF(AND(Q370&lt;&gt;"",R370&lt;&gt;"",DATE(2026,8,0)&gt;=Q370,DATE(2026,7,1)&lt;=R370),"█","")</f>
        <v/>
      </c>
      <c r="L370" s="34" t="str">
        <f>IF(AND(Q370&lt;&gt;"",R370&lt;&gt;"",DATE(2026,9,0)&gt;=Q370,DATE(2026,8,1)&lt;=R370),"█","")</f>
        <v/>
      </c>
      <c r="M370" s="34" t="str">
        <f>IF(AND(Q370&lt;&gt;"",R370&lt;&gt;"",DATE(2026,10,0)&gt;=Q370,DATE(2026,9,1)&lt;=R370),"█","")</f>
        <v/>
      </c>
      <c r="N370" s="34" t="str">
        <f>IF(AND(Q370&lt;&gt;"",R370&lt;&gt;"",DATE(2026,11,0)&gt;=Q370,DATE(2026,10,1)&lt;=R370),"█","")</f>
        <v/>
      </c>
      <c r="O370" s="34" t="str">
        <f>IF(AND(Q370&lt;&gt;"",R370&lt;&gt;"",DATE(2026,12,0)&gt;=Q370,DATE(2026,11,1)&lt;=R370),"█","")</f>
        <v/>
      </c>
      <c r="P370" s="34" t="str">
        <f>IF(AND(Q370&lt;&gt;"",R370&lt;&gt;"",DATE(2026,12,31)&gt;=Q370,DATE(2026,12,1)&lt;=R370),"█","")</f>
        <v/>
      </c>
      <c r="Q370" s="7" t="str">
        <f>IF('Release Calendar'!I370&lt;&gt;"",'Release Calendar'!I370,"")</f>
        <v/>
      </c>
      <c r="R370" s="7" t="str">
        <f>IF('Release Calendar'!J370&lt;&gt;"",'Release Calendar'!J370,"")</f>
        <v/>
      </c>
    </row>
    <row r="371" spans="1:18" ht="20.100000000000001" customHeight="1">
      <c r="A371" s="14">
        <v>367</v>
      </c>
      <c r="B371" s="28" t="str">
        <f>IF('Release Calendar'!B371&lt;&gt;"",'Release Calendar'!B371,"")</f>
        <v/>
      </c>
      <c r="C371" s="29" t="str">
        <f>IF('Release Calendar'!K371&lt;&gt;"",'Release Calendar'!K371,"")</f>
        <v/>
      </c>
      <c r="D371" s="29" t="str">
        <f>IF('Release Calendar'!M371&lt;&gt;"",'Release Calendar'!M371,"")</f>
        <v/>
      </c>
      <c r="E371" s="30" t="str">
        <f>IF(AND(Q371&lt;&gt;"",R371&lt;&gt;"",DATE(2026,2,0)&gt;=Q371,DATE(2026,1,1)&lt;=R371),"█","")</f>
        <v/>
      </c>
      <c r="F371" s="30" t="str">
        <f>IF(AND(Q371&lt;&gt;"",R371&lt;&gt;"",DATE(2026,3,0)&gt;=Q371,DATE(2026,2,1)&lt;=R371),"█","")</f>
        <v/>
      </c>
      <c r="G371" s="30" t="str">
        <f>IF(AND(Q371&lt;&gt;"",R371&lt;&gt;"",DATE(2026,4,0)&gt;=Q371,DATE(2026,3,1)&lt;=R371),"█","")</f>
        <v/>
      </c>
      <c r="H371" s="30" t="str">
        <f>IF(AND(Q371&lt;&gt;"",R371&lt;&gt;"",DATE(2026,5,0)&gt;=Q371,DATE(2026,4,1)&lt;=R371),"█","")</f>
        <v/>
      </c>
      <c r="I371" s="30" t="str">
        <f>IF(AND(Q371&lt;&gt;"",R371&lt;&gt;"",DATE(2026,6,0)&gt;=Q371,DATE(2026,5,1)&lt;=R371),"█","")</f>
        <v/>
      </c>
      <c r="J371" s="30" t="str">
        <f>IF(AND(Q371&lt;&gt;"",R371&lt;&gt;"",DATE(2026,7,0)&gt;=Q371,DATE(2026,6,1)&lt;=R371),"█","")</f>
        <v/>
      </c>
      <c r="K371" s="30" t="str">
        <f>IF(AND(Q371&lt;&gt;"",R371&lt;&gt;"",DATE(2026,8,0)&gt;=Q371,DATE(2026,7,1)&lt;=R371),"█","")</f>
        <v/>
      </c>
      <c r="L371" s="30" t="str">
        <f>IF(AND(Q371&lt;&gt;"",R371&lt;&gt;"",DATE(2026,9,0)&gt;=Q371,DATE(2026,8,1)&lt;=R371),"█","")</f>
        <v/>
      </c>
      <c r="M371" s="30" t="str">
        <f>IF(AND(Q371&lt;&gt;"",R371&lt;&gt;"",DATE(2026,10,0)&gt;=Q371,DATE(2026,9,1)&lt;=R371),"█","")</f>
        <v/>
      </c>
      <c r="N371" s="30" t="str">
        <f>IF(AND(Q371&lt;&gt;"",R371&lt;&gt;"",DATE(2026,11,0)&gt;=Q371,DATE(2026,10,1)&lt;=R371),"█","")</f>
        <v/>
      </c>
      <c r="O371" s="30" t="str">
        <f>IF(AND(Q371&lt;&gt;"",R371&lt;&gt;"",DATE(2026,12,0)&gt;=Q371,DATE(2026,11,1)&lt;=R371),"█","")</f>
        <v/>
      </c>
      <c r="P371" s="30" t="str">
        <f>IF(AND(Q371&lt;&gt;"",R371&lt;&gt;"",DATE(2026,12,31)&gt;=Q371,DATE(2026,12,1)&lt;=R371),"█","")</f>
        <v/>
      </c>
      <c r="Q371" s="7" t="str">
        <f>IF('Release Calendar'!I371&lt;&gt;"",'Release Calendar'!I371,"")</f>
        <v/>
      </c>
      <c r="R371" s="7" t="str">
        <f>IF('Release Calendar'!J371&lt;&gt;"",'Release Calendar'!J371,"")</f>
        <v/>
      </c>
    </row>
    <row r="372" spans="1:18" ht="20.100000000000001" customHeight="1">
      <c r="A372" s="31">
        <v>368</v>
      </c>
      <c r="B372" s="32" t="str">
        <f>IF('Release Calendar'!B372&lt;&gt;"",'Release Calendar'!B372,"")</f>
        <v/>
      </c>
      <c r="C372" s="33" t="str">
        <f>IF('Release Calendar'!K372&lt;&gt;"",'Release Calendar'!K372,"")</f>
        <v/>
      </c>
      <c r="D372" s="33" t="str">
        <f>IF('Release Calendar'!M372&lt;&gt;"",'Release Calendar'!M372,"")</f>
        <v/>
      </c>
      <c r="E372" s="34" t="str">
        <f>IF(AND(Q372&lt;&gt;"",R372&lt;&gt;"",DATE(2026,2,0)&gt;=Q372,DATE(2026,1,1)&lt;=R372),"█","")</f>
        <v/>
      </c>
      <c r="F372" s="34" t="str">
        <f>IF(AND(Q372&lt;&gt;"",R372&lt;&gt;"",DATE(2026,3,0)&gt;=Q372,DATE(2026,2,1)&lt;=R372),"█","")</f>
        <v/>
      </c>
      <c r="G372" s="34" t="str">
        <f>IF(AND(Q372&lt;&gt;"",R372&lt;&gt;"",DATE(2026,4,0)&gt;=Q372,DATE(2026,3,1)&lt;=R372),"█","")</f>
        <v/>
      </c>
      <c r="H372" s="34" t="str">
        <f>IF(AND(Q372&lt;&gt;"",R372&lt;&gt;"",DATE(2026,5,0)&gt;=Q372,DATE(2026,4,1)&lt;=R372),"█","")</f>
        <v/>
      </c>
      <c r="I372" s="34" t="str">
        <f>IF(AND(Q372&lt;&gt;"",R372&lt;&gt;"",DATE(2026,6,0)&gt;=Q372,DATE(2026,5,1)&lt;=R372),"█","")</f>
        <v/>
      </c>
      <c r="J372" s="34" t="str">
        <f>IF(AND(Q372&lt;&gt;"",R372&lt;&gt;"",DATE(2026,7,0)&gt;=Q372,DATE(2026,6,1)&lt;=R372),"█","")</f>
        <v/>
      </c>
      <c r="K372" s="34" t="str">
        <f>IF(AND(Q372&lt;&gt;"",R372&lt;&gt;"",DATE(2026,8,0)&gt;=Q372,DATE(2026,7,1)&lt;=R372),"█","")</f>
        <v/>
      </c>
      <c r="L372" s="34" t="str">
        <f>IF(AND(Q372&lt;&gt;"",R372&lt;&gt;"",DATE(2026,9,0)&gt;=Q372,DATE(2026,8,1)&lt;=R372),"█","")</f>
        <v/>
      </c>
      <c r="M372" s="34" t="str">
        <f>IF(AND(Q372&lt;&gt;"",R372&lt;&gt;"",DATE(2026,10,0)&gt;=Q372,DATE(2026,9,1)&lt;=R372),"█","")</f>
        <v/>
      </c>
      <c r="N372" s="34" t="str">
        <f>IF(AND(Q372&lt;&gt;"",R372&lt;&gt;"",DATE(2026,11,0)&gt;=Q372,DATE(2026,10,1)&lt;=R372),"█","")</f>
        <v/>
      </c>
      <c r="O372" s="34" t="str">
        <f>IF(AND(Q372&lt;&gt;"",R372&lt;&gt;"",DATE(2026,12,0)&gt;=Q372,DATE(2026,11,1)&lt;=R372),"█","")</f>
        <v/>
      </c>
      <c r="P372" s="34" t="str">
        <f>IF(AND(Q372&lt;&gt;"",R372&lt;&gt;"",DATE(2026,12,31)&gt;=Q372,DATE(2026,12,1)&lt;=R372),"█","")</f>
        <v/>
      </c>
      <c r="Q372" s="7" t="str">
        <f>IF('Release Calendar'!I372&lt;&gt;"",'Release Calendar'!I372,"")</f>
        <v/>
      </c>
      <c r="R372" s="7" t="str">
        <f>IF('Release Calendar'!J372&lt;&gt;"",'Release Calendar'!J372,"")</f>
        <v/>
      </c>
    </row>
    <row r="373" spans="1:18" ht="20.100000000000001" customHeight="1">
      <c r="A373" s="14">
        <v>369</v>
      </c>
      <c r="B373" s="28" t="str">
        <f>IF('Release Calendar'!B373&lt;&gt;"",'Release Calendar'!B373,"")</f>
        <v/>
      </c>
      <c r="C373" s="29" t="str">
        <f>IF('Release Calendar'!K373&lt;&gt;"",'Release Calendar'!K373,"")</f>
        <v/>
      </c>
      <c r="D373" s="29" t="str">
        <f>IF('Release Calendar'!M373&lt;&gt;"",'Release Calendar'!M373,"")</f>
        <v/>
      </c>
      <c r="E373" s="30" t="str">
        <f>IF(AND(Q373&lt;&gt;"",R373&lt;&gt;"",DATE(2026,2,0)&gt;=Q373,DATE(2026,1,1)&lt;=R373),"█","")</f>
        <v/>
      </c>
      <c r="F373" s="30" t="str">
        <f>IF(AND(Q373&lt;&gt;"",R373&lt;&gt;"",DATE(2026,3,0)&gt;=Q373,DATE(2026,2,1)&lt;=R373),"█","")</f>
        <v/>
      </c>
      <c r="G373" s="30" t="str">
        <f>IF(AND(Q373&lt;&gt;"",R373&lt;&gt;"",DATE(2026,4,0)&gt;=Q373,DATE(2026,3,1)&lt;=R373),"█","")</f>
        <v/>
      </c>
      <c r="H373" s="30" t="str">
        <f>IF(AND(Q373&lt;&gt;"",R373&lt;&gt;"",DATE(2026,5,0)&gt;=Q373,DATE(2026,4,1)&lt;=R373),"█","")</f>
        <v/>
      </c>
      <c r="I373" s="30" t="str">
        <f>IF(AND(Q373&lt;&gt;"",R373&lt;&gt;"",DATE(2026,6,0)&gt;=Q373,DATE(2026,5,1)&lt;=R373),"█","")</f>
        <v/>
      </c>
      <c r="J373" s="30" t="str">
        <f>IF(AND(Q373&lt;&gt;"",R373&lt;&gt;"",DATE(2026,7,0)&gt;=Q373,DATE(2026,6,1)&lt;=R373),"█","")</f>
        <v/>
      </c>
      <c r="K373" s="30" t="str">
        <f>IF(AND(Q373&lt;&gt;"",R373&lt;&gt;"",DATE(2026,8,0)&gt;=Q373,DATE(2026,7,1)&lt;=R373),"█","")</f>
        <v/>
      </c>
      <c r="L373" s="30" t="str">
        <f>IF(AND(Q373&lt;&gt;"",R373&lt;&gt;"",DATE(2026,9,0)&gt;=Q373,DATE(2026,8,1)&lt;=R373),"█","")</f>
        <v/>
      </c>
      <c r="M373" s="30" t="str">
        <f>IF(AND(Q373&lt;&gt;"",R373&lt;&gt;"",DATE(2026,10,0)&gt;=Q373,DATE(2026,9,1)&lt;=R373),"█","")</f>
        <v/>
      </c>
      <c r="N373" s="30" t="str">
        <f>IF(AND(Q373&lt;&gt;"",R373&lt;&gt;"",DATE(2026,11,0)&gt;=Q373,DATE(2026,10,1)&lt;=R373),"█","")</f>
        <v/>
      </c>
      <c r="O373" s="30" t="str">
        <f>IF(AND(Q373&lt;&gt;"",R373&lt;&gt;"",DATE(2026,12,0)&gt;=Q373,DATE(2026,11,1)&lt;=R373),"█","")</f>
        <v/>
      </c>
      <c r="P373" s="30" t="str">
        <f>IF(AND(Q373&lt;&gt;"",R373&lt;&gt;"",DATE(2026,12,31)&gt;=Q373,DATE(2026,12,1)&lt;=R373),"█","")</f>
        <v/>
      </c>
      <c r="Q373" s="7" t="str">
        <f>IF('Release Calendar'!I373&lt;&gt;"",'Release Calendar'!I373,"")</f>
        <v/>
      </c>
      <c r="R373" s="7" t="str">
        <f>IF('Release Calendar'!J373&lt;&gt;"",'Release Calendar'!J373,"")</f>
        <v/>
      </c>
    </row>
    <row r="374" spans="1:18" ht="20.100000000000001" customHeight="1">
      <c r="A374" s="31">
        <v>370</v>
      </c>
      <c r="B374" s="32" t="str">
        <f>IF('Release Calendar'!B374&lt;&gt;"",'Release Calendar'!B374,"")</f>
        <v/>
      </c>
      <c r="C374" s="33" t="str">
        <f>IF('Release Calendar'!K374&lt;&gt;"",'Release Calendar'!K374,"")</f>
        <v/>
      </c>
      <c r="D374" s="33" t="str">
        <f>IF('Release Calendar'!M374&lt;&gt;"",'Release Calendar'!M374,"")</f>
        <v/>
      </c>
      <c r="E374" s="34" t="str">
        <f>IF(AND(Q374&lt;&gt;"",R374&lt;&gt;"",DATE(2026,2,0)&gt;=Q374,DATE(2026,1,1)&lt;=R374),"█","")</f>
        <v/>
      </c>
      <c r="F374" s="34" t="str">
        <f>IF(AND(Q374&lt;&gt;"",R374&lt;&gt;"",DATE(2026,3,0)&gt;=Q374,DATE(2026,2,1)&lt;=R374),"█","")</f>
        <v/>
      </c>
      <c r="G374" s="34" t="str">
        <f>IF(AND(Q374&lt;&gt;"",R374&lt;&gt;"",DATE(2026,4,0)&gt;=Q374,DATE(2026,3,1)&lt;=R374),"█","")</f>
        <v/>
      </c>
      <c r="H374" s="34" t="str">
        <f>IF(AND(Q374&lt;&gt;"",R374&lt;&gt;"",DATE(2026,5,0)&gt;=Q374,DATE(2026,4,1)&lt;=R374),"█","")</f>
        <v/>
      </c>
      <c r="I374" s="34" t="str">
        <f>IF(AND(Q374&lt;&gt;"",R374&lt;&gt;"",DATE(2026,6,0)&gt;=Q374,DATE(2026,5,1)&lt;=R374),"█","")</f>
        <v/>
      </c>
      <c r="J374" s="34" t="str">
        <f>IF(AND(Q374&lt;&gt;"",R374&lt;&gt;"",DATE(2026,7,0)&gt;=Q374,DATE(2026,6,1)&lt;=R374),"█","")</f>
        <v/>
      </c>
      <c r="K374" s="34" t="str">
        <f>IF(AND(Q374&lt;&gt;"",R374&lt;&gt;"",DATE(2026,8,0)&gt;=Q374,DATE(2026,7,1)&lt;=R374),"█","")</f>
        <v/>
      </c>
      <c r="L374" s="34" t="str">
        <f>IF(AND(Q374&lt;&gt;"",R374&lt;&gt;"",DATE(2026,9,0)&gt;=Q374,DATE(2026,8,1)&lt;=R374),"█","")</f>
        <v/>
      </c>
      <c r="M374" s="34" t="str">
        <f>IF(AND(Q374&lt;&gt;"",R374&lt;&gt;"",DATE(2026,10,0)&gt;=Q374,DATE(2026,9,1)&lt;=R374),"█","")</f>
        <v/>
      </c>
      <c r="N374" s="34" t="str">
        <f>IF(AND(Q374&lt;&gt;"",R374&lt;&gt;"",DATE(2026,11,0)&gt;=Q374,DATE(2026,10,1)&lt;=R374),"█","")</f>
        <v/>
      </c>
      <c r="O374" s="34" t="str">
        <f>IF(AND(Q374&lt;&gt;"",R374&lt;&gt;"",DATE(2026,12,0)&gt;=Q374,DATE(2026,11,1)&lt;=R374),"█","")</f>
        <v/>
      </c>
      <c r="P374" s="34" t="str">
        <f>IF(AND(Q374&lt;&gt;"",R374&lt;&gt;"",DATE(2026,12,31)&gt;=Q374,DATE(2026,12,1)&lt;=R374),"█","")</f>
        <v/>
      </c>
      <c r="Q374" s="7" t="str">
        <f>IF('Release Calendar'!I374&lt;&gt;"",'Release Calendar'!I374,"")</f>
        <v/>
      </c>
      <c r="R374" s="7" t="str">
        <f>IF('Release Calendar'!J374&lt;&gt;"",'Release Calendar'!J374,"")</f>
        <v/>
      </c>
    </row>
    <row r="375" spans="1:18" ht="20.100000000000001" customHeight="1">
      <c r="A375" s="14">
        <v>371</v>
      </c>
      <c r="B375" s="28" t="str">
        <f>IF('Release Calendar'!B375&lt;&gt;"",'Release Calendar'!B375,"")</f>
        <v/>
      </c>
      <c r="C375" s="29" t="str">
        <f>IF('Release Calendar'!K375&lt;&gt;"",'Release Calendar'!K375,"")</f>
        <v/>
      </c>
      <c r="D375" s="29" t="str">
        <f>IF('Release Calendar'!M375&lt;&gt;"",'Release Calendar'!M375,"")</f>
        <v/>
      </c>
      <c r="E375" s="30" t="str">
        <f>IF(AND(Q375&lt;&gt;"",R375&lt;&gt;"",DATE(2026,2,0)&gt;=Q375,DATE(2026,1,1)&lt;=R375),"█","")</f>
        <v/>
      </c>
      <c r="F375" s="30" t="str">
        <f>IF(AND(Q375&lt;&gt;"",R375&lt;&gt;"",DATE(2026,3,0)&gt;=Q375,DATE(2026,2,1)&lt;=R375),"█","")</f>
        <v/>
      </c>
      <c r="G375" s="30" t="str">
        <f>IF(AND(Q375&lt;&gt;"",R375&lt;&gt;"",DATE(2026,4,0)&gt;=Q375,DATE(2026,3,1)&lt;=R375),"█","")</f>
        <v/>
      </c>
      <c r="H375" s="30" t="str">
        <f>IF(AND(Q375&lt;&gt;"",R375&lt;&gt;"",DATE(2026,5,0)&gt;=Q375,DATE(2026,4,1)&lt;=R375),"█","")</f>
        <v/>
      </c>
      <c r="I375" s="30" t="str">
        <f>IF(AND(Q375&lt;&gt;"",R375&lt;&gt;"",DATE(2026,6,0)&gt;=Q375,DATE(2026,5,1)&lt;=R375),"█","")</f>
        <v/>
      </c>
      <c r="J375" s="30" t="str">
        <f>IF(AND(Q375&lt;&gt;"",R375&lt;&gt;"",DATE(2026,7,0)&gt;=Q375,DATE(2026,6,1)&lt;=R375),"█","")</f>
        <v/>
      </c>
      <c r="K375" s="30" t="str">
        <f>IF(AND(Q375&lt;&gt;"",R375&lt;&gt;"",DATE(2026,8,0)&gt;=Q375,DATE(2026,7,1)&lt;=R375),"█","")</f>
        <v/>
      </c>
      <c r="L375" s="30" t="str">
        <f>IF(AND(Q375&lt;&gt;"",R375&lt;&gt;"",DATE(2026,9,0)&gt;=Q375,DATE(2026,8,1)&lt;=R375),"█","")</f>
        <v/>
      </c>
      <c r="M375" s="30" t="str">
        <f>IF(AND(Q375&lt;&gt;"",R375&lt;&gt;"",DATE(2026,10,0)&gt;=Q375,DATE(2026,9,1)&lt;=R375),"█","")</f>
        <v/>
      </c>
      <c r="N375" s="30" t="str">
        <f>IF(AND(Q375&lt;&gt;"",R375&lt;&gt;"",DATE(2026,11,0)&gt;=Q375,DATE(2026,10,1)&lt;=R375),"█","")</f>
        <v/>
      </c>
      <c r="O375" s="30" t="str">
        <f>IF(AND(Q375&lt;&gt;"",R375&lt;&gt;"",DATE(2026,12,0)&gt;=Q375,DATE(2026,11,1)&lt;=R375),"█","")</f>
        <v/>
      </c>
      <c r="P375" s="30" t="str">
        <f>IF(AND(Q375&lt;&gt;"",R375&lt;&gt;"",DATE(2026,12,31)&gt;=Q375,DATE(2026,12,1)&lt;=R375),"█","")</f>
        <v/>
      </c>
      <c r="Q375" s="7" t="str">
        <f>IF('Release Calendar'!I375&lt;&gt;"",'Release Calendar'!I375,"")</f>
        <v/>
      </c>
      <c r="R375" s="7" t="str">
        <f>IF('Release Calendar'!J375&lt;&gt;"",'Release Calendar'!J375,"")</f>
        <v/>
      </c>
    </row>
    <row r="376" spans="1:18" ht="20.100000000000001" customHeight="1">
      <c r="A376" s="31">
        <v>372</v>
      </c>
      <c r="B376" s="32" t="str">
        <f>IF('Release Calendar'!B376&lt;&gt;"",'Release Calendar'!B376,"")</f>
        <v/>
      </c>
      <c r="C376" s="33" t="str">
        <f>IF('Release Calendar'!K376&lt;&gt;"",'Release Calendar'!K376,"")</f>
        <v/>
      </c>
      <c r="D376" s="33" t="str">
        <f>IF('Release Calendar'!M376&lt;&gt;"",'Release Calendar'!M376,"")</f>
        <v/>
      </c>
      <c r="E376" s="34" t="str">
        <f>IF(AND(Q376&lt;&gt;"",R376&lt;&gt;"",DATE(2026,2,0)&gt;=Q376,DATE(2026,1,1)&lt;=R376),"█","")</f>
        <v/>
      </c>
      <c r="F376" s="34" t="str">
        <f>IF(AND(Q376&lt;&gt;"",R376&lt;&gt;"",DATE(2026,3,0)&gt;=Q376,DATE(2026,2,1)&lt;=R376),"█","")</f>
        <v/>
      </c>
      <c r="G376" s="34" t="str">
        <f>IF(AND(Q376&lt;&gt;"",R376&lt;&gt;"",DATE(2026,4,0)&gt;=Q376,DATE(2026,3,1)&lt;=R376),"█","")</f>
        <v/>
      </c>
      <c r="H376" s="34" t="str">
        <f>IF(AND(Q376&lt;&gt;"",R376&lt;&gt;"",DATE(2026,5,0)&gt;=Q376,DATE(2026,4,1)&lt;=R376),"█","")</f>
        <v/>
      </c>
      <c r="I376" s="34" t="str">
        <f>IF(AND(Q376&lt;&gt;"",R376&lt;&gt;"",DATE(2026,6,0)&gt;=Q376,DATE(2026,5,1)&lt;=R376),"█","")</f>
        <v/>
      </c>
      <c r="J376" s="34" t="str">
        <f>IF(AND(Q376&lt;&gt;"",R376&lt;&gt;"",DATE(2026,7,0)&gt;=Q376,DATE(2026,6,1)&lt;=R376),"█","")</f>
        <v/>
      </c>
      <c r="K376" s="34" t="str">
        <f>IF(AND(Q376&lt;&gt;"",R376&lt;&gt;"",DATE(2026,8,0)&gt;=Q376,DATE(2026,7,1)&lt;=R376),"█","")</f>
        <v/>
      </c>
      <c r="L376" s="34" t="str">
        <f>IF(AND(Q376&lt;&gt;"",R376&lt;&gt;"",DATE(2026,9,0)&gt;=Q376,DATE(2026,8,1)&lt;=R376),"█","")</f>
        <v/>
      </c>
      <c r="M376" s="34" t="str">
        <f>IF(AND(Q376&lt;&gt;"",R376&lt;&gt;"",DATE(2026,10,0)&gt;=Q376,DATE(2026,9,1)&lt;=R376),"█","")</f>
        <v/>
      </c>
      <c r="N376" s="34" t="str">
        <f>IF(AND(Q376&lt;&gt;"",R376&lt;&gt;"",DATE(2026,11,0)&gt;=Q376,DATE(2026,10,1)&lt;=R376),"█","")</f>
        <v/>
      </c>
      <c r="O376" s="34" t="str">
        <f>IF(AND(Q376&lt;&gt;"",R376&lt;&gt;"",DATE(2026,12,0)&gt;=Q376,DATE(2026,11,1)&lt;=R376),"█","")</f>
        <v/>
      </c>
      <c r="P376" s="34" t="str">
        <f>IF(AND(Q376&lt;&gt;"",R376&lt;&gt;"",DATE(2026,12,31)&gt;=Q376,DATE(2026,12,1)&lt;=R376),"█","")</f>
        <v/>
      </c>
      <c r="Q376" s="7" t="str">
        <f>IF('Release Calendar'!I376&lt;&gt;"",'Release Calendar'!I376,"")</f>
        <v/>
      </c>
      <c r="R376" s="7" t="str">
        <f>IF('Release Calendar'!J376&lt;&gt;"",'Release Calendar'!J376,"")</f>
        <v/>
      </c>
    </row>
    <row r="377" spans="1:18" ht="20.100000000000001" customHeight="1">
      <c r="A377" s="14">
        <v>373</v>
      </c>
      <c r="B377" s="28" t="str">
        <f>IF('Release Calendar'!B377&lt;&gt;"",'Release Calendar'!B377,"")</f>
        <v/>
      </c>
      <c r="C377" s="29" t="str">
        <f>IF('Release Calendar'!K377&lt;&gt;"",'Release Calendar'!K377,"")</f>
        <v/>
      </c>
      <c r="D377" s="29" t="str">
        <f>IF('Release Calendar'!M377&lt;&gt;"",'Release Calendar'!M377,"")</f>
        <v/>
      </c>
      <c r="E377" s="30" t="str">
        <f>IF(AND(Q377&lt;&gt;"",R377&lt;&gt;"",DATE(2026,2,0)&gt;=Q377,DATE(2026,1,1)&lt;=R377),"█","")</f>
        <v/>
      </c>
      <c r="F377" s="30" t="str">
        <f>IF(AND(Q377&lt;&gt;"",R377&lt;&gt;"",DATE(2026,3,0)&gt;=Q377,DATE(2026,2,1)&lt;=R377),"█","")</f>
        <v/>
      </c>
      <c r="G377" s="30" t="str">
        <f>IF(AND(Q377&lt;&gt;"",R377&lt;&gt;"",DATE(2026,4,0)&gt;=Q377,DATE(2026,3,1)&lt;=R377),"█","")</f>
        <v/>
      </c>
      <c r="H377" s="30" t="str">
        <f>IF(AND(Q377&lt;&gt;"",R377&lt;&gt;"",DATE(2026,5,0)&gt;=Q377,DATE(2026,4,1)&lt;=R377),"█","")</f>
        <v/>
      </c>
      <c r="I377" s="30" t="str">
        <f>IF(AND(Q377&lt;&gt;"",R377&lt;&gt;"",DATE(2026,6,0)&gt;=Q377,DATE(2026,5,1)&lt;=R377),"█","")</f>
        <v/>
      </c>
      <c r="J377" s="30" t="str">
        <f>IF(AND(Q377&lt;&gt;"",R377&lt;&gt;"",DATE(2026,7,0)&gt;=Q377,DATE(2026,6,1)&lt;=R377),"█","")</f>
        <v/>
      </c>
      <c r="K377" s="30" t="str">
        <f>IF(AND(Q377&lt;&gt;"",R377&lt;&gt;"",DATE(2026,8,0)&gt;=Q377,DATE(2026,7,1)&lt;=R377),"█","")</f>
        <v/>
      </c>
      <c r="L377" s="30" t="str">
        <f>IF(AND(Q377&lt;&gt;"",R377&lt;&gt;"",DATE(2026,9,0)&gt;=Q377,DATE(2026,8,1)&lt;=R377),"█","")</f>
        <v/>
      </c>
      <c r="M377" s="30" t="str">
        <f>IF(AND(Q377&lt;&gt;"",R377&lt;&gt;"",DATE(2026,10,0)&gt;=Q377,DATE(2026,9,1)&lt;=R377),"█","")</f>
        <v/>
      </c>
      <c r="N377" s="30" t="str">
        <f>IF(AND(Q377&lt;&gt;"",R377&lt;&gt;"",DATE(2026,11,0)&gt;=Q377,DATE(2026,10,1)&lt;=R377),"█","")</f>
        <v/>
      </c>
      <c r="O377" s="30" t="str">
        <f>IF(AND(Q377&lt;&gt;"",R377&lt;&gt;"",DATE(2026,12,0)&gt;=Q377,DATE(2026,11,1)&lt;=R377),"█","")</f>
        <v/>
      </c>
      <c r="P377" s="30" t="str">
        <f>IF(AND(Q377&lt;&gt;"",R377&lt;&gt;"",DATE(2026,12,31)&gt;=Q377,DATE(2026,12,1)&lt;=R377),"█","")</f>
        <v/>
      </c>
      <c r="Q377" s="7" t="str">
        <f>IF('Release Calendar'!I377&lt;&gt;"",'Release Calendar'!I377,"")</f>
        <v/>
      </c>
      <c r="R377" s="7" t="str">
        <f>IF('Release Calendar'!J377&lt;&gt;"",'Release Calendar'!J377,"")</f>
        <v/>
      </c>
    </row>
    <row r="378" spans="1:18" ht="20.100000000000001" customHeight="1">
      <c r="A378" s="31">
        <v>374</v>
      </c>
      <c r="B378" s="32" t="str">
        <f>IF('Release Calendar'!B378&lt;&gt;"",'Release Calendar'!B378,"")</f>
        <v/>
      </c>
      <c r="C378" s="33" t="str">
        <f>IF('Release Calendar'!K378&lt;&gt;"",'Release Calendar'!K378,"")</f>
        <v/>
      </c>
      <c r="D378" s="33" t="str">
        <f>IF('Release Calendar'!M378&lt;&gt;"",'Release Calendar'!M378,"")</f>
        <v/>
      </c>
      <c r="E378" s="34" t="str">
        <f>IF(AND(Q378&lt;&gt;"",R378&lt;&gt;"",DATE(2026,2,0)&gt;=Q378,DATE(2026,1,1)&lt;=R378),"█","")</f>
        <v/>
      </c>
      <c r="F378" s="34" t="str">
        <f>IF(AND(Q378&lt;&gt;"",R378&lt;&gt;"",DATE(2026,3,0)&gt;=Q378,DATE(2026,2,1)&lt;=R378),"█","")</f>
        <v/>
      </c>
      <c r="G378" s="34" t="str">
        <f>IF(AND(Q378&lt;&gt;"",R378&lt;&gt;"",DATE(2026,4,0)&gt;=Q378,DATE(2026,3,1)&lt;=R378),"█","")</f>
        <v/>
      </c>
      <c r="H378" s="34" t="str">
        <f>IF(AND(Q378&lt;&gt;"",R378&lt;&gt;"",DATE(2026,5,0)&gt;=Q378,DATE(2026,4,1)&lt;=R378),"█","")</f>
        <v/>
      </c>
      <c r="I378" s="34" t="str">
        <f>IF(AND(Q378&lt;&gt;"",R378&lt;&gt;"",DATE(2026,6,0)&gt;=Q378,DATE(2026,5,1)&lt;=R378),"█","")</f>
        <v/>
      </c>
      <c r="J378" s="34" t="str">
        <f>IF(AND(Q378&lt;&gt;"",R378&lt;&gt;"",DATE(2026,7,0)&gt;=Q378,DATE(2026,6,1)&lt;=R378),"█","")</f>
        <v/>
      </c>
      <c r="K378" s="34" t="str">
        <f>IF(AND(Q378&lt;&gt;"",R378&lt;&gt;"",DATE(2026,8,0)&gt;=Q378,DATE(2026,7,1)&lt;=R378),"█","")</f>
        <v/>
      </c>
      <c r="L378" s="34" t="str">
        <f>IF(AND(Q378&lt;&gt;"",R378&lt;&gt;"",DATE(2026,9,0)&gt;=Q378,DATE(2026,8,1)&lt;=R378),"█","")</f>
        <v/>
      </c>
      <c r="M378" s="34" t="str">
        <f>IF(AND(Q378&lt;&gt;"",R378&lt;&gt;"",DATE(2026,10,0)&gt;=Q378,DATE(2026,9,1)&lt;=R378),"█","")</f>
        <v/>
      </c>
      <c r="N378" s="34" t="str">
        <f>IF(AND(Q378&lt;&gt;"",R378&lt;&gt;"",DATE(2026,11,0)&gt;=Q378,DATE(2026,10,1)&lt;=R378),"█","")</f>
        <v/>
      </c>
      <c r="O378" s="34" t="str">
        <f>IF(AND(Q378&lt;&gt;"",R378&lt;&gt;"",DATE(2026,12,0)&gt;=Q378,DATE(2026,11,1)&lt;=R378),"█","")</f>
        <v/>
      </c>
      <c r="P378" s="34" t="str">
        <f>IF(AND(Q378&lt;&gt;"",R378&lt;&gt;"",DATE(2026,12,31)&gt;=Q378,DATE(2026,12,1)&lt;=R378),"█","")</f>
        <v/>
      </c>
      <c r="Q378" s="7" t="str">
        <f>IF('Release Calendar'!I378&lt;&gt;"",'Release Calendar'!I378,"")</f>
        <v/>
      </c>
      <c r="R378" s="7" t="str">
        <f>IF('Release Calendar'!J378&lt;&gt;"",'Release Calendar'!J378,"")</f>
        <v/>
      </c>
    </row>
    <row r="379" spans="1:18" ht="20.100000000000001" customHeight="1">
      <c r="A379" s="14">
        <v>375</v>
      </c>
      <c r="B379" s="28" t="str">
        <f>IF('Release Calendar'!B379&lt;&gt;"",'Release Calendar'!B379,"")</f>
        <v/>
      </c>
      <c r="C379" s="29" t="str">
        <f>IF('Release Calendar'!K379&lt;&gt;"",'Release Calendar'!K379,"")</f>
        <v/>
      </c>
      <c r="D379" s="29" t="str">
        <f>IF('Release Calendar'!M379&lt;&gt;"",'Release Calendar'!M379,"")</f>
        <v/>
      </c>
      <c r="E379" s="30" t="str">
        <f>IF(AND(Q379&lt;&gt;"",R379&lt;&gt;"",DATE(2026,2,0)&gt;=Q379,DATE(2026,1,1)&lt;=R379),"█","")</f>
        <v/>
      </c>
      <c r="F379" s="30" t="str">
        <f>IF(AND(Q379&lt;&gt;"",R379&lt;&gt;"",DATE(2026,3,0)&gt;=Q379,DATE(2026,2,1)&lt;=R379),"█","")</f>
        <v/>
      </c>
      <c r="G379" s="30" t="str">
        <f>IF(AND(Q379&lt;&gt;"",R379&lt;&gt;"",DATE(2026,4,0)&gt;=Q379,DATE(2026,3,1)&lt;=R379),"█","")</f>
        <v/>
      </c>
      <c r="H379" s="30" t="str">
        <f>IF(AND(Q379&lt;&gt;"",R379&lt;&gt;"",DATE(2026,5,0)&gt;=Q379,DATE(2026,4,1)&lt;=R379),"█","")</f>
        <v/>
      </c>
      <c r="I379" s="30" t="str">
        <f>IF(AND(Q379&lt;&gt;"",R379&lt;&gt;"",DATE(2026,6,0)&gt;=Q379,DATE(2026,5,1)&lt;=R379),"█","")</f>
        <v/>
      </c>
      <c r="J379" s="30" t="str">
        <f>IF(AND(Q379&lt;&gt;"",R379&lt;&gt;"",DATE(2026,7,0)&gt;=Q379,DATE(2026,6,1)&lt;=R379),"█","")</f>
        <v/>
      </c>
      <c r="K379" s="30" t="str">
        <f>IF(AND(Q379&lt;&gt;"",R379&lt;&gt;"",DATE(2026,8,0)&gt;=Q379,DATE(2026,7,1)&lt;=R379),"█","")</f>
        <v/>
      </c>
      <c r="L379" s="30" t="str">
        <f>IF(AND(Q379&lt;&gt;"",R379&lt;&gt;"",DATE(2026,9,0)&gt;=Q379,DATE(2026,8,1)&lt;=R379),"█","")</f>
        <v/>
      </c>
      <c r="M379" s="30" t="str">
        <f>IF(AND(Q379&lt;&gt;"",R379&lt;&gt;"",DATE(2026,10,0)&gt;=Q379,DATE(2026,9,1)&lt;=R379),"█","")</f>
        <v/>
      </c>
      <c r="N379" s="30" t="str">
        <f>IF(AND(Q379&lt;&gt;"",R379&lt;&gt;"",DATE(2026,11,0)&gt;=Q379,DATE(2026,10,1)&lt;=R379),"█","")</f>
        <v/>
      </c>
      <c r="O379" s="30" t="str">
        <f>IF(AND(Q379&lt;&gt;"",R379&lt;&gt;"",DATE(2026,12,0)&gt;=Q379,DATE(2026,11,1)&lt;=R379),"█","")</f>
        <v/>
      </c>
      <c r="P379" s="30" t="str">
        <f>IF(AND(Q379&lt;&gt;"",R379&lt;&gt;"",DATE(2026,12,31)&gt;=Q379,DATE(2026,12,1)&lt;=R379),"█","")</f>
        <v/>
      </c>
      <c r="Q379" s="7" t="str">
        <f>IF('Release Calendar'!I379&lt;&gt;"",'Release Calendar'!I379,"")</f>
        <v/>
      </c>
      <c r="R379" s="7" t="str">
        <f>IF('Release Calendar'!J379&lt;&gt;"",'Release Calendar'!J379,"")</f>
        <v/>
      </c>
    </row>
    <row r="380" spans="1:18" ht="20.100000000000001" customHeight="1">
      <c r="A380" s="31">
        <v>376</v>
      </c>
      <c r="B380" s="32" t="str">
        <f>IF('Release Calendar'!B380&lt;&gt;"",'Release Calendar'!B380,"")</f>
        <v/>
      </c>
      <c r="C380" s="33" t="str">
        <f>IF('Release Calendar'!K380&lt;&gt;"",'Release Calendar'!K380,"")</f>
        <v/>
      </c>
      <c r="D380" s="33" t="str">
        <f>IF('Release Calendar'!M380&lt;&gt;"",'Release Calendar'!M380,"")</f>
        <v/>
      </c>
      <c r="E380" s="34" t="str">
        <f>IF(AND(Q380&lt;&gt;"",R380&lt;&gt;"",DATE(2026,2,0)&gt;=Q380,DATE(2026,1,1)&lt;=R380),"█","")</f>
        <v/>
      </c>
      <c r="F380" s="34" t="str">
        <f>IF(AND(Q380&lt;&gt;"",R380&lt;&gt;"",DATE(2026,3,0)&gt;=Q380,DATE(2026,2,1)&lt;=R380),"█","")</f>
        <v/>
      </c>
      <c r="G380" s="34" t="str">
        <f>IF(AND(Q380&lt;&gt;"",R380&lt;&gt;"",DATE(2026,4,0)&gt;=Q380,DATE(2026,3,1)&lt;=R380),"█","")</f>
        <v/>
      </c>
      <c r="H380" s="34" t="str">
        <f>IF(AND(Q380&lt;&gt;"",R380&lt;&gt;"",DATE(2026,5,0)&gt;=Q380,DATE(2026,4,1)&lt;=R380),"█","")</f>
        <v/>
      </c>
      <c r="I380" s="34" t="str">
        <f>IF(AND(Q380&lt;&gt;"",R380&lt;&gt;"",DATE(2026,6,0)&gt;=Q380,DATE(2026,5,1)&lt;=R380),"█","")</f>
        <v/>
      </c>
      <c r="J380" s="34" t="str">
        <f>IF(AND(Q380&lt;&gt;"",R380&lt;&gt;"",DATE(2026,7,0)&gt;=Q380,DATE(2026,6,1)&lt;=R380),"█","")</f>
        <v/>
      </c>
      <c r="K380" s="34" t="str">
        <f>IF(AND(Q380&lt;&gt;"",R380&lt;&gt;"",DATE(2026,8,0)&gt;=Q380,DATE(2026,7,1)&lt;=R380),"█","")</f>
        <v/>
      </c>
      <c r="L380" s="34" t="str">
        <f>IF(AND(Q380&lt;&gt;"",R380&lt;&gt;"",DATE(2026,9,0)&gt;=Q380,DATE(2026,8,1)&lt;=R380),"█","")</f>
        <v/>
      </c>
      <c r="M380" s="34" t="str">
        <f>IF(AND(Q380&lt;&gt;"",R380&lt;&gt;"",DATE(2026,10,0)&gt;=Q380,DATE(2026,9,1)&lt;=R380),"█","")</f>
        <v/>
      </c>
      <c r="N380" s="34" t="str">
        <f>IF(AND(Q380&lt;&gt;"",R380&lt;&gt;"",DATE(2026,11,0)&gt;=Q380,DATE(2026,10,1)&lt;=R380),"█","")</f>
        <v/>
      </c>
      <c r="O380" s="34" t="str">
        <f>IF(AND(Q380&lt;&gt;"",R380&lt;&gt;"",DATE(2026,12,0)&gt;=Q380,DATE(2026,11,1)&lt;=R380),"█","")</f>
        <v/>
      </c>
      <c r="P380" s="34" t="str">
        <f>IF(AND(Q380&lt;&gt;"",R380&lt;&gt;"",DATE(2026,12,31)&gt;=Q380,DATE(2026,12,1)&lt;=R380),"█","")</f>
        <v/>
      </c>
      <c r="Q380" s="7" t="str">
        <f>IF('Release Calendar'!I380&lt;&gt;"",'Release Calendar'!I380,"")</f>
        <v/>
      </c>
      <c r="R380" s="7" t="str">
        <f>IF('Release Calendar'!J380&lt;&gt;"",'Release Calendar'!J380,"")</f>
        <v/>
      </c>
    </row>
    <row r="381" spans="1:18" ht="20.100000000000001" customHeight="1">
      <c r="A381" s="14">
        <v>377</v>
      </c>
      <c r="B381" s="28" t="str">
        <f>IF('Release Calendar'!B381&lt;&gt;"",'Release Calendar'!B381,"")</f>
        <v/>
      </c>
      <c r="C381" s="29" t="str">
        <f>IF('Release Calendar'!K381&lt;&gt;"",'Release Calendar'!K381,"")</f>
        <v/>
      </c>
      <c r="D381" s="29" t="str">
        <f>IF('Release Calendar'!M381&lt;&gt;"",'Release Calendar'!M381,"")</f>
        <v/>
      </c>
      <c r="E381" s="30" t="str">
        <f>IF(AND(Q381&lt;&gt;"",R381&lt;&gt;"",DATE(2026,2,0)&gt;=Q381,DATE(2026,1,1)&lt;=R381),"█","")</f>
        <v/>
      </c>
      <c r="F381" s="30" t="str">
        <f>IF(AND(Q381&lt;&gt;"",R381&lt;&gt;"",DATE(2026,3,0)&gt;=Q381,DATE(2026,2,1)&lt;=R381),"█","")</f>
        <v/>
      </c>
      <c r="G381" s="30" t="str">
        <f>IF(AND(Q381&lt;&gt;"",R381&lt;&gt;"",DATE(2026,4,0)&gt;=Q381,DATE(2026,3,1)&lt;=R381),"█","")</f>
        <v/>
      </c>
      <c r="H381" s="30" t="str">
        <f>IF(AND(Q381&lt;&gt;"",R381&lt;&gt;"",DATE(2026,5,0)&gt;=Q381,DATE(2026,4,1)&lt;=R381),"█","")</f>
        <v/>
      </c>
      <c r="I381" s="30" t="str">
        <f>IF(AND(Q381&lt;&gt;"",R381&lt;&gt;"",DATE(2026,6,0)&gt;=Q381,DATE(2026,5,1)&lt;=R381),"█","")</f>
        <v/>
      </c>
      <c r="J381" s="30" t="str">
        <f>IF(AND(Q381&lt;&gt;"",R381&lt;&gt;"",DATE(2026,7,0)&gt;=Q381,DATE(2026,6,1)&lt;=R381),"█","")</f>
        <v/>
      </c>
      <c r="K381" s="30" t="str">
        <f>IF(AND(Q381&lt;&gt;"",R381&lt;&gt;"",DATE(2026,8,0)&gt;=Q381,DATE(2026,7,1)&lt;=R381),"█","")</f>
        <v/>
      </c>
      <c r="L381" s="30" t="str">
        <f>IF(AND(Q381&lt;&gt;"",R381&lt;&gt;"",DATE(2026,9,0)&gt;=Q381,DATE(2026,8,1)&lt;=R381),"█","")</f>
        <v/>
      </c>
      <c r="M381" s="30" t="str">
        <f>IF(AND(Q381&lt;&gt;"",R381&lt;&gt;"",DATE(2026,10,0)&gt;=Q381,DATE(2026,9,1)&lt;=R381),"█","")</f>
        <v/>
      </c>
      <c r="N381" s="30" t="str">
        <f>IF(AND(Q381&lt;&gt;"",R381&lt;&gt;"",DATE(2026,11,0)&gt;=Q381,DATE(2026,10,1)&lt;=R381),"█","")</f>
        <v/>
      </c>
      <c r="O381" s="30" t="str">
        <f>IF(AND(Q381&lt;&gt;"",R381&lt;&gt;"",DATE(2026,12,0)&gt;=Q381,DATE(2026,11,1)&lt;=R381),"█","")</f>
        <v/>
      </c>
      <c r="P381" s="30" t="str">
        <f>IF(AND(Q381&lt;&gt;"",R381&lt;&gt;"",DATE(2026,12,31)&gt;=Q381,DATE(2026,12,1)&lt;=R381),"█","")</f>
        <v/>
      </c>
      <c r="Q381" s="7" t="str">
        <f>IF('Release Calendar'!I381&lt;&gt;"",'Release Calendar'!I381,"")</f>
        <v/>
      </c>
      <c r="R381" s="7" t="str">
        <f>IF('Release Calendar'!J381&lt;&gt;"",'Release Calendar'!J381,"")</f>
        <v/>
      </c>
    </row>
    <row r="382" spans="1:18" ht="20.100000000000001" customHeight="1">
      <c r="A382" s="31">
        <v>378</v>
      </c>
      <c r="B382" s="32" t="str">
        <f>IF('Release Calendar'!B382&lt;&gt;"",'Release Calendar'!B382,"")</f>
        <v/>
      </c>
      <c r="C382" s="33" t="str">
        <f>IF('Release Calendar'!K382&lt;&gt;"",'Release Calendar'!K382,"")</f>
        <v/>
      </c>
      <c r="D382" s="33" t="str">
        <f>IF('Release Calendar'!M382&lt;&gt;"",'Release Calendar'!M382,"")</f>
        <v/>
      </c>
      <c r="E382" s="34" t="str">
        <f>IF(AND(Q382&lt;&gt;"",R382&lt;&gt;"",DATE(2026,2,0)&gt;=Q382,DATE(2026,1,1)&lt;=R382),"█","")</f>
        <v/>
      </c>
      <c r="F382" s="34" t="str">
        <f>IF(AND(Q382&lt;&gt;"",R382&lt;&gt;"",DATE(2026,3,0)&gt;=Q382,DATE(2026,2,1)&lt;=R382),"█","")</f>
        <v/>
      </c>
      <c r="G382" s="34" t="str">
        <f>IF(AND(Q382&lt;&gt;"",R382&lt;&gt;"",DATE(2026,4,0)&gt;=Q382,DATE(2026,3,1)&lt;=R382),"█","")</f>
        <v/>
      </c>
      <c r="H382" s="34" t="str">
        <f>IF(AND(Q382&lt;&gt;"",R382&lt;&gt;"",DATE(2026,5,0)&gt;=Q382,DATE(2026,4,1)&lt;=R382),"█","")</f>
        <v/>
      </c>
      <c r="I382" s="34" t="str">
        <f>IF(AND(Q382&lt;&gt;"",R382&lt;&gt;"",DATE(2026,6,0)&gt;=Q382,DATE(2026,5,1)&lt;=R382),"█","")</f>
        <v/>
      </c>
      <c r="J382" s="34" t="str">
        <f>IF(AND(Q382&lt;&gt;"",R382&lt;&gt;"",DATE(2026,7,0)&gt;=Q382,DATE(2026,6,1)&lt;=R382),"█","")</f>
        <v/>
      </c>
      <c r="K382" s="34" t="str">
        <f>IF(AND(Q382&lt;&gt;"",R382&lt;&gt;"",DATE(2026,8,0)&gt;=Q382,DATE(2026,7,1)&lt;=R382),"█","")</f>
        <v/>
      </c>
      <c r="L382" s="34" t="str">
        <f>IF(AND(Q382&lt;&gt;"",R382&lt;&gt;"",DATE(2026,9,0)&gt;=Q382,DATE(2026,8,1)&lt;=R382),"█","")</f>
        <v/>
      </c>
      <c r="M382" s="34" t="str">
        <f>IF(AND(Q382&lt;&gt;"",R382&lt;&gt;"",DATE(2026,10,0)&gt;=Q382,DATE(2026,9,1)&lt;=R382),"█","")</f>
        <v/>
      </c>
      <c r="N382" s="34" t="str">
        <f>IF(AND(Q382&lt;&gt;"",R382&lt;&gt;"",DATE(2026,11,0)&gt;=Q382,DATE(2026,10,1)&lt;=R382),"█","")</f>
        <v/>
      </c>
      <c r="O382" s="34" t="str">
        <f>IF(AND(Q382&lt;&gt;"",R382&lt;&gt;"",DATE(2026,12,0)&gt;=Q382,DATE(2026,11,1)&lt;=R382),"█","")</f>
        <v/>
      </c>
      <c r="P382" s="34" t="str">
        <f>IF(AND(Q382&lt;&gt;"",R382&lt;&gt;"",DATE(2026,12,31)&gt;=Q382,DATE(2026,12,1)&lt;=R382),"█","")</f>
        <v/>
      </c>
      <c r="Q382" s="7" t="str">
        <f>IF('Release Calendar'!I382&lt;&gt;"",'Release Calendar'!I382,"")</f>
        <v/>
      </c>
      <c r="R382" s="7" t="str">
        <f>IF('Release Calendar'!J382&lt;&gt;"",'Release Calendar'!J382,"")</f>
        <v/>
      </c>
    </row>
    <row r="383" spans="1:18" ht="20.100000000000001" customHeight="1">
      <c r="A383" s="14">
        <v>379</v>
      </c>
      <c r="B383" s="28" t="str">
        <f>IF('Release Calendar'!B383&lt;&gt;"",'Release Calendar'!B383,"")</f>
        <v/>
      </c>
      <c r="C383" s="29" t="str">
        <f>IF('Release Calendar'!K383&lt;&gt;"",'Release Calendar'!K383,"")</f>
        <v/>
      </c>
      <c r="D383" s="29" t="str">
        <f>IF('Release Calendar'!M383&lt;&gt;"",'Release Calendar'!M383,"")</f>
        <v/>
      </c>
      <c r="E383" s="30" t="str">
        <f>IF(AND(Q383&lt;&gt;"",R383&lt;&gt;"",DATE(2026,2,0)&gt;=Q383,DATE(2026,1,1)&lt;=R383),"█","")</f>
        <v/>
      </c>
      <c r="F383" s="30" t="str">
        <f>IF(AND(Q383&lt;&gt;"",R383&lt;&gt;"",DATE(2026,3,0)&gt;=Q383,DATE(2026,2,1)&lt;=R383),"█","")</f>
        <v/>
      </c>
      <c r="G383" s="30" t="str">
        <f>IF(AND(Q383&lt;&gt;"",R383&lt;&gt;"",DATE(2026,4,0)&gt;=Q383,DATE(2026,3,1)&lt;=R383),"█","")</f>
        <v/>
      </c>
      <c r="H383" s="30" t="str">
        <f>IF(AND(Q383&lt;&gt;"",R383&lt;&gt;"",DATE(2026,5,0)&gt;=Q383,DATE(2026,4,1)&lt;=R383),"█","")</f>
        <v/>
      </c>
      <c r="I383" s="30" t="str">
        <f>IF(AND(Q383&lt;&gt;"",R383&lt;&gt;"",DATE(2026,6,0)&gt;=Q383,DATE(2026,5,1)&lt;=R383),"█","")</f>
        <v/>
      </c>
      <c r="J383" s="30" t="str">
        <f>IF(AND(Q383&lt;&gt;"",R383&lt;&gt;"",DATE(2026,7,0)&gt;=Q383,DATE(2026,6,1)&lt;=R383),"█","")</f>
        <v/>
      </c>
      <c r="K383" s="30" t="str">
        <f>IF(AND(Q383&lt;&gt;"",R383&lt;&gt;"",DATE(2026,8,0)&gt;=Q383,DATE(2026,7,1)&lt;=R383),"█","")</f>
        <v/>
      </c>
      <c r="L383" s="30" t="str">
        <f>IF(AND(Q383&lt;&gt;"",R383&lt;&gt;"",DATE(2026,9,0)&gt;=Q383,DATE(2026,8,1)&lt;=R383),"█","")</f>
        <v/>
      </c>
      <c r="M383" s="30" t="str">
        <f>IF(AND(Q383&lt;&gt;"",R383&lt;&gt;"",DATE(2026,10,0)&gt;=Q383,DATE(2026,9,1)&lt;=R383),"█","")</f>
        <v/>
      </c>
      <c r="N383" s="30" t="str">
        <f>IF(AND(Q383&lt;&gt;"",R383&lt;&gt;"",DATE(2026,11,0)&gt;=Q383,DATE(2026,10,1)&lt;=R383),"█","")</f>
        <v/>
      </c>
      <c r="O383" s="30" t="str">
        <f>IF(AND(Q383&lt;&gt;"",R383&lt;&gt;"",DATE(2026,12,0)&gt;=Q383,DATE(2026,11,1)&lt;=R383),"█","")</f>
        <v/>
      </c>
      <c r="P383" s="30" t="str">
        <f>IF(AND(Q383&lt;&gt;"",R383&lt;&gt;"",DATE(2026,12,31)&gt;=Q383,DATE(2026,12,1)&lt;=R383),"█","")</f>
        <v/>
      </c>
      <c r="Q383" s="7" t="str">
        <f>IF('Release Calendar'!I383&lt;&gt;"",'Release Calendar'!I383,"")</f>
        <v/>
      </c>
      <c r="R383" s="7" t="str">
        <f>IF('Release Calendar'!J383&lt;&gt;"",'Release Calendar'!J383,"")</f>
        <v/>
      </c>
    </row>
    <row r="384" spans="1:18" ht="20.100000000000001" customHeight="1">
      <c r="A384" s="31">
        <v>380</v>
      </c>
      <c r="B384" s="32" t="str">
        <f>IF('Release Calendar'!B384&lt;&gt;"",'Release Calendar'!B384,"")</f>
        <v/>
      </c>
      <c r="C384" s="33" t="str">
        <f>IF('Release Calendar'!K384&lt;&gt;"",'Release Calendar'!K384,"")</f>
        <v/>
      </c>
      <c r="D384" s="33" t="str">
        <f>IF('Release Calendar'!M384&lt;&gt;"",'Release Calendar'!M384,"")</f>
        <v/>
      </c>
      <c r="E384" s="34" t="str">
        <f>IF(AND(Q384&lt;&gt;"",R384&lt;&gt;"",DATE(2026,2,0)&gt;=Q384,DATE(2026,1,1)&lt;=R384),"█","")</f>
        <v/>
      </c>
      <c r="F384" s="34" t="str">
        <f>IF(AND(Q384&lt;&gt;"",R384&lt;&gt;"",DATE(2026,3,0)&gt;=Q384,DATE(2026,2,1)&lt;=R384),"█","")</f>
        <v/>
      </c>
      <c r="G384" s="34" t="str">
        <f>IF(AND(Q384&lt;&gt;"",R384&lt;&gt;"",DATE(2026,4,0)&gt;=Q384,DATE(2026,3,1)&lt;=R384),"█","")</f>
        <v/>
      </c>
      <c r="H384" s="34" t="str">
        <f>IF(AND(Q384&lt;&gt;"",R384&lt;&gt;"",DATE(2026,5,0)&gt;=Q384,DATE(2026,4,1)&lt;=R384),"█","")</f>
        <v/>
      </c>
      <c r="I384" s="34" t="str">
        <f>IF(AND(Q384&lt;&gt;"",R384&lt;&gt;"",DATE(2026,6,0)&gt;=Q384,DATE(2026,5,1)&lt;=R384),"█","")</f>
        <v/>
      </c>
      <c r="J384" s="34" t="str">
        <f>IF(AND(Q384&lt;&gt;"",R384&lt;&gt;"",DATE(2026,7,0)&gt;=Q384,DATE(2026,6,1)&lt;=R384),"█","")</f>
        <v/>
      </c>
      <c r="K384" s="34" t="str">
        <f>IF(AND(Q384&lt;&gt;"",R384&lt;&gt;"",DATE(2026,8,0)&gt;=Q384,DATE(2026,7,1)&lt;=R384),"█","")</f>
        <v/>
      </c>
      <c r="L384" s="34" t="str">
        <f>IF(AND(Q384&lt;&gt;"",R384&lt;&gt;"",DATE(2026,9,0)&gt;=Q384,DATE(2026,8,1)&lt;=R384),"█","")</f>
        <v/>
      </c>
      <c r="M384" s="34" t="str">
        <f>IF(AND(Q384&lt;&gt;"",R384&lt;&gt;"",DATE(2026,10,0)&gt;=Q384,DATE(2026,9,1)&lt;=R384),"█","")</f>
        <v/>
      </c>
      <c r="N384" s="34" t="str">
        <f>IF(AND(Q384&lt;&gt;"",R384&lt;&gt;"",DATE(2026,11,0)&gt;=Q384,DATE(2026,10,1)&lt;=R384),"█","")</f>
        <v/>
      </c>
      <c r="O384" s="34" t="str">
        <f>IF(AND(Q384&lt;&gt;"",R384&lt;&gt;"",DATE(2026,12,0)&gt;=Q384,DATE(2026,11,1)&lt;=R384),"█","")</f>
        <v/>
      </c>
      <c r="P384" s="34" t="str">
        <f>IF(AND(Q384&lt;&gt;"",R384&lt;&gt;"",DATE(2026,12,31)&gt;=Q384,DATE(2026,12,1)&lt;=R384),"█","")</f>
        <v/>
      </c>
      <c r="Q384" s="7" t="str">
        <f>IF('Release Calendar'!I384&lt;&gt;"",'Release Calendar'!I384,"")</f>
        <v/>
      </c>
      <c r="R384" s="7" t="str">
        <f>IF('Release Calendar'!J384&lt;&gt;"",'Release Calendar'!J384,"")</f>
        <v/>
      </c>
    </row>
    <row r="385" spans="1:18" ht="20.100000000000001" customHeight="1">
      <c r="A385" s="14">
        <v>381</v>
      </c>
      <c r="B385" s="28" t="str">
        <f>IF('Release Calendar'!B385&lt;&gt;"",'Release Calendar'!B385,"")</f>
        <v/>
      </c>
      <c r="C385" s="29" t="str">
        <f>IF('Release Calendar'!K385&lt;&gt;"",'Release Calendar'!K385,"")</f>
        <v/>
      </c>
      <c r="D385" s="29" t="str">
        <f>IF('Release Calendar'!M385&lt;&gt;"",'Release Calendar'!M385,"")</f>
        <v/>
      </c>
      <c r="E385" s="30" t="str">
        <f>IF(AND(Q385&lt;&gt;"",R385&lt;&gt;"",DATE(2026,2,0)&gt;=Q385,DATE(2026,1,1)&lt;=R385),"█","")</f>
        <v/>
      </c>
      <c r="F385" s="30" t="str">
        <f>IF(AND(Q385&lt;&gt;"",R385&lt;&gt;"",DATE(2026,3,0)&gt;=Q385,DATE(2026,2,1)&lt;=R385),"█","")</f>
        <v/>
      </c>
      <c r="G385" s="30" t="str">
        <f>IF(AND(Q385&lt;&gt;"",R385&lt;&gt;"",DATE(2026,4,0)&gt;=Q385,DATE(2026,3,1)&lt;=R385),"█","")</f>
        <v/>
      </c>
      <c r="H385" s="30" t="str">
        <f>IF(AND(Q385&lt;&gt;"",R385&lt;&gt;"",DATE(2026,5,0)&gt;=Q385,DATE(2026,4,1)&lt;=R385),"█","")</f>
        <v/>
      </c>
      <c r="I385" s="30" t="str">
        <f>IF(AND(Q385&lt;&gt;"",R385&lt;&gt;"",DATE(2026,6,0)&gt;=Q385,DATE(2026,5,1)&lt;=R385),"█","")</f>
        <v/>
      </c>
      <c r="J385" s="30" t="str">
        <f>IF(AND(Q385&lt;&gt;"",R385&lt;&gt;"",DATE(2026,7,0)&gt;=Q385,DATE(2026,6,1)&lt;=R385),"█","")</f>
        <v/>
      </c>
      <c r="K385" s="30" t="str">
        <f>IF(AND(Q385&lt;&gt;"",R385&lt;&gt;"",DATE(2026,8,0)&gt;=Q385,DATE(2026,7,1)&lt;=R385),"█","")</f>
        <v/>
      </c>
      <c r="L385" s="30" t="str">
        <f>IF(AND(Q385&lt;&gt;"",R385&lt;&gt;"",DATE(2026,9,0)&gt;=Q385,DATE(2026,8,1)&lt;=R385),"█","")</f>
        <v/>
      </c>
      <c r="M385" s="30" t="str">
        <f>IF(AND(Q385&lt;&gt;"",R385&lt;&gt;"",DATE(2026,10,0)&gt;=Q385,DATE(2026,9,1)&lt;=R385),"█","")</f>
        <v/>
      </c>
      <c r="N385" s="30" t="str">
        <f>IF(AND(Q385&lt;&gt;"",R385&lt;&gt;"",DATE(2026,11,0)&gt;=Q385,DATE(2026,10,1)&lt;=R385),"█","")</f>
        <v/>
      </c>
      <c r="O385" s="30" t="str">
        <f>IF(AND(Q385&lt;&gt;"",R385&lt;&gt;"",DATE(2026,12,0)&gt;=Q385,DATE(2026,11,1)&lt;=R385),"█","")</f>
        <v/>
      </c>
      <c r="P385" s="30" t="str">
        <f>IF(AND(Q385&lt;&gt;"",R385&lt;&gt;"",DATE(2026,12,31)&gt;=Q385,DATE(2026,12,1)&lt;=R385),"█","")</f>
        <v/>
      </c>
      <c r="Q385" s="7" t="str">
        <f>IF('Release Calendar'!I385&lt;&gt;"",'Release Calendar'!I385,"")</f>
        <v/>
      </c>
      <c r="R385" s="7" t="str">
        <f>IF('Release Calendar'!J385&lt;&gt;"",'Release Calendar'!J385,"")</f>
        <v/>
      </c>
    </row>
    <row r="386" spans="1:18" ht="20.100000000000001" customHeight="1">
      <c r="A386" s="31">
        <v>382</v>
      </c>
      <c r="B386" s="32" t="str">
        <f>IF('Release Calendar'!B386&lt;&gt;"",'Release Calendar'!B386,"")</f>
        <v/>
      </c>
      <c r="C386" s="33" t="str">
        <f>IF('Release Calendar'!K386&lt;&gt;"",'Release Calendar'!K386,"")</f>
        <v/>
      </c>
      <c r="D386" s="33" t="str">
        <f>IF('Release Calendar'!M386&lt;&gt;"",'Release Calendar'!M386,"")</f>
        <v/>
      </c>
      <c r="E386" s="34" t="str">
        <f>IF(AND(Q386&lt;&gt;"",R386&lt;&gt;"",DATE(2026,2,0)&gt;=Q386,DATE(2026,1,1)&lt;=R386),"█","")</f>
        <v/>
      </c>
      <c r="F386" s="34" t="str">
        <f>IF(AND(Q386&lt;&gt;"",R386&lt;&gt;"",DATE(2026,3,0)&gt;=Q386,DATE(2026,2,1)&lt;=R386),"█","")</f>
        <v/>
      </c>
      <c r="G386" s="34" t="str">
        <f>IF(AND(Q386&lt;&gt;"",R386&lt;&gt;"",DATE(2026,4,0)&gt;=Q386,DATE(2026,3,1)&lt;=R386),"█","")</f>
        <v/>
      </c>
      <c r="H386" s="34" t="str">
        <f>IF(AND(Q386&lt;&gt;"",R386&lt;&gt;"",DATE(2026,5,0)&gt;=Q386,DATE(2026,4,1)&lt;=R386),"█","")</f>
        <v/>
      </c>
      <c r="I386" s="34" t="str">
        <f>IF(AND(Q386&lt;&gt;"",R386&lt;&gt;"",DATE(2026,6,0)&gt;=Q386,DATE(2026,5,1)&lt;=R386),"█","")</f>
        <v/>
      </c>
      <c r="J386" s="34" t="str">
        <f>IF(AND(Q386&lt;&gt;"",R386&lt;&gt;"",DATE(2026,7,0)&gt;=Q386,DATE(2026,6,1)&lt;=R386),"█","")</f>
        <v/>
      </c>
      <c r="K386" s="34" t="str">
        <f>IF(AND(Q386&lt;&gt;"",R386&lt;&gt;"",DATE(2026,8,0)&gt;=Q386,DATE(2026,7,1)&lt;=R386),"█","")</f>
        <v/>
      </c>
      <c r="L386" s="34" t="str">
        <f>IF(AND(Q386&lt;&gt;"",R386&lt;&gt;"",DATE(2026,9,0)&gt;=Q386,DATE(2026,8,1)&lt;=R386),"█","")</f>
        <v/>
      </c>
      <c r="M386" s="34" t="str">
        <f>IF(AND(Q386&lt;&gt;"",R386&lt;&gt;"",DATE(2026,10,0)&gt;=Q386,DATE(2026,9,1)&lt;=R386),"█","")</f>
        <v/>
      </c>
      <c r="N386" s="34" t="str">
        <f>IF(AND(Q386&lt;&gt;"",R386&lt;&gt;"",DATE(2026,11,0)&gt;=Q386,DATE(2026,10,1)&lt;=R386),"█","")</f>
        <v/>
      </c>
      <c r="O386" s="34" t="str">
        <f>IF(AND(Q386&lt;&gt;"",R386&lt;&gt;"",DATE(2026,12,0)&gt;=Q386,DATE(2026,11,1)&lt;=R386),"█","")</f>
        <v/>
      </c>
      <c r="P386" s="34" t="str">
        <f>IF(AND(Q386&lt;&gt;"",R386&lt;&gt;"",DATE(2026,12,31)&gt;=Q386,DATE(2026,12,1)&lt;=R386),"█","")</f>
        <v/>
      </c>
      <c r="Q386" s="7" t="str">
        <f>IF('Release Calendar'!I386&lt;&gt;"",'Release Calendar'!I386,"")</f>
        <v/>
      </c>
      <c r="R386" s="7" t="str">
        <f>IF('Release Calendar'!J386&lt;&gt;"",'Release Calendar'!J386,"")</f>
        <v/>
      </c>
    </row>
    <row r="387" spans="1:18" ht="20.100000000000001" customHeight="1">
      <c r="A387" s="14">
        <v>383</v>
      </c>
      <c r="B387" s="28" t="str">
        <f>IF('Release Calendar'!B387&lt;&gt;"",'Release Calendar'!B387,"")</f>
        <v/>
      </c>
      <c r="C387" s="29" t="str">
        <f>IF('Release Calendar'!K387&lt;&gt;"",'Release Calendar'!K387,"")</f>
        <v/>
      </c>
      <c r="D387" s="29" t="str">
        <f>IF('Release Calendar'!M387&lt;&gt;"",'Release Calendar'!M387,"")</f>
        <v/>
      </c>
      <c r="E387" s="30" t="str">
        <f>IF(AND(Q387&lt;&gt;"",R387&lt;&gt;"",DATE(2026,2,0)&gt;=Q387,DATE(2026,1,1)&lt;=R387),"█","")</f>
        <v/>
      </c>
      <c r="F387" s="30" t="str">
        <f>IF(AND(Q387&lt;&gt;"",R387&lt;&gt;"",DATE(2026,3,0)&gt;=Q387,DATE(2026,2,1)&lt;=R387),"█","")</f>
        <v/>
      </c>
      <c r="G387" s="30" t="str">
        <f>IF(AND(Q387&lt;&gt;"",R387&lt;&gt;"",DATE(2026,4,0)&gt;=Q387,DATE(2026,3,1)&lt;=R387),"█","")</f>
        <v/>
      </c>
      <c r="H387" s="30" t="str">
        <f>IF(AND(Q387&lt;&gt;"",R387&lt;&gt;"",DATE(2026,5,0)&gt;=Q387,DATE(2026,4,1)&lt;=R387),"█","")</f>
        <v/>
      </c>
      <c r="I387" s="30" t="str">
        <f>IF(AND(Q387&lt;&gt;"",R387&lt;&gt;"",DATE(2026,6,0)&gt;=Q387,DATE(2026,5,1)&lt;=R387),"█","")</f>
        <v/>
      </c>
      <c r="J387" s="30" t="str">
        <f>IF(AND(Q387&lt;&gt;"",R387&lt;&gt;"",DATE(2026,7,0)&gt;=Q387,DATE(2026,6,1)&lt;=R387),"█","")</f>
        <v/>
      </c>
      <c r="K387" s="30" t="str">
        <f>IF(AND(Q387&lt;&gt;"",R387&lt;&gt;"",DATE(2026,8,0)&gt;=Q387,DATE(2026,7,1)&lt;=R387),"█","")</f>
        <v/>
      </c>
      <c r="L387" s="30" t="str">
        <f>IF(AND(Q387&lt;&gt;"",R387&lt;&gt;"",DATE(2026,9,0)&gt;=Q387,DATE(2026,8,1)&lt;=R387),"█","")</f>
        <v/>
      </c>
      <c r="M387" s="30" t="str">
        <f>IF(AND(Q387&lt;&gt;"",R387&lt;&gt;"",DATE(2026,10,0)&gt;=Q387,DATE(2026,9,1)&lt;=R387),"█","")</f>
        <v/>
      </c>
      <c r="N387" s="30" t="str">
        <f>IF(AND(Q387&lt;&gt;"",R387&lt;&gt;"",DATE(2026,11,0)&gt;=Q387,DATE(2026,10,1)&lt;=R387),"█","")</f>
        <v/>
      </c>
      <c r="O387" s="30" t="str">
        <f>IF(AND(Q387&lt;&gt;"",R387&lt;&gt;"",DATE(2026,12,0)&gt;=Q387,DATE(2026,11,1)&lt;=R387),"█","")</f>
        <v/>
      </c>
      <c r="P387" s="30" t="str">
        <f>IF(AND(Q387&lt;&gt;"",R387&lt;&gt;"",DATE(2026,12,31)&gt;=Q387,DATE(2026,12,1)&lt;=R387),"█","")</f>
        <v/>
      </c>
      <c r="Q387" s="7" t="str">
        <f>IF('Release Calendar'!I387&lt;&gt;"",'Release Calendar'!I387,"")</f>
        <v/>
      </c>
      <c r="R387" s="7" t="str">
        <f>IF('Release Calendar'!J387&lt;&gt;"",'Release Calendar'!J387,"")</f>
        <v/>
      </c>
    </row>
    <row r="388" spans="1:18" ht="20.100000000000001" customHeight="1">
      <c r="A388" s="31">
        <v>384</v>
      </c>
      <c r="B388" s="32" t="str">
        <f>IF('Release Calendar'!B388&lt;&gt;"",'Release Calendar'!B388,"")</f>
        <v/>
      </c>
      <c r="C388" s="33" t="str">
        <f>IF('Release Calendar'!K388&lt;&gt;"",'Release Calendar'!K388,"")</f>
        <v/>
      </c>
      <c r="D388" s="33" t="str">
        <f>IF('Release Calendar'!M388&lt;&gt;"",'Release Calendar'!M388,"")</f>
        <v/>
      </c>
      <c r="E388" s="34" t="str">
        <f>IF(AND(Q388&lt;&gt;"",R388&lt;&gt;"",DATE(2026,2,0)&gt;=Q388,DATE(2026,1,1)&lt;=R388),"█","")</f>
        <v/>
      </c>
      <c r="F388" s="34" t="str">
        <f>IF(AND(Q388&lt;&gt;"",R388&lt;&gt;"",DATE(2026,3,0)&gt;=Q388,DATE(2026,2,1)&lt;=R388),"█","")</f>
        <v/>
      </c>
      <c r="G388" s="34" t="str">
        <f>IF(AND(Q388&lt;&gt;"",R388&lt;&gt;"",DATE(2026,4,0)&gt;=Q388,DATE(2026,3,1)&lt;=R388),"█","")</f>
        <v/>
      </c>
      <c r="H388" s="34" t="str">
        <f>IF(AND(Q388&lt;&gt;"",R388&lt;&gt;"",DATE(2026,5,0)&gt;=Q388,DATE(2026,4,1)&lt;=R388),"█","")</f>
        <v/>
      </c>
      <c r="I388" s="34" t="str">
        <f>IF(AND(Q388&lt;&gt;"",R388&lt;&gt;"",DATE(2026,6,0)&gt;=Q388,DATE(2026,5,1)&lt;=R388),"█","")</f>
        <v/>
      </c>
      <c r="J388" s="34" t="str">
        <f>IF(AND(Q388&lt;&gt;"",R388&lt;&gt;"",DATE(2026,7,0)&gt;=Q388,DATE(2026,6,1)&lt;=R388),"█","")</f>
        <v/>
      </c>
      <c r="K388" s="34" t="str">
        <f>IF(AND(Q388&lt;&gt;"",R388&lt;&gt;"",DATE(2026,8,0)&gt;=Q388,DATE(2026,7,1)&lt;=R388),"█","")</f>
        <v/>
      </c>
      <c r="L388" s="34" t="str">
        <f>IF(AND(Q388&lt;&gt;"",R388&lt;&gt;"",DATE(2026,9,0)&gt;=Q388,DATE(2026,8,1)&lt;=R388),"█","")</f>
        <v/>
      </c>
      <c r="M388" s="34" t="str">
        <f>IF(AND(Q388&lt;&gt;"",R388&lt;&gt;"",DATE(2026,10,0)&gt;=Q388,DATE(2026,9,1)&lt;=R388),"█","")</f>
        <v/>
      </c>
      <c r="N388" s="34" t="str">
        <f>IF(AND(Q388&lt;&gt;"",R388&lt;&gt;"",DATE(2026,11,0)&gt;=Q388,DATE(2026,10,1)&lt;=R388),"█","")</f>
        <v/>
      </c>
      <c r="O388" s="34" t="str">
        <f>IF(AND(Q388&lt;&gt;"",R388&lt;&gt;"",DATE(2026,12,0)&gt;=Q388,DATE(2026,11,1)&lt;=R388),"█","")</f>
        <v/>
      </c>
      <c r="P388" s="34" t="str">
        <f>IF(AND(Q388&lt;&gt;"",R388&lt;&gt;"",DATE(2026,12,31)&gt;=Q388,DATE(2026,12,1)&lt;=R388),"█","")</f>
        <v/>
      </c>
      <c r="Q388" s="7" t="str">
        <f>IF('Release Calendar'!I388&lt;&gt;"",'Release Calendar'!I388,"")</f>
        <v/>
      </c>
      <c r="R388" s="7" t="str">
        <f>IF('Release Calendar'!J388&lt;&gt;"",'Release Calendar'!J388,"")</f>
        <v/>
      </c>
    </row>
    <row r="389" spans="1:18" ht="20.100000000000001" customHeight="1">
      <c r="A389" s="14">
        <v>385</v>
      </c>
      <c r="B389" s="28" t="str">
        <f>IF('Release Calendar'!B389&lt;&gt;"",'Release Calendar'!B389,"")</f>
        <v/>
      </c>
      <c r="C389" s="29" t="str">
        <f>IF('Release Calendar'!K389&lt;&gt;"",'Release Calendar'!K389,"")</f>
        <v/>
      </c>
      <c r="D389" s="29" t="str">
        <f>IF('Release Calendar'!M389&lt;&gt;"",'Release Calendar'!M389,"")</f>
        <v/>
      </c>
      <c r="E389" s="30" t="str">
        <f>IF(AND(Q389&lt;&gt;"",R389&lt;&gt;"",DATE(2026,2,0)&gt;=Q389,DATE(2026,1,1)&lt;=R389),"█","")</f>
        <v/>
      </c>
      <c r="F389" s="30" t="str">
        <f>IF(AND(Q389&lt;&gt;"",R389&lt;&gt;"",DATE(2026,3,0)&gt;=Q389,DATE(2026,2,1)&lt;=R389),"█","")</f>
        <v/>
      </c>
      <c r="G389" s="30" t="str">
        <f>IF(AND(Q389&lt;&gt;"",R389&lt;&gt;"",DATE(2026,4,0)&gt;=Q389,DATE(2026,3,1)&lt;=R389),"█","")</f>
        <v/>
      </c>
      <c r="H389" s="30" t="str">
        <f>IF(AND(Q389&lt;&gt;"",R389&lt;&gt;"",DATE(2026,5,0)&gt;=Q389,DATE(2026,4,1)&lt;=R389),"█","")</f>
        <v/>
      </c>
      <c r="I389" s="30" t="str">
        <f>IF(AND(Q389&lt;&gt;"",R389&lt;&gt;"",DATE(2026,6,0)&gt;=Q389,DATE(2026,5,1)&lt;=R389),"█","")</f>
        <v/>
      </c>
      <c r="J389" s="30" t="str">
        <f>IF(AND(Q389&lt;&gt;"",R389&lt;&gt;"",DATE(2026,7,0)&gt;=Q389,DATE(2026,6,1)&lt;=R389),"█","")</f>
        <v/>
      </c>
      <c r="K389" s="30" t="str">
        <f>IF(AND(Q389&lt;&gt;"",R389&lt;&gt;"",DATE(2026,8,0)&gt;=Q389,DATE(2026,7,1)&lt;=R389),"█","")</f>
        <v/>
      </c>
      <c r="L389" s="30" t="str">
        <f>IF(AND(Q389&lt;&gt;"",R389&lt;&gt;"",DATE(2026,9,0)&gt;=Q389,DATE(2026,8,1)&lt;=R389),"█","")</f>
        <v/>
      </c>
      <c r="M389" s="30" t="str">
        <f>IF(AND(Q389&lt;&gt;"",R389&lt;&gt;"",DATE(2026,10,0)&gt;=Q389,DATE(2026,9,1)&lt;=R389),"█","")</f>
        <v/>
      </c>
      <c r="N389" s="30" t="str">
        <f>IF(AND(Q389&lt;&gt;"",R389&lt;&gt;"",DATE(2026,11,0)&gt;=Q389,DATE(2026,10,1)&lt;=R389),"█","")</f>
        <v/>
      </c>
      <c r="O389" s="30" t="str">
        <f>IF(AND(Q389&lt;&gt;"",R389&lt;&gt;"",DATE(2026,12,0)&gt;=Q389,DATE(2026,11,1)&lt;=R389),"█","")</f>
        <v/>
      </c>
      <c r="P389" s="30" t="str">
        <f>IF(AND(Q389&lt;&gt;"",R389&lt;&gt;"",DATE(2026,12,31)&gt;=Q389,DATE(2026,12,1)&lt;=R389),"█","")</f>
        <v/>
      </c>
      <c r="Q389" s="7" t="str">
        <f>IF('Release Calendar'!I389&lt;&gt;"",'Release Calendar'!I389,"")</f>
        <v/>
      </c>
      <c r="R389" s="7" t="str">
        <f>IF('Release Calendar'!J389&lt;&gt;"",'Release Calendar'!J389,"")</f>
        <v/>
      </c>
    </row>
    <row r="390" spans="1:18" ht="20.100000000000001" customHeight="1">
      <c r="A390" s="31">
        <v>386</v>
      </c>
      <c r="B390" s="32" t="str">
        <f>IF('Release Calendar'!B390&lt;&gt;"",'Release Calendar'!B390,"")</f>
        <v/>
      </c>
      <c r="C390" s="33" t="str">
        <f>IF('Release Calendar'!K390&lt;&gt;"",'Release Calendar'!K390,"")</f>
        <v/>
      </c>
      <c r="D390" s="33" t="str">
        <f>IF('Release Calendar'!M390&lt;&gt;"",'Release Calendar'!M390,"")</f>
        <v/>
      </c>
      <c r="E390" s="34" t="str">
        <f>IF(AND(Q390&lt;&gt;"",R390&lt;&gt;"",DATE(2026,2,0)&gt;=Q390,DATE(2026,1,1)&lt;=R390),"█","")</f>
        <v/>
      </c>
      <c r="F390" s="34" t="str">
        <f>IF(AND(Q390&lt;&gt;"",R390&lt;&gt;"",DATE(2026,3,0)&gt;=Q390,DATE(2026,2,1)&lt;=R390),"█","")</f>
        <v/>
      </c>
      <c r="G390" s="34" t="str">
        <f>IF(AND(Q390&lt;&gt;"",R390&lt;&gt;"",DATE(2026,4,0)&gt;=Q390,DATE(2026,3,1)&lt;=R390),"█","")</f>
        <v/>
      </c>
      <c r="H390" s="34" t="str">
        <f>IF(AND(Q390&lt;&gt;"",R390&lt;&gt;"",DATE(2026,5,0)&gt;=Q390,DATE(2026,4,1)&lt;=R390),"█","")</f>
        <v/>
      </c>
      <c r="I390" s="34" t="str">
        <f>IF(AND(Q390&lt;&gt;"",R390&lt;&gt;"",DATE(2026,6,0)&gt;=Q390,DATE(2026,5,1)&lt;=R390),"█","")</f>
        <v/>
      </c>
      <c r="J390" s="34" t="str">
        <f>IF(AND(Q390&lt;&gt;"",R390&lt;&gt;"",DATE(2026,7,0)&gt;=Q390,DATE(2026,6,1)&lt;=R390),"█","")</f>
        <v/>
      </c>
      <c r="K390" s="34" t="str">
        <f>IF(AND(Q390&lt;&gt;"",R390&lt;&gt;"",DATE(2026,8,0)&gt;=Q390,DATE(2026,7,1)&lt;=R390),"█","")</f>
        <v/>
      </c>
      <c r="L390" s="34" t="str">
        <f>IF(AND(Q390&lt;&gt;"",R390&lt;&gt;"",DATE(2026,9,0)&gt;=Q390,DATE(2026,8,1)&lt;=R390),"█","")</f>
        <v/>
      </c>
      <c r="M390" s="34" t="str">
        <f>IF(AND(Q390&lt;&gt;"",R390&lt;&gt;"",DATE(2026,10,0)&gt;=Q390,DATE(2026,9,1)&lt;=R390),"█","")</f>
        <v/>
      </c>
      <c r="N390" s="34" t="str">
        <f>IF(AND(Q390&lt;&gt;"",R390&lt;&gt;"",DATE(2026,11,0)&gt;=Q390,DATE(2026,10,1)&lt;=R390),"█","")</f>
        <v/>
      </c>
      <c r="O390" s="34" t="str">
        <f>IF(AND(Q390&lt;&gt;"",R390&lt;&gt;"",DATE(2026,12,0)&gt;=Q390,DATE(2026,11,1)&lt;=R390),"█","")</f>
        <v/>
      </c>
      <c r="P390" s="34" t="str">
        <f>IF(AND(Q390&lt;&gt;"",R390&lt;&gt;"",DATE(2026,12,31)&gt;=Q390,DATE(2026,12,1)&lt;=R390),"█","")</f>
        <v/>
      </c>
      <c r="Q390" s="7" t="str">
        <f>IF('Release Calendar'!I390&lt;&gt;"",'Release Calendar'!I390,"")</f>
        <v/>
      </c>
      <c r="R390" s="7" t="str">
        <f>IF('Release Calendar'!J390&lt;&gt;"",'Release Calendar'!J390,"")</f>
        <v/>
      </c>
    </row>
    <row r="391" spans="1:18" ht="20.100000000000001" customHeight="1">
      <c r="A391" s="14">
        <v>387</v>
      </c>
      <c r="B391" s="28" t="str">
        <f>IF('Release Calendar'!B391&lt;&gt;"",'Release Calendar'!B391,"")</f>
        <v/>
      </c>
      <c r="C391" s="29" t="str">
        <f>IF('Release Calendar'!K391&lt;&gt;"",'Release Calendar'!K391,"")</f>
        <v/>
      </c>
      <c r="D391" s="29" t="str">
        <f>IF('Release Calendar'!M391&lt;&gt;"",'Release Calendar'!M391,"")</f>
        <v/>
      </c>
      <c r="E391" s="30" t="str">
        <f>IF(AND(Q391&lt;&gt;"",R391&lt;&gt;"",DATE(2026,2,0)&gt;=Q391,DATE(2026,1,1)&lt;=R391),"█","")</f>
        <v/>
      </c>
      <c r="F391" s="30" t="str">
        <f>IF(AND(Q391&lt;&gt;"",R391&lt;&gt;"",DATE(2026,3,0)&gt;=Q391,DATE(2026,2,1)&lt;=R391),"█","")</f>
        <v/>
      </c>
      <c r="G391" s="30" t="str">
        <f>IF(AND(Q391&lt;&gt;"",R391&lt;&gt;"",DATE(2026,4,0)&gt;=Q391,DATE(2026,3,1)&lt;=R391),"█","")</f>
        <v/>
      </c>
      <c r="H391" s="30" t="str">
        <f>IF(AND(Q391&lt;&gt;"",R391&lt;&gt;"",DATE(2026,5,0)&gt;=Q391,DATE(2026,4,1)&lt;=R391),"█","")</f>
        <v/>
      </c>
      <c r="I391" s="30" t="str">
        <f>IF(AND(Q391&lt;&gt;"",R391&lt;&gt;"",DATE(2026,6,0)&gt;=Q391,DATE(2026,5,1)&lt;=R391),"█","")</f>
        <v/>
      </c>
      <c r="J391" s="30" t="str">
        <f>IF(AND(Q391&lt;&gt;"",R391&lt;&gt;"",DATE(2026,7,0)&gt;=Q391,DATE(2026,6,1)&lt;=R391),"█","")</f>
        <v/>
      </c>
      <c r="K391" s="30" t="str">
        <f>IF(AND(Q391&lt;&gt;"",R391&lt;&gt;"",DATE(2026,8,0)&gt;=Q391,DATE(2026,7,1)&lt;=R391),"█","")</f>
        <v/>
      </c>
      <c r="L391" s="30" t="str">
        <f>IF(AND(Q391&lt;&gt;"",R391&lt;&gt;"",DATE(2026,9,0)&gt;=Q391,DATE(2026,8,1)&lt;=R391),"█","")</f>
        <v/>
      </c>
      <c r="M391" s="30" t="str">
        <f>IF(AND(Q391&lt;&gt;"",R391&lt;&gt;"",DATE(2026,10,0)&gt;=Q391,DATE(2026,9,1)&lt;=R391),"█","")</f>
        <v/>
      </c>
      <c r="N391" s="30" t="str">
        <f>IF(AND(Q391&lt;&gt;"",R391&lt;&gt;"",DATE(2026,11,0)&gt;=Q391,DATE(2026,10,1)&lt;=R391),"█","")</f>
        <v/>
      </c>
      <c r="O391" s="30" t="str">
        <f>IF(AND(Q391&lt;&gt;"",R391&lt;&gt;"",DATE(2026,12,0)&gt;=Q391,DATE(2026,11,1)&lt;=R391),"█","")</f>
        <v/>
      </c>
      <c r="P391" s="30" t="str">
        <f>IF(AND(Q391&lt;&gt;"",R391&lt;&gt;"",DATE(2026,12,31)&gt;=Q391,DATE(2026,12,1)&lt;=R391),"█","")</f>
        <v/>
      </c>
      <c r="Q391" s="7" t="str">
        <f>IF('Release Calendar'!I391&lt;&gt;"",'Release Calendar'!I391,"")</f>
        <v/>
      </c>
      <c r="R391" s="7" t="str">
        <f>IF('Release Calendar'!J391&lt;&gt;"",'Release Calendar'!J391,"")</f>
        <v/>
      </c>
    </row>
    <row r="392" spans="1:18" ht="20.100000000000001" customHeight="1">
      <c r="A392" s="31">
        <v>388</v>
      </c>
      <c r="B392" s="32" t="str">
        <f>IF('Release Calendar'!B392&lt;&gt;"",'Release Calendar'!B392,"")</f>
        <v/>
      </c>
      <c r="C392" s="33" t="str">
        <f>IF('Release Calendar'!K392&lt;&gt;"",'Release Calendar'!K392,"")</f>
        <v/>
      </c>
      <c r="D392" s="33" t="str">
        <f>IF('Release Calendar'!M392&lt;&gt;"",'Release Calendar'!M392,"")</f>
        <v/>
      </c>
      <c r="E392" s="34" t="str">
        <f>IF(AND(Q392&lt;&gt;"",R392&lt;&gt;"",DATE(2026,2,0)&gt;=Q392,DATE(2026,1,1)&lt;=R392),"█","")</f>
        <v/>
      </c>
      <c r="F392" s="34" t="str">
        <f>IF(AND(Q392&lt;&gt;"",R392&lt;&gt;"",DATE(2026,3,0)&gt;=Q392,DATE(2026,2,1)&lt;=R392),"█","")</f>
        <v/>
      </c>
      <c r="G392" s="34" t="str">
        <f>IF(AND(Q392&lt;&gt;"",R392&lt;&gt;"",DATE(2026,4,0)&gt;=Q392,DATE(2026,3,1)&lt;=R392),"█","")</f>
        <v/>
      </c>
      <c r="H392" s="34" t="str">
        <f>IF(AND(Q392&lt;&gt;"",R392&lt;&gt;"",DATE(2026,5,0)&gt;=Q392,DATE(2026,4,1)&lt;=R392),"█","")</f>
        <v/>
      </c>
      <c r="I392" s="34" t="str">
        <f>IF(AND(Q392&lt;&gt;"",R392&lt;&gt;"",DATE(2026,6,0)&gt;=Q392,DATE(2026,5,1)&lt;=R392),"█","")</f>
        <v/>
      </c>
      <c r="J392" s="34" t="str">
        <f>IF(AND(Q392&lt;&gt;"",R392&lt;&gt;"",DATE(2026,7,0)&gt;=Q392,DATE(2026,6,1)&lt;=R392),"█","")</f>
        <v/>
      </c>
      <c r="K392" s="34" t="str">
        <f>IF(AND(Q392&lt;&gt;"",R392&lt;&gt;"",DATE(2026,8,0)&gt;=Q392,DATE(2026,7,1)&lt;=R392),"█","")</f>
        <v/>
      </c>
      <c r="L392" s="34" t="str">
        <f>IF(AND(Q392&lt;&gt;"",R392&lt;&gt;"",DATE(2026,9,0)&gt;=Q392,DATE(2026,8,1)&lt;=R392),"█","")</f>
        <v/>
      </c>
      <c r="M392" s="34" t="str">
        <f>IF(AND(Q392&lt;&gt;"",R392&lt;&gt;"",DATE(2026,10,0)&gt;=Q392,DATE(2026,9,1)&lt;=R392),"█","")</f>
        <v/>
      </c>
      <c r="N392" s="34" t="str">
        <f>IF(AND(Q392&lt;&gt;"",R392&lt;&gt;"",DATE(2026,11,0)&gt;=Q392,DATE(2026,10,1)&lt;=R392),"█","")</f>
        <v/>
      </c>
      <c r="O392" s="34" t="str">
        <f>IF(AND(Q392&lt;&gt;"",R392&lt;&gt;"",DATE(2026,12,0)&gt;=Q392,DATE(2026,11,1)&lt;=R392),"█","")</f>
        <v/>
      </c>
      <c r="P392" s="34" t="str">
        <f>IF(AND(Q392&lt;&gt;"",R392&lt;&gt;"",DATE(2026,12,31)&gt;=Q392,DATE(2026,12,1)&lt;=R392),"█","")</f>
        <v/>
      </c>
      <c r="Q392" s="7" t="str">
        <f>IF('Release Calendar'!I392&lt;&gt;"",'Release Calendar'!I392,"")</f>
        <v/>
      </c>
      <c r="R392" s="7" t="str">
        <f>IF('Release Calendar'!J392&lt;&gt;"",'Release Calendar'!J392,"")</f>
        <v/>
      </c>
    </row>
    <row r="393" spans="1:18" ht="20.100000000000001" customHeight="1">
      <c r="A393" s="14">
        <v>389</v>
      </c>
      <c r="B393" s="28" t="str">
        <f>IF('Release Calendar'!B393&lt;&gt;"",'Release Calendar'!B393,"")</f>
        <v/>
      </c>
      <c r="C393" s="29" t="str">
        <f>IF('Release Calendar'!K393&lt;&gt;"",'Release Calendar'!K393,"")</f>
        <v/>
      </c>
      <c r="D393" s="29" t="str">
        <f>IF('Release Calendar'!M393&lt;&gt;"",'Release Calendar'!M393,"")</f>
        <v/>
      </c>
      <c r="E393" s="30" t="str">
        <f>IF(AND(Q393&lt;&gt;"",R393&lt;&gt;"",DATE(2026,2,0)&gt;=Q393,DATE(2026,1,1)&lt;=R393),"█","")</f>
        <v/>
      </c>
      <c r="F393" s="30" t="str">
        <f>IF(AND(Q393&lt;&gt;"",R393&lt;&gt;"",DATE(2026,3,0)&gt;=Q393,DATE(2026,2,1)&lt;=R393),"█","")</f>
        <v/>
      </c>
      <c r="G393" s="30" t="str">
        <f>IF(AND(Q393&lt;&gt;"",R393&lt;&gt;"",DATE(2026,4,0)&gt;=Q393,DATE(2026,3,1)&lt;=R393),"█","")</f>
        <v/>
      </c>
      <c r="H393" s="30" t="str">
        <f>IF(AND(Q393&lt;&gt;"",R393&lt;&gt;"",DATE(2026,5,0)&gt;=Q393,DATE(2026,4,1)&lt;=R393),"█","")</f>
        <v/>
      </c>
      <c r="I393" s="30" t="str">
        <f>IF(AND(Q393&lt;&gt;"",R393&lt;&gt;"",DATE(2026,6,0)&gt;=Q393,DATE(2026,5,1)&lt;=R393),"█","")</f>
        <v/>
      </c>
      <c r="J393" s="30" t="str">
        <f>IF(AND(Q393&lt;&gt;"",R393&lt;&gt;"",DATE(2026,7,0)&gt;=Q393,DATE(2026,6,1)&lt;=R393),"█","")</f>
        <v/>
      </c>
      <c r="K393" s="30" t="str">
        <f>IF(AND(Q393&lt;&gt;"",R393&lt;&gt;"",DATE(2026,8,0)&gt;=Q393,DATE(2026,7,1)&lt;=R393),"█","")</f>
        <v/>
      </c>
      <c r="L393" s="30" t="str">
        <f>IF(AND(Q393&lt;&gt;"",R393&lt;&gt;"",DATE(2026,9,0)&gt;=Q393,DATE(2026,8,1)&lt;=R393),"█","")</f>
        <v/>
      </c>
      <c r="M393" s="30" t="str">
        <f>IF(AND(Q393&lt;&gt;"",R393&lt;&gt;"",DATE(2026,10,0)&gt;=Q393,DATE(2026,9,1)&lt;=R393),"█","")</f>
        <v/>
      </c>
      <c r="N393" s="30" t="str">
        <f>IF(AND(Q393&lt;&gt;"",R393&lt;&gt;"",DATE(2026,11,0)&gt;=Q393,DATE(2026,10,1)&lt;=R393),"█","")</f>
        <v/>
      </c>
      <c r="O393" s="30" t="str">
        <f>IF(AND(Q393&lt;&gt;"",R393&lt;&gt;"",DATE(2026,12,0)&gt;=Q393,DATE(2026,11,1)&lt;=R393),"█","")</f>
        <v/>
      </c>
      <c r="P393" s="30" t="str">
        <f>IF(AND(Q393&lt;&gt;"",R393&lt;&gt;"",DATE(2026,12,31)&gt;=Q393,DATE(2026,12,1)&lt;=R393),"█","")</f>
        <v/>
      </c>
      <c r="Q393" s="7" t="str">
        <f>IF('Release Calendar'!I393&lt;&gt;"",'Release Calendar'!I393,"")</f>
        <v/>
      </c>
      <c r="R393" s="7" t="str">
        <f>IF('Release Calendar'!J393&lt;&gt;"",'Release Calendar'!J393,"")</f>
        <v/>
      </c>
    </row>
    <row r="394" spans="1:18" ht="20.100000000000001" customHeight="1">
      <c r="A394" s="31">
        <v>390</v>
      </c>
      <c r="B394" s="32" t="str">
        <f>IF('Release Calendar'!B394&lt;&gt;"",'Release Calendar'!B394,"")</f>
        <v/>
      </c>
      <c r="C394" s="33" t="str">
        <f>IF('Release Calendar'!K394&lt;&gt;"",'Release Calendar'!K394,"")</f>
        <v/>
      </c>
      <c r="D394" s="33" t="str">
        <f>IF('Release Calendar'!M394&lt;&gt;"",'Release Calendar'!M394,"")</f>
        <v/>
      </c>
      <c r="E394" s="34" t="str">
        <f>IF(AND(Q394&lt;&gt;"",R394&lt;&gt;"",DATE(2026,2,0)&gt;=Q394,DATE(2026,1,1)&lt;=R394),"█","")</f>
        <v/>
      </c>
      <c r="F394" s="34" t="str">
        <f>IF(AND(Q394&lt;&gt;"",R394&lt;&gt;"",DATE(2026,3,0)&gt;=Q394,DATE(2026,2,1)&lt;=R394),"█","")</f>
        <v/>
      </c>
      <c r="G394" s="34" t="str">
        <f>IF(AND(Q394&lt;&gt;"",R394&lt;&gt;"",DATE(2026,4,0)&gt;=Q394,DATE(2026,3,1)&lt;=R394),"█","")</f>
        <v/>
      </c>
      <c r="H394" s="34" t="str">
        <f>IF(AND(Q394&lt;&gt;"",R394&lt;&gt;"",DATE(2026,5,0)&gt;=Q394,DATE(2026,4,1)&lt;=R394),"█","")</f>
        <v/>
      </c>
      <c r="I394" s="34" t="str">
        <f>IF(AND(Q394&lt;&gt;"",R394&lt;&gt;"",DATE(2026,6,0)&gt;=Q394,DATE(2026,5,1)&lt;=R394),"█","")</f>
        <v/>
      </c>
      <c r="J394" s="34" t="str">
        <f>IF(AND(Q394&lt;&gt;"",R394&lt;&gt;"",DATE(2026,7,0)&gt;=Q394,DATE(2026,6,1)&lt;=R394),"█","")</f>
        <v/>
      </c>
      <c r="K394" s="34" t="str">
        <f>IF(AND(Q394&lt;&gt;"",R394&lt;&gt;"",DATE(2026,8,0)&gt;=Q394,DATE(2026,7,1)&lt;=R394),"█","")</f>
        <v/>
      </c>
      <c r="L394" s="34" t="str">
        <f>IF(AND(Q394&lt;&gt;"",R394&lt;&gt;"",DATE(2026,9,0)&gt;=Q394,DATE(2026,8,1)&lt;=R394),"█","")</f>
        <v/>
      </c>
      <c r="M394" s="34" t="str">
        <f>IF(AND(Q394&lt;&gt;"",R394&lt;&gt;"",DATE(2026,10,0)&gt;=Q394,DATE(2026,9,1)&lt;=R394),"█","")</f>
        <v/>
      </c>
      <c r="N394" s="34" t="str">
        <f>IF(AND(Q394&lt;&gt;"",R394&lt;&gt;"",DATE(2026,11,0)&gt;=Q394,DATE(2026,10,1)&lt;=R394),"█","")</f>
        <v/>
      </c>
      <c r="O394" s="34" t="str">
        <f>IF(AND(Q394&lt;&gt;"",R394&lt;&gt;"",DATE(2026,12,0)&gt;=Q394,DATE(2026,11,1)&lt;=R394),"█","")</f>
        <v/>
      </c>
      <c r="P394" s="34" t="str">
        <f>IF(AND(Q394&lt;&gt;"",R394&lt;&gt;"",DATE(2026,12,31)&gt;=Q394,DATE(2026,12,1)&lt;=R394),"█","")</f>
        <v/>
      </c>
      <c r="Q394" s="7" t="str">
        <f>IF('Release Calendar'!I394&lt;&gt;"",'Release Calendar'!I394,"")</f>
        <v/>
      </c>
      <c r="R394" s="7" t="str">
        <f>IF('Release Calendar'!J394&lt;&gt;"",'Release Calendar'!J394,"")</f>
        <v/>
      </c>
    </row>
    <row r="395" spans="1:18" ht="20.100000000000001" customHeight="1">
      <c r="A395" s="14">
        <v>391</v>
      </c>
      <c r="B395" s="28" t="str">
        <f>IF('Release Calendar'!B395&lt;&gt;"",'Release Calendar'!B395,"")</f>
        <v/>
      </c>
      <c r="C395" s="29" t="str">
        <f>IF('Release Calendar'!K395&lt;&gt;"",'Release Calendar'!K395,"")</f>
        <v/>
      </c>
      <c r="D395" s="29" t="str">
        <f>IF('Release Calendar'!M395&lt;&gt;"",'Release Calendar'!M395,"")</f>
        <v/>
      </c>
      <c r="E395" s="30" t="str">
        <f>IF(AND(Q395&lt;&gt;"",R395&lt;&gt;"",DATE(2026,2,0)&gt;=Q395,DATE(2026,1,1)&lt;=R395),"█","")</f>
        <v/>
      </c>
      <c r="F395" s="30" t="str">
        <f>IF(AND(Q395&lt;&gt;"",R395&lt;&gt;"",DATE(2026,3,0)&gt;=Q395,DATE(2026,2,1)&lt;=R395),"█","")</f>
        <v/>
      </c>
      <c r="G395" s="30" t="str">
        <f>IF(AND(Q395&lt;&gt;"",R395&lt;&gt;"",DATE(2026,4,0)&gt;=Q395,DATE(2026,3,1)&lt;=R395),"█","")</f>
        <v/>
      </c>
      <c r="H395" s="30" t="str">
        <f>IF(AND(Q395&lt;&gt;"",R395&lt;&gt;"",DATE(2026,5,0)&gt;=Q395,DATE(2026,4,1)&lt;=R395),"█","")</f>
        <v/>
      </c>
      <c r="I395" s="30" t="str">
        <f>IF(AND(Q395&lt;&gt;"",R395&lt;&gt;"",DATE(2026,6,0)&gt;=Q395,DATE(2026,5,1)&lt;=R395),"█","")</f>
        <v/>
      </c>
      <c r="J395" s="30" t="str">
        <f>IF(AND(Q395&lt;&gt;"",R395&lt;&gt;"",DATE(2026,7,0)&gt;=Q395,DATE(2026,6,1)&lt;=R395),"█","")</f>
        <v/>
      </c>
      <c r="K395" s="30" t="str">
        <f>IF(AND(Q395&lt;&gt;"",R395&lt;&gt;"",DATE(2026,8,0)&gt;=Q395,DATE(2026,7,1)&lt;=R395),"█","")</f>
        <v/>
      </c>
      <c r="L395" s="30" t="str">
        <f>IF(AND(Q395&lt;&gt;"",R395&lt;&gt;"",DATE(2026,9,0)&gt;=Q395,DATE(2026,8,1)&lt;=R395),"█","")</f>
        <v/>
      </c>
      <c r="M395" s="30" t="str">
        <f>IF(AND(Q395&lt;&gt;"",R395&lt;&gt;"",DATE(2026,10,0)&gt;=Q395,DATE(2026,9,1)&lt;=R395),"█","")</f>
        <v/>
      </c>
      <c r="N395" s="30" t="str">
        <f>IF(AND(Q395&lt;&gt;"",R395&lt;&gt;"",DATE(2026,11,0)&gt;=Q395,DATE(2026,10,1)&lt;=R395),"█","")</f>
        <v/>
      </c>
      <c r="O395" s="30" t="str">
        <f>IF(AND(Q395&lt;&gt;"",R395&lt;&gt;"",DATE(2026,12,0)&gt;=Q395,DATE(2026,11,1)&lt;=R395),"█","")</f>
        <v/>
      </c>
      <c r="P395" s="30" t="str">
        <f>IF(AND(Q395&lt;&gt;"",R395&lt;&gt;"",DATE(2026,12,31)&gt;=Q395,DATE(2026,12,1)&lt;=R395),"█","")</f>
        <v/>
      </c>
      <c r="Q395" s="7" t="str">
        <f>IF('Release Calendar'!I395&lt;&gt;"",'Release Calendar'!I395,"")</f>
        <v/>
      </c>
      <c r="R395" s="7" t="str">
        <f>IF('Release Calendar'!J395&lt;&gt;"",'Release Calendar'!J395,"")</f>
        <v/>
      </c>
    </row>
    <row r="396" spans="1:18" ht="20.100000000000001" customHeight="1">
      <c r="A396" s="31">
        <v>392</v>
      </c>
      <c r="B396" s="32" t="str">
        <f>IF('Release Calendar'!B396&lt;&gt;"",'Release Calendar'!B396,"")</f>
        <v/>
      </c>
      <c r="C396" s="33" t="str">
        <f>IF('Release Calendar'!K396&lt;&gt;"",'Release Calendar'!K396,"")</f>
        <v/>
      </c>
      <c r="D396" s="33" t="str">
        <f>IF('Release Calendar'!M396&lt;&gt;"",'Release Calendar'!M396,"")</f>
        <v/>
      </c>
      <c r="E396" s="34" t="str">
        <f>IF(AND(Q396&lt;&gt;"",R396&lt;&gt;"",DATE(2026,2,0)&gt;=Q396,DATE(2026,1,1)&lt;=R396),"█","")</f>
        <v/>
      </c>
      <c r="F396" s="34" t="str">
        <f>IF(AND(Q396&lt;&gt;"",R396&lt;&gt;"",DATE(2026,3,0)&gt;=Q396,DATE(2026,2,1)&lt;=R396),"█","")</f>
        <v/>
      </c>
      <c r="G396" s="34" t="str">
        <f>IF(AND(Q396&lt;&gt;"",R396&lt;&gt;"",DATE(2026,4,0)&gt;=Q396,DATE(2026,3,1)&lt;=R396),"█","")</f>
        <v/>
      </c>
      <c r="H396" s="34" t="str">
        <f>IF(AND(Q396&lt;&gt;"",R396&lt;&gt;"",DATE(2026,5,0)&gt;=Q396,DATE(2026,4,1)&lt;=R396),"█","")</f>
        <v/>
      </c>
      <c r="I396" s="34" t="str">
        <f>IF(AND(Q396&lt;&gt;"",R396&lt;&gt;"",DATE(2026,6,0)&gt;=Q396,DATE(2026,5,1)&lt;=R396),"█","")</f>
        <v/>
      </c>
      <c r="J396" s="34" t="str">
        <f>IF(AND(Q396&lt;&gt;"",R396&lt;&gt;"",DATE(2026,7,0)&gt;=Q396,DATE(2026,6,1)&lt;=R396),"█","")</f>
        <v/>
      </c>
      <c r="K396" s="34" t="str">
        <f>IF(AND(Q396&lt;&gt;"",R396&lt;&gt;"",DATE(2026,8,0)&gt;=Q396,DATE(2026,7,1)&lt;=R396),"█","")</f>
        <v/>
      </c>
      <c r="L396" s="34" t="str">
        <f>IF(AND(Q396&lt;&gt;"",R396&lt;&gt;"",DATE(2026,9,0)&gt;=Q396,DATE(2026,8,1)&lt;=R396),"█","")</f>
        <v/>
      </c>
      <c r="M396" s="34" t="str">
        <f>IF(AND(Q396&lt;&gt;"",R396&lt;&gt;"",DATE(2026,10,0)&gt;=Q396,DATE(2026,9,1)&lt;=R396),"█","")</f>
        <v/>
      </c>
      <c r="N396" s="34" t="str">
        <f>IF(AND(Q396&lt;&gt;"",R396&lt;&gt;"",DATE(2026,11,0)&gt;=Q396,DATE(2026,10,1)&lt;=R396),"█","")</f>
        <v/>
      </c>
      <c r="O396" s="34" t="str">
        <f>IF(AND(Q396&lt;&gt;"",R396&lt;&gt;"",DATE(2026,12,0)&gt;=Q396,DATE(2026,11,1)&lt;=R396),"█","")</f>
        <v/>
      </c>
      <c r="P396" s="34" t="str">
        <f>IF(AND(Q396&lt;&gt;"",R396&lt;&gt;"",DATE(2026,12,31)&gt;=Q396,DATE(2026,12,1)&lt;=R396),"█","")</f>
        <v/>
      </c>
      <c r="Q396" s="7" t="str">
        <f>IF('Release Calendar'!I396&lt;&gt;"",'Release Calendar'!I396,"")</f>
        <v/>
      </c>
      <c r="R396" s="7" t="str">
        <f>IF('Release Calendar'!J396&lt;&gt;"",'Release Calendar'!J396,"")</f>
        <v/>
      </c>
    </row>
    <row r="397" spans="1:18" ht="20.100000000000001" customHeight="1">
      <c r="A397" s="14">
        <v>393</v>
      </c>
      <c r="B397" s="28" t="str">
        <f>IF('Release Calendar'!B397&lt;&gt;"",'Release Calendar'!B397,"")</f>
        <v/>
      </c>
      <c r="C397" s="29" t="str">
        <f>IF('Release Calendar'!K397&lt;&gt;"",'Release Calendar'!K397,"")</f>
        <v/>
      </c>
      <c r="D397" s="29" t="str">
        <f>IF('Release Calendar'!M397&lt;&gt;"",'Release Calendar'!M397,"")</f>
        <v/>
      </c>
      <c r="E397" s="30" t="str">
        <f>IF(AND(Q397&lt;&gt;"",R397&lt;&gt;"",DATE(2026,2,0)&gt;=Q397,DATE(2026,1,1)&lt;=R397),"█","")</f>
        <v/>
      </c>
      <c r="F397" s="30" t="str">
        <f>IF(AND(Q397&lt;&gt;"",R397&lt;&gt;"",DATE(2026,3,0)&gt;=Q397,DATE(2026,2,1)&lt;=R397),"█","")</f>
        <v/>
      </c>
      <c r="G397" s="30" t="str">
        <f>IF(AND(Q397&lt;&gt;"",R397&lt;&gt;"",DATE(2026,4,0)&gt;=Q397,DATE(2026,3,1)&lt;=R397),"█","")</f>
        <v/>
      </c>
      <c r="H397" s="30" t="str">
        <f>IF(AND(Q397&lt;&gt;"",R397&lt;&gt;"",DATE(2026,5,0)&gt;=Q397,DATE(2026,4,1)&lt;=R397),"█","")</f>
        <v/>
      </c>
      <c r="I397" s="30" t="str">
        <f>IF(AND(Q397&lt;&gt;"",R397&lt;&gt;"",DATE(2026,6,0)&gt;=Q397,DATE(2026,5,1)&lt;=R397),"█","")</f>
        <v/>
      </c>
      <c r="J397" s="30" t="str">
        <f>IF(AND(Q397&lt;&gt;"",R397&lt;&gt;"",DATE(2026,7,0)&gt;=Q397,DATE(2026,6,1)&lt;=R397),"█","")</f>
        <v/>
      </c>
      <c r="K397" s="30" t="str">
        <f>IF(AND(Q397&lt;&gt;"",R397&lt;&gt;"",DATE(2026,8,0)&gt;=Q397,DATE(2026,7,1)&lt;=R397),"█","")</f>
        <v/>
      </c>
      <c r="L397" s="30" t="str">
        <f>IF(AND(Q397&lt;&gt;"",R397&lt;&gt;"",DATE(2026,9,0)&gt;=Q397,DATE(2026,8,1)&lt;=R397),"█","")</f>
        <v/>
      </c>
      <c r="M397" s="30" t="str">
        <f>IF(AND(Q397&lt;&gt;"",R397&lt;&gt;"",DATE(2026,10,0)&gt;=Q397,DATE(2026,9,1)&lt;=R397),"█","")</f>
        <v/>
      </c>
      <c r="N397" s="30" t="str">
        <f>IF(AND(Q397&lt;&gt;"",R397&lt;&gt;"",DATE(2026,11,0)&gt;=Q397,DATE(2026,10,1)&lt;=R397),"█","")</f>
        <v/>
      </c>
      <c r="O397" s="30" t="str">
        <f>IF(AND(Q397&lt;&gt;"",R397&lt;&gt;"",DATE(2026,12,0)&gt;=Q397,DATE(2026,11,1)&lt;=R397),"█","")</f>
        <v/>
      </c>
      <c r="P397" s="30" t="str">
        <f>IF(AND(Q397&lt;&gt;"",R397&lt;&gt;"",DATE(2026,12,31)&gt;=Q397,DATE(2026,12,1)&lt;=R397),"█","")</f>
        <v/>
      </c>
      <c r="Q397" s="7" t="str">
        <f>IF('Release Calendar'!I397&lt;&gt;"",'Release Calendar'!I397,"")</f>
        <v/>
      </c>
      <c r="R397" s="7" t="str">
        <f>IF('Release Calendar'!J397&lt;&gt;"",'Release Calendar'!J397,"")</f>
        <v/>
      </c>
    </row>
    <row r="398" spans="1:18" ht="20.100000000000001" customHeight="1">
      <c r="A398" s="31">
        <v>394</v>
      </c>
      <c r="B398" s="32" t="str">
        <f>IF('Release Calendar'!B398&lt;&gt;"",'Release Calendar'!B398,"")</f>
        <v/>
      </c>
      <c r="C398" s="33" t="str">
        <f>IF('Release Calendar'!K398&lt;&gt;"",'Release Calendar'!K398,"")</f>
        <v/>
      </c>
      <c r="D398" s="33" t="str">
        <f>IF('Release Calendar'!M398&lt;&gt;"",'Release Calendar'!M398,"")</f>
        <v/>
      </c>
      <c r="E398" s="34" t="str">
        <f>IF(AND(Q398&lt;&gt;"",R398&lt;&gt;"",DATE(2026,2,0)&gt;=Q398,DATE(2026,1,1)&lt;=R398),"█","")</f>
        <v/>
      </c>
      <c r="F398" s="34" t="str">
        <f>IF(AND(Q398&lt;&gt;"",R398&lt;&gt;"",DATE(2026,3,0)&gt;=Q398,DATE(2026,2,1)&lt;=R398),"█","")</f>
        <v/>
      </c>
      <c r="G398" s="34" t="str">
        <f>IF(AND(Q398&lt;&gt;"",R398&lt;&gt;"",DATE(2026,4,0)&gt;=Q398,DATE(2026,3,1)&lt;=R398),"█","")</f>
        <v/>
      </c>
      <c r="H398" s="34" t="str">
        <f>IF(AND(Q398&lt;&gt;"",R398&lt;&gt;"",DATE(2026,5,0)&gt;=Q398,DATE(2026,4,1)&lt;=R398),"█","")</f>
        <v/>
      </c>
      <c r="I398" s="34" t="str">
        <f>IF(AND(Q398&lt;&gt;"",R398&lt;&gt;"",DATE(2026,6,0)&gt;=Q398,DATE(2026,5,1)&lt;=R398),"█","")</f>
        <v/>
      </c>
      <c r="J398" s="34" t="str">
        <f>IF(AND(Q398&lt;&gt;"",R398&lt;&gt;"",DATE(2026,7,0)&gt;=Q398,DATE(2026,6,1)&lt;=R398),"█","")</f>
        <v/>
      </c>
      <c r="K398" s="34" t="str">
        <f>IF(AND(Q398&lt;&gt;"",R398&lt;&gt;"",DATE(2026,8,0)&gt;=Q398,DATE(2026,7,1)&lt;=R398),"█","")</f>
        <v/>
      </c>
      <c r="L398" s="34" t="str">
        <f>IF(AND(Q398&lt;&gt;"",R398&lt;&gt;"",DATE(2026,9,0)&gt;=Q398,DATE(2026,8,1)&lt;=R398),"█","")</f>
        <v/>
      </c>
      <c r="M398" s="34" t="str">
        <f>IF(AND(Q398&lt;&gt;"",R398&lt;&gt;"",DATE(2026,10,0)&gt;=Q398,DATE(2026,9,1)&lt;=R398),"█","")</f>
        <v/>
      </c>
      <c r="N398" s="34" t="str">
        <f>IF(AND(Q398&lt;&gt;"",R398&lt;&gt;"",DATE(2026,11,0)&gt;=Q398,DATE(2026,10,1)&lt;=R398),"█","")</f>
        <v/>
      </c>
      <c r="O398" s="34" t="str">
        <f>IF(AND(Q398&lt;&gt;"",R398&lt;&gt;"",DATE(2026,12,0)&gt;=Q398,DATE(2026,11,1)&lt;=R398),"█","")</f>
        <v/>
      </c>
      <c r="P398" s="34" t="str">
        <f>IF(AND(Q398&lt;&gt;"",R398&lt;&gt;"",DATE(2026,12,31)&gt;=Q398,DATE(2026,12,1)&lt;=R398),"█","")</f>
        <v/>
      </c>
      <c r="Q398" s="7" t="str">
        <f>IF('Release Calendar'!I398&lt;&gt;"",'Release Calendar'!I398,"")</f>
        <v/>
      </c>
      <c r="R398" s="7" t="str">
        <f>IF('Release Calendar'!J398&lt;&gt;"",'Release Calendar'!J398,"")</f>
        <v/>
      </c>
    </row>
    <row r="399" spans="1:18" ht="20.100000000000001" customHeight="1">
      <c r="A399" s="14">
        <v>395</v>
      </c>
      <c r="B399" s="28" t="str">
        <f>IF('Release Calendar'!B399&lt;&gt;"",'Release Calendar'!B399,"")</f>
        <v/>
      </c>
      <c r="C399" s="29" t="str">
        <f>IF('Release Calendar'!K399&lt;&gt;"",'Release Calendar'!K399,"")</f>
        <v/>
      </c>
      <c r="D399" s="29" t="str">
        <f>IF('Release Calendar'!M399&lt;&gt;"",'Release Calendar'!M399,"")</f>
        <v/>
      </c>
      <c r="E399" s="30" t="str">
        <f>IF(AND(Q399&lt;&gt;"",R399&lt;&gt;"",DATE(2026,2,0)&gt;=Q399,DATE(2026,1,1)&lt;=R399),"█","")</f>
        <v/>
      </c>
      <c r="F399" s="30" t="str">
        <f>IF(AND(Q399&lt;&gt;"",R399&lt;&gt;"",DATE(2026,3,0)&gt;=Q399,DATE(2026,2,1)&lt;=R399),"█","")</f>
        <v/>
      </c>
      <c r="G399" s="30" t="str">
        <f>IF(AND(Q399&lt;&gt;"",R399&lt;&gt;"",DATE(2026,4,0)&gt;=Q399,DATE(2026,3,1)&lt;=R399),"█","")</f>
        <v/>
      </c>
      <c r="H399" s="30" t="str">
        <f>IF(AND(Q399&lt;&gt;"",R399&lt;&gt;"",DATE(2026,5,0)&gt;=Q399,DATE(2026,4,1)&lt;=R399),"█","")</f>
        <v/>
      </c>
      <c r="I399" s="30" t="str">
        <f>IF(AND(Q399&lt;&gt;"",R399&lt;&gt;"",DATE(2026,6,0)&gt;=Q399,DATE(2026,5,1)&lt;=R399),"█","")</f>
        <v/>
      </c>
      <c r="J399" s="30" t="str">
        <f>IF(AND(Q399&lt;&gt;"",R399&lt;&gt;"",DATE(2026,7,0)&gt;=Q399,DATE(2026,6,1)&lt;=R399),"█","")</f>
        <v/>
      </c>
      <c r="K399" s="30" t="str">
        <f>IF(AND(Q399&lt;&gt;"",R399&lt;&gt;"",DATE(2026,8,0)&gt;=Q399,DATE(2026,7,1)&lt;=R399),"█","")</f>
        <v/>
      </c>
      <c r="L399" s="30" t="str">
        <f>IF(AND(Q399&lt;&gt;"",R399&lt;&gt;"",DATE(2026,9,0)&gt;=Q399,DATE(2026,8,1)&lt;=R399),"█","")</f>
        <v/>
      </c>
      <c r="M399" s="30" t="str">
        <f>IF(AND(Q399&lt;&gt;"",R399&lt;&gt;"",DATE(2026,10,0)&gt;=Q399,DATE(2026,9,1)&lt;=R399),"█","")</f>
        <v/>
      </c>
      <c r="N399" s="30" t="str">
        <f>IF(AND(Q399&lt;&gt;"",R399&lt;&gt;"",DATE(2026,11,0)&gt;=Q399,DATE(2026,10,1)&lt;=R399),"█","")</f>
        <v/>
      </c>
      <c r="O399" s="30" t="str">
        <f>IF(AND(Q399&lt;&gt;"",R399&lt;&gt;"",DATE(2026,12,0)&gt;=Q399,DATE(2026,11,1)&lt;=R399),"█","")</f>
        <v/>
      </c>
      <c r="P399" s="30" t="str">
        <f>IF(AND(Q399&lt;&gt;"",R399&lt;&gt;"",DATE(2026,12,31)&gt;=Q399,DATE(2026,12,1)&lt;=R399),"█","")</f>
        <v/>
      </c>
      <c r="Q399" s="7" t="str">
        <f>IF('Release Calendar'!I399&lt;&gt;"",'Release Calendar'!I399,"")</f>
        <v/>
      </c>
      <c r="R399" s="7" t="str">
        <f>IF('Release Calendar'!J399&lt;&gt;"",'Release Calendar'!J399,"")</f>
        <v/>
      </c>
    </row>
    <row r="400" spans="1:18" ht="20.100000000000001" customHeight="1">
      <c r="A400" s="31">
        <v>396</v>
      </c>
      <c r="B400" s="32" t="str">
        <f>IF('Release Calendar'!B400&lt;&gt;"",'Release Calendar'!B400,"")</f>
        <v/>
      </c>
      <c r="C400" s="33" t="str">
        <f>IF('Release Calendar'!K400&lt;&gt;"",'Release Calendar'!K400,"")</f>
        <v/>
      </c>
      <c r="D400" s="33" t="str">
        <f>IF('Release Calendar'!M400&lt;&gt;"",'Release Calendar'!M400,"")</f>
        <v/>
      </c>
      <c r="E400" s="34" t="str">
        <f>IF(AND(Q400&lt;&gt;"",R400&lt;&gt;"",DATE(2026,2,0)&gt;=Q400,DATE(2026,1,1)&lt;=R400),"█","")</f>
        <v/>
      </c>
      <c r="F400" s="34" t="str">
        <f>IF(AND(Q400&lt;&gt;"",R400&lt;&gt;"",DATE(2026,3,0)&gt;=Q400,DATE(2026,2,1)&lt;=R400),"█","")</f>
        <v/>
      </c>
      <c r="G400" s="34" t="str">
        <f>IF(AND(Q400&lt;&gt;"",R400&lt;&gt;"",DATE(2026,4,0)&gt;=Q400,DATE(2026,3,1)&lt;=R400),"█","")</f>
        <v/>
      </c>
      <c r="H400" s="34" t="str">
        <f>IF(AND(Q400&lt;&gt;"",R400&lt;&gt;"",DATE(2026,5,0)&gt;=Q400,DATE(2026,4,1)&lt;=R400),"█","")</f>
        <v/>
      </c>
      <c r="I400" s="34" t="str">
        <f>IF(AND(Q400&lt;&gt;"",R400&lt;&gt;"",DATE(2026,6,0)&gt;=Q400,DATE(2026,5,1)&lt;=R400),"█","")</f>
        <v/>
      </c>
      <c r="J400" s="34" t="str">
        <f>IF(AND(Q400&lt;&gt;"",R400&lt;&gt;"",DATE(2026,7,0)&gt;=Q400,DATE(2026,6,1)&lt;=R400),"█","")</f>
        <v/>
      </c>
      <c r="K400" s="34" t="str">
        <f>IF(AND(Q400&lt;&gt;"",R400&lt;&gt;"",DATE(2026,8,0)&gt;=Q400,DATE(2026,7,1)&lt;=R400),"█","")</f>
        <v/>
      </c>
      <c r="L400" s="34" t="str">
        <f>IF(AND(Q400&lt;&gt;"",R400&lt;&gt;"",DATE(2026,9,0)&gt;=Q400,DATE(2026,8,1)&lt;=R400),"█","")</f>
        <v/>
      </c>
      <c r="M400" s="34" t="str">
        <f>IF(AND(Q400&lt;&gt;"",R400&lt;&gt;"",DATE(2026,10,0)&gt;=Q400,DATE(2026,9,1)&lt;=R400),"█","")</f>
        <v/>
      </c>
      <c r="N400" s="34" t="str">
        <f>IF(AND(Q400&lt;&gt;"",R400&lt;&gt;"",DATE(2026,11,0)&gt;=Q400,DATE(2026,10,1)&lt;=R400),"█","")</f>
        <v/>
      </c>
      <c r="O400" s="34" t="str">
        <f>IF(AND(Q400&lt;&gt;"",R400&lt;&gt;"",DATE(2026,12,0)&gt;=Q400,DATE(2026,11,1)&lt;=R400),"█","")</f>
        <v/>
      </c>
      <c r="P400" s="34" t="str">
        <f>IF(AND(Q400&lt;&gt;"",R400&lt;&gt;"",DATE(2026,12,31)&gt;=Q400,DATE(2026,12,1)&lt;=R400),"█","")</f>
        <v/>
      </c>
      <c r="Q400" s="7" t="str">
        <f>IF('Release Calendar'!I400&lt;&gt;"",'Release Calendar'!I400,"")</f>
        <v/>
      </c>
      <c r="R400" s="7" t="str">
        <f>IF('Release Calendar'!J400&lt;&gt;"",'Release Calendar'!J400,"")</f>
        <v/>
      </c>
    </row>
    <row r="401" spans="1:18" ht="20.100000000000001" customHeight="1">
      <c r="A401" s="14">
        <v>397</v>
      </c>
      <c r="B401" s="28" t="str">
        <f>IF('Release Calendar'!B401&lt;&gt;"",'Release Calendar'!B401,"")</f>
        <v/>
      </c>
      <c r="C401" s="29" t="str">
        <f>IF('Release Calendar'!K401&lt;&gt;"",'Release Calendar'!K401,"")</f>
        <v/>
      </c>
      <c r="D401" s="29" t="str">
        <f>IF('Release Calendar'!M401&lt;&gt;"",'Release Calendar'!M401,"")</f>
        <v/>
      </c>
      <c r="E401" s="30" t="str">
        <f>IF(AND(Q401&lt;&gt;"",R401&lt;&gt;"",DATE(2026,2,0)&gt;=Q401,DATE(2026,1,1)&lt;=R401),"█","")</f>
        <v/>
      </c>
      <c r="F401" s="30" t="str">
        <f>IF(AND(Q401&lt;&gt;"",R401&lt;&gt;"",DATE(2026,3,0)&gt;=Q401,DATE(2026,2,1)&lt;=R401),"█","")</f>
        <v/>
      </c>
      <c r="G401" s="30" t="str">
        <f>IF(AND(Q401&lt;&gt;"",R401&lt;&gt;"",DATE(2026,4,0)&gt;=Q401,DATE(2026,3,1)&lt;=R401),"█","")</f>
        <v/>
      </c>
      <c r="H401" s="30" t="str">
        <f>IF(AND(Q401&lt;&gt;"",R401&lt;&gt;"",DATE(2026,5,0)&gt;=Q401,DATE(2026,4,1)&lt;=R401),"█","")</f>
        <v/>
      </c>
      <c r="I401" s="30" t="str">
        <f>IF(AND(Q401&lt;&gt;"",R401&lt;&gt;"",DATE(2026,6,0)&gt;=Q401,DATE(2026,5,1)&lt;=R401),"█","")</f>
        <v/>
      </c>
      <c r="J401" s="30" t="str">
        <f>IF(AND(Q401&lt;&gt;"",R401&lt;&gt;"",DATE(2026,7,0)&gt;=Q401,DATE(2026,6,1)&lt;=R401),"█","")</f>
        <v/>
      </c>
      <c r="K401" s="30" t="str">
        <f>IF(AND(Q401&lt;&gt;"",R401&lt;&gt;"",DATE(2026,8,0)&gt;=Q401,DATE(2026,7,1)&lt;=R401),"█","")</f>
        <v/>
      </c>
      <c r="L401" s="30" t="str">
        <f>IF(AND(Q401&lt;&gt;"",R401&lt;&gt;"",DATE(2026,9,0)&gt;=Q401,DATE(2026,8,1)&lt;=R401),"█","")</f>
        <v/>
      </c>
      <c r="M401" s="30" t="str">
        <f>IF(AND(Q401&lt;&gt;"",R401&lt;&gt;"",DATE(2026,10,0)&gt;=Q401,DATE(2026,9,1)&lt;=R401),"█","")</f>
        <v/>
      </c>
      <c r="N401" s="30" t="str">
        <f>IF(AND(Q401&lt;&gt;"",R401&lt;&gt;"",DATE(2026,11,0)&gt;=Q401,DATE(2026,10,1)&lt;=R401),"█","")</f>
        <v/>
      </c>
      <c r="O401" s="30" t="str">
        <f>IF(AND(Q401&lt;&gt;"",R401&lt;&gt;"",DATE(2026,12,0)&gt;=Q401,DATE(2026,11,1)&lt;=R401),"█","")</f>
        <v/>
      </c>
      <c r="P401" s="30" t="str">
        <f>IF(AND(Q401&lt;&gt;"",R401&lt;&gt;"",DATE(2026,12,31)&gt;=Q401,DATE(2026,12,1)&lt;=R401),"█","")</f>
        <v/>
      </c>
      <c r="Q401" s="7" t="str">
        <f>IF('Release Calendar'!I401&lt;&gt;"",'Release Calendar'!I401,"")</f>
        <v/>
      </c>
      <c r="R401" s="7" t="str">
        <f>IF('Release Calendar'!J401&lt;&gt;"",'Release Calendar'!J401,"")</f>
        <v/>
      </c>
    </row>
    <row r="402" spans="1:18" ht="20.100000000000001" customHeight="1">
      <c r="A402" s="31">
        <v>398</v>
      </c>
      <c r="B402" s="32" t="str">
        <f>IF('Release Calendar'!B402&lt;&gt;"",'Release Calendar'!B402,"")</f>
        <v/>
      </c>
      <c r="C402" s="33" t="str">
        <f>IF('Release Calendar'!K402&lt;&gt;"",'Release Calendar'!K402,"")</f>
        <v/>
      </c>
      <c r="D402" s="33" t="str">
        <f>IF('Release Calendar'!M402&lt;&gt;"",'Release Calendar'!M402,"")</f>
        <v/>
      </c>
      <c r="E402" s="34" t="str">
        <f>IF(AND(Q402&lt;&gt;"",R402&lt;&gt;"",DATE(2026,2,0)&gt;=Q402,DATE(2026,1,1)&lt;=R402),"█","")</f>
        <v/>
      </c>
      <c r="F402" s="34" t="str">
        <f>IF(AND(Q402&lt;&gt;"",R402&lt;&gt;"",DATE(2026,3,0)&gt;=Q402,DATE(2026,2,1)&lt;=R402),"█","")</f>
        <v/>
      </c>
      <c r="G402" s="34" t="str">
        <f>IF(AND(Q402&lt;&gt;"",R402&lt;&gt;"",DATE(2026,4,0)&gt;=Q402,DATE(2026,3,1)&lt;=R402),"█","")</f>
        <v/>
      </c>
      <c r="H402" s="34" t="str">
        <f>IF(AND(Q402&lt;&gt;"",R402&lt;&gt;"",DATE(2026,5,0)&gt;=Q402,DATE(2026,4,1)&lt;=R402),"█","")</f>
        <v/>
      </c>
      <c r="I402" s="34" t="str">
        <f>IF(AND(Q402&lt;&gt;"",R402&lt;&gt;"",DATE(2026,6,0)&gt;=Q402,DATE(2026,5,1)&lt;=R402),"█","")</f>
        <v/>
      </c>
      <c r="J402" s="34" t="str">
        <f>IF(AND(Q402&lt;&gt;"",R402&lt;&gt;"",DATE(2026,7,0)&gt;=Q402,DATE(2026,6,1)&lt;=R402),"█","")</f>
        <v/>
      </c>
      <c r="K402" s="34" t="str">
        <f>IF(AND(Q402&lt;&gt;"",R402&lt;&gt;"",DATE(2026,8,0)&gt;=Q402,DATE(2026,7,1)&lt;=R402),"█","")</f>
        <v/>
      </c>
      <c r="L402" s="34" t="str">
        <f>IF(AND(Q402&lt;&gt;"",R402&lt;&gt;"",DATE(2026,9,0)&gt;=Q402,DATE(2026,8,1)&lt;=R402),"█","")</f>
        <v/>
      </c>
      <c r="M402" s="34" t="str">
        <f>IF(AND(Q402&lt;&gt;"",R402&lt;&gt;"",DATE(2026,10,0)&gt;=Q402,DATE(2026,9,1)&lt;=R402),"█","")</f>
        <v/>
      </c>
      <c r="N402" s="34" t="str">
        <f>IF(AND(Q402&lt;&gt;"",R402&lt;&gt;"",DATE(2026,11,0)&gt;=Q402,DATE(2026,10,1)&lt;=R402),"█","")</f>
        <v/>
      </c>
      <c r="O402" s="34" t="str">
        <f>IF(AND(Q402&lt;&gt;"",R402&lt;&gt;"",DATE(2026,12,0)&gt;=Q402,DATE(2026,11,1)&lt;=R402),"█","")</f>
        <v/>
      </c>
      <c r="P402" s="34" t="str">
        <f>IF(AND(Q402&lt;&gt;"",R402&lt;&gt;"",DATE(2026,12,31)&gt;=Q402,DATE(2026,12,1)&lt;=R402),"█","")</f>
        <v/>
      </c>
      <c r="Q402" s="7" t="str">
        <f>IF('Release Calendar'!I402&lt;&gt;"",'Release Calendar'!I402,"")</f>
        <v/>
      </c>
      <c r="R402" s="7" t="str">
        <f>IF('Release Calendar'!J402&lt;&gt;"",'Release Calendar'!J402,"")</f>
        <v/>
      </c>
    </row>
    <row r="403" spans="1:18" ht="20.100000000000001" customHeight="1">
      <c r="A403" s="14">
        <v>399</v>
      </c>
      <c r="B403" s="28" t="str">
        <f>IF('Release Calendar'!B403&lt;&gt;"",'Release Calendar'!B403,"")</f>
        <v/>
      </c>
      <c r="C403" s="29" t="str">
        <f>IF('Release Calendar'!K403&lt;&gt;"",'Release Calendar'!K403,"")</f>
        <v/>
      </c>
      <c r="D403" s="29" t="str">
        <f>IF('Release Calendar'!M403&lt;&gt;"",'Release Calendar'!M403,"")</f>
        <v/>
      </c>
      <c r="E403" s="30" t="str">
        <f>IF(AND(Q403&lt;&gt;"",R403&lt;&gt;"",DATE(2026,2,0)&gt;=Q403,DATE(2026,1,1)&lt;=R403),"█","")</f>
        <v/>
      </c>
      <c r="F403" s="30" t="str">
        <f>IF(AND(Q403&lt;&gt;"",R403&lt;&gt;"",DATE(2026,3,0)&gt;=Q403,DATE(2026,2,1)&lt;=R403),"█","")</f>
        <v/>
      </c>
      <c r="G403" s="30" t="str">
        <f>IF(AND(Q403&lt;&gt;"",R403&lt;&gt;"",DATE(2026,4,0)&gt;=Q403,DATE(2026,3,1)&lt;=R403),"█","")</f>
        <v/>
      </c>
      <c r="H403" s="30" t="str">
        <f>IF(AND(Q403&lt;&gt;"",R403&lt;&gt;"",DATE(2026,5,0)&gt;=Q403,DATE(2026,4,1)&lt;=R403),"█","")</f>
        <v/>
      </c>
      <c r="I403" s="30" t="str">
        <f>IF(AND(Q403&lt;&gt;"",R403&lt;&gt;"",DATE(2026,6,0)&gt;=Q403,DATE(2026,5,1)&lt;=R403),"█","")</f>
        <v/>
      </c>
      <c r="J403" s="30" t="str">
        <f>IF(AND(Q403&lt;&gt;"",R403&lt;&gt;"",DATE(2026,7,0)&gt;=Q403,DATE(2026,6,1)&lt;=R403),"█","")</f>
        <v/>
      </c>
      <c r="K403" s="30" t="str">
        <f>IF(AND(Q403&lt;&gt;"",R403&lt;&gt;"",DATE(2026,8,0)&gt;=Q403,DATE(2026,7,1)&lt;=R403),"█","")</f>
        <v/>
      </c>
      <c r="L403" s="30" t="str">
        <f>IF(AND(Q403&lt;&gt;"",R403&lt;&gt;"",DATE(2026,9,0)&gt;=Q403,DATE(2026,8,1)&lt;=R403),"█","")</f>
        <v/>
      </c>
      <c r="M403" s="30" t="str">
        <f>IF(AND(Q403&lt;&gt;"",R403&lt;&gt;"",DATE(2026,10,0)&gt;=Q403,DATE(2026,9,1)&lt;=R403),"█","")</f>
        <v/>
      </c>
      <c r="N403" s="30" t="str">
        <f>IF(AND(Q403&lt;&gt;"",R403&lt;&gt;"",DATE(2026,11,0)&gt;=Q403,DATE(2026,10,1)&lt;=R403),"█","")</f>
        <v/>
      </c>
      <c r="O403" s="30" t="str">
        <f>IF(AND(Q403&lt;&gt;"",R403&lt;&gt;"",DATE(2026,12,0)&gt;=Q403,DATE(2026,11,1)&lt;=R403),"█","")</f>
        <v/>
      </c>
      <c r="P403" s="30" t="str">
        <f>IF(AND(Q403&lt;&gt;"",R403&lt;&gt;"",DATE(2026,12,31)&gt;=Q403,DATE(2026,12,1)&lt;=R403),"█","")</f>
        <v/>
      </c>
      <c r="Q403" s="7" t="str">
        <f>IF('Release Calendar'!I403&lt;&gt;"",'Release Calendar'!I403,"")</f>
        <v/>
      </c>
      <c r="R403" s="7" t="str">
        <f>IF('Release Calendar'!J403&lt;&gt;"",'Release Calendar'!J403,"")</f>
        <v/>
      </c>
    </row>
    <row r="404" spans="1:18" ht="20.100000000000001" customHeight="1">
      <c r="A404" s="31">
        <v>400</v>
      </c>
      <c r="B404" s="32" t="str">
        <f>IF('Release Calendar'!B404&lt;&gt;"",'Release Calendar'!B404,"")</f>
        <v/>
      </c>
      <c r="C404" s="33" t="str">
        <f>IF('Release Calendar'!K404&lt;&gt;"",'Release Calendar'!K404,"")</f>
        <v/>
      </c>
      <c r="D404" s="33" t="str">
        <f>IF('Release Calendar'!M404&lt;&gt;"",'Release Calendar'!M404,"")</f>
        <v/>
      </c>
      <c r="E404" s="34" t="str">
        <f>IF(AND(Q404&lt;&gt;"",R404&lt;&gt;"",DATE(2026,2,0)&gt;=Q404,DATE(2026,1,1)&lt;=R404),"█","")</f>
        <v/>
      </c>
      <c r="F404" s="34" t="str">
        <f>IF(AND(Q404&lt;&gt;"",R404&lt;&gt;"",DATE(2026,3,0)&gt;=Q404,DATE(2026,2,1)&lt;=R404),"█","")</f>
        <v/>
      </c>
      <c r="G404" s="34" t="str">
        <f>IF(AND(Q404&lt;&gt;"",R404&lt;&gt;"",DATE(2026,4,0)&gt;=Q404,DATE(2026,3,1)&lt;=R404),"█","")</f>
        <v/>
      </c>
      <c r="H404" s="34" t="str">
        <f>IF(AND(Q404&lt;&gt;"",R404&lt;&gt;"",DATE(2026,5,0)&gt;=Q404,DATE(2026,4,1)&lt;=R404),"█","")</f>
        <v/>
      </c>
      <c r="I404" s="34" t="str">
        <f>IF(AND(Q404&lt;&gt;"",R404&lt;&gt;"",DATE(2026,6,0)&gt;=Q404,DATE(2026,5,1)&lt;=R404),"█","")</f>
        <v/>
      </c>
      <c r="J404" s="34" t="str">
        <f>IF(AND(Q404&lt;&gt;"",R404&lt;&gt;"",DATE(2026,7,0)&gt;=Q404,DATE(2026,6,1)&lt;=R404),"█","")</f>
        <v/>
      </c>
      <c r="K404" s="34" t="str">
        <f>IF(AND(Q404&lt;&gt;"",R404&lt;&gt;"",DATE(2026,8,0)&gt;=Q404,DATE(2026,7,1)&lt;=R404),"█","")</f>
        <v/>
      </c>
      <c r="L404" s="34" t="str">
        <f>IF(AND(Q404&lt;&gt;"",R404&lt;&gt;"",DATE(2026,9,0)&gt;=Q404,DATE(2026,8,1)&lt;=R404),"█","")</f>
        <v/>
      </c>
      <c r="M404" s="34" t="str">
        <f>IF(AND(Q404&lt;&gt;"",R404&lt;&gt;"",DATE(2026,10,0)&gt;=Q404,DATE(2026,9,1)&lt;=R404),"█","")</f>
        <v/>
      </c>
      <c r="N404" s="34" t="str">
        <f>IF(AND(Q404&lt;&gt;"",R404&lt;&gt;"",DATE(2026,11,0)&gt;=Q404,DATE(2026,10,1)&lt;=R404),"█","")</f>
        <v/>
      </c>
      <c r="O404" s="34" t="str">
        <f>IF(AND(Q404&lt;&gt;"",R404&lt;&gt;"",DATE(2026,12,0)&gt;=Q404,DATE(2026,11,1)&lt;=R404),"█","")</f>
        <v/>
      </c>
      <c r="P404" s="34" t="str">
        <f>IF(AND(Q404&lt;&gt;"",R404&lt;&gt;"",DATE(2026,12,31)&gt;=Q404,DATE(2026,12,1)&lt;=R404),"█","")</f>
        <v/>
      </c>
      <c r="Q404" s="7" t="str">
        <f>IF('Release Calendar'!I404&lt;&gt;"",'Release Calendar'!I404,"")</f>
        <v/>
      </c>
      <c r="R404" s="7" t="str">
        <f>IF('Release Calendar'!J404&lt;&gt;"",'Release Calendar'!J404,"")</f>
        <v/>
      </c>
    </row>
    <row r="405" spans="1:18" ht="20.100000000000001" customHeight="1">
      <c r="A405" s="14">
        <v>401</v>
      </c>
      <c r="B405" s="28" t="str">
        <f>IF('Release Calendar'!B405&lt;&gt;"",'Release Calendar'!B405,"")</f>
        <v/>
      </c>
      <c r="C405" s="29" t="str">
        <f>IF('Release Calendar'!K405&lt;&gt;"",'Release Calendar'!K405,"")</f>
        <v/>
      </c>
      <c r="D405" s="29" t="str">
        <f>IF('Release Calendar'!M405&lt;&gt;"",'Release Calendar'!M405,"")</f>
        <v/>
      </c>
      <c r="E405" s="30" t="str">
        <f>IF(AND(Q405&lt;&gt;"",R405&lt;&gt;"",DATE(2026,2,0)&gt;=Q405,DATE(2026,1,1)&lt;=R405),"█","")</f>
        <v/>
      </c>
      <c r="F405" s="30" t="str">
        <f>IF(AND(Q405&lt;&gt;"",R405&lt;&gt;"",DATE(2026,3,0)&gt;=Q405,DATE(2026,2,1)&lt;=R405),"█","")</f>
        <v/>
      </c>
      <c r="G405" s="30" t="str">
        <f>IF(AND(Q405&lt;&gt;"",R405&lt;&gt;"",DATE(2026,4,0)&gt;=Q405,DATE(2026,3,1)&lt;=R405),"█","")</f>
        <v/>
      </c>
      <c r="H405" s="30" t="str">
        <f>IF(AND(Q405&lt;&gt;"",R405&lt;&gt;"",DATE(2026,5,0)&gt;=Q405,DATE(2026,4,1)&lt;=R405),"█","")</f>
        <v/>
      </c>
      <c r="I405" s="30" t="str">
        <f>IF(AND(Q405&lt;&gt;"",R405&lt;&gt;"",DATE(2026,6,0)&gt;=Q405,DATE(2026,5,1)&lt;=R405),"█","")</f>
        <v/>
      </c>
      <c r="J405" s="30" t="str">
        <f>IF(AND(Q405&lt;&gt;"",R405&lt;&gt;"",DATE(2026,7,0)&gt;=Q405,DATE(2026,6,1)&lt;=R405),"█","")</f>
        <v/>
      </c>
      <c r="K405" s="30" t="str">
        <f>IF(AND(Q405&lt;&gt;"",R405&lt;&gt;"",DATE(2026,8,0)&gt;=Q405,DATE(2026,7,1)&lt;=R405),"█","")</f>
        <v/>
      </c>
      <c r="L405" s="30" t="str">
        <f>IF(AND(Q405&lt;&gt;"",R405&lt;&gt;"",DATE(2026,9,0)&gt;=Q405,DATE(2026,8,1)&lt;=R405),"█","")</f>
        <v/>
      </c>
      <c r="M405" s="30" t="str">
        <f>IF(AND(Q405&lt;&gt;"",R405&lt;&gt;"",DATE(2026,10,0)&gt;=Q405,DATE(2026,9,1)&lt;=R405),"█","")</f>
        <v/>
      </c>
      <c r="N405" s="30" t="str">
        <f>IF(AND(Q405&lt;&gt;"",R405&lt;&gt;"",DATE(2026,11,0)&gt;=Q405,DATE(2026,10,1)&lt;=R405),"█","")</f>
        <v/>
      </c>
      <c r="O405" s="30" t="str">
        <f>IF(AND(Q405&lt;&gt;"",R405&lt;&gt;"",DATE(2026,12,0)&gt;=Q405,DATE(2026,11,1)&lt;=R405),"█","")</f>
        <v/>
      </c>
      <c r="P405" s="30" t="str">
        <f>IF(AND(Q405&lt;&gt;"",R405&lt;&gt;"",DATE(2026,12,31)&gt;=Q405,DATE(2026,12,1)&lt;=R405),"█","")</f>
        <v/>
      </c>
      <c r="Q405" s="7" t="str">
        <f>IF('Release Calendar'!I405&lt;&gt;"",'Release Calendar'!I405,"")</f>
        <v/>
      </c>
      <c r="R405" s="7" t="str">
        <f>IF('Release Calendar'!J405&lt;&gt;"",'Release Calendar'!J405,"")</f>
        <v/>
      </c>
    </row>
    <row r="406" spans="1:18" ht="20.100000000000001" customHeight="1">
      <c r="A406" s="31">
        <v>402</v>
      </c>
      <c r="B406" s="32" t="str">
        <f>IF('Release Calendar'!B406&lt;&gt;"",'Release Calendar'!B406,"")</f>
        <v/>
      </c>
      <c r="C406" s="33" t="str">
        <f>IF('Release Calendar'!K406&lt;&gt;"",'Release Calendar'!K406,"")</f>
        <v/>
      </c>
      <c r="D406" s="33" t="str">
        <f>IF('Release Calendar'!M406&lt;&gt;"",'Release Calendar'!M406,"")</f>
        <v/>
      </c>
      <c r="E406" s="34" t="str">
        <f>IF(AND(Q406&lt;&gt;"",R406&lt;&gt;"",DATE(2026,2,0)&gt;=Q406,DATE(2026,1,1)&lt;=R406),"█","")</f>
        <v/>
      </c>
      <c r="F406" s="34" t="str">
        <f>IF(AND(Q406&lt;&gt;"",R406&lt;&gt;"",DATE(2026,3,0)&gt;=Q406,DATE(2026,2,1)&lt;=R406),"█","")</f>
        <v/>
      </c>
      <c r="G406" s="34" t="str">
        <f>IF(AND(Q406&lt;&gt;"",R406&lt;&gt;"",DATE(2026,4,0)&gt;=Q406,DATE(2026,3,1)&lt;=R406),"█","")</f>
        <v/>
      </c>
      <c r="H406" s="34" t="str">
        <f>IF(AND(Q406&lt;&gt;"",R406&lt;&gt;"",DATE(2026,5,0)&gt;=Q406,DATE(2026,4,1)&lt;=R406),"█","")</f>
        <v/>
      </c>
      <c r="I406" s="34" t="str">
        <f>IF(AND(Q406&lt;&gt;"",R406&lt;&gt;"",DATE(2026,6,0)&gt;=Q406,DATE(2026,5,1)&lt;=R406),"█","")</f>
        <v/>
      </c>
      <c r="J406" s="34" t="str">
        <f>IF(AND(Q406&lt;&gt;"",R406&lt;&gt;"",DATE(2026,7,0)&gt;=Q406,DATE(2026,6,1)&lt;=R406),"█","")</f>
        <v/>
      </c>
      <c r="K406" s="34" t="str">
        <f>IF(AND(Q406&lt;&gt;"",R406&lt;&gt;"",DATE(2026,8,0)&gt;=Q406,DATE(2026,7,1)&lt;=R406),"█","")</f>
        <v/>
      </c>
      <c r="L406" s="34" t="str">
        <f>IF(AND(Q406&lt;&gt;"",R406&lt;&gt;"",DATE(2026,9,0)&gt;=Q406,DATE(2026,8,1)&lt;=R406),"█","")</f>
        <v/>
      </c>
      <c r="M406" s="34" t="str">
        <f>IF(AND(Q406&lt;&gt;"",R406&lt;&gt;"",DATE(2026,10,0)&gt;=Q406,DATE(2026,9,1)&lt;=R406),"█","")</f>
        <v/>
      </c>
      <c r="N406" s="34" t="str">
        <f>IF(AND(Q406&lt;&gt;"",R406&lt;&gt;"",DATE(2026,11,0)&gt;=Q406,DATE(2026,10,1)&lt;=R406),"█","")</f>
        <v/>
      </c>
      <c r="O406" s="34" t="str">
        <f>IF(AND(Q406&lt;&gt;"",R406&lt;&gt;"",DATE(2026,12,0)&gt;=Q406,DATE(2026,11,1)&lt;=R406),"█","")</f>
        <v/>
      </c>
      <c r="P406" s="34" t="str">
        <f>IF(AND(Q406&lt;&gt;"",R406&lt;&gt;"",DATE(2026,12,31)&gt;=Q406,DATE(2026,12,1)&lt;=R406),"█","")</f>
        <v/>
      </c>
      <c r="Q406" s="7" t="str">
        <f>IF('Release Calendar'!I406&lt;&gt;"",'Release Calendar'!I406,"")</f>
        <v/>
      </c>
      <c r="R406" s="7" t="str">
        <f>IF('Release Calendar'!J406&lt;&gt;"",'Release Calendar'!J406,"")</f>
        <v/>
      </c>
    </row>
    <row r="407" spans="1:18" ht="20.100000000000001" customHeight="1">
      <c r="A407" s="14">
        <v>403</v>
      </c>
      <c r="B407" s="28" t="str">
        <f>IF('Release Calendar'!B407&lt;&gt;"",'Release Calendar'!B407,"")</f>
        <v/>
      </c>
      <c r="C407" s="29" t="str">
        <f>IF('Release Calendar'!K407&lt;&gt;"",'Release Calendar'!K407,"")</f>
        <v/>
      </c>
      <c r="D407" s="29" t="str">
        <f>IF('Release Calendar'!M407&lt;&gt;"",'Release Calendar'!M407,"")</f>
        <v/>
      </c>
      <c r="E407" s="30" t="str">
        <f>IF(AND(Q407&lt;&gt;"",R407&lt;&gt;"",DATE(2026,2,0)&gt;=Q407,DATE(2026,1,1)&lt;=R407),"█","")</f>
        <v/>
      </c>
      <c r="F407" s="30" t="str">
        <f>IF(AND(Q407&lt;&gt;"",R407&lt;&gt;"",DATE(2026,3,0)&gt;=Q407,DATE(2026,2,1)&lt;=R407),"█","")</f>
        <v/>
      </c>
      <c r="G407" s="30" t="str">
        <f>IF(AND(Q407&lt;&gt;"",R407&lt;&gt;"",DATE(2026,4,0)&gt;=Q407,DATE(2026,3,1)&lt;=R407),"█","")</f>
        <v/>
      </c>
      <c r="H407" s="30" t="str">
        <f>IF(AND(Q407&lt;&gt;"",R407&lt;&gt;"",DATE(2026,5,0)&gt;=Q407,DATE(2026,4,1)&lt;=R407),"█","")</f>
        <v/>
      </c>
      <c r="I407" s="30" t="str">
        <f>IF(AND(Q407&lt;&gt;"",R407&lt;&gt;"",DATE(2026,6,0)&gt;=Q407,DATE(2026,5,1)&lt;=R407),"█","")</f>
        <v/>
      </c>
      <c r="J407" s="30" t="str">
        <f>IF(AND(Q407&lt;&gt;"",R407&lt;&gt;"",DATE(2026,7,0)&gt;=Q407,DATE(2026,6,1)&lt;=R407),"█","")</f>
        <v/>
      </c>
      <c r="K407" s="30" t="str">
        <f>IF(AND(Q407&lt;&gt;"",R407&lt;&gt;"",DATE(2026,8,0)&gt;=Q407,DATE(2026,7,1)&lt;=R407),"█","")</f>
        <v/>
      </c>
      <c r="L407" s="30" t="str">
        <f>IF(AND(Q407&lt;&gt;"",R407&lt;&gt;"",DATE(2026,9,0)&gt;=Q407,DATE(2026,8,1)&lt;=R407),"█","")</f>
        <v/>
      </c>
      <c r="M407" s="30" t="str">
        <f>IF(AND(Q407&lt;&gt;"",R407&lt;&gt;"",DATE(2026,10,0)&gt;=Q407,DATE(2026,9,1)&lt;=R407),"█","")</f>
        <v/>
      </c>
      <c r="N407" s="30" t="str">
        <f>IF(AND(Q407&lt;&gt;"",R407&lt;&gt;"",DATE(2026,11,0)&gt;=Q407,DATE(2026,10,1)&lt;=R407),"█","")</f>
        <v/>
      </c>
      <c r="O407" s="30" t="str">
        <f>IF(AND(Q407&lt;&gt;"",R407&lt;&gt;"",DATE(2026,12,0)&gt;=Q407,DATE(2026,11,1)&lt;=R407),"█","")</f>
        <v/>
      </c>
      <c r="P407" s="30" t="str">
        <f>IF(AND(Q407&lt;&gt;"",R407&lt;&gt;"",DATE(2026,12,31)&gt;=Q407,DATE(2026,12,1)&lt;=R407),"█","")</f>
        <v/>
      </c>
      <c r="Q407" s="7" t="str">
        <f>IF('Release Calendar'!I407&lt;&gt;"",'Release Calendar'!I407,"")</f>
        <v/>
      </c>
      <c r="R407" s="7" t="str">
        <f>IF('Release Calendar'!J407&lt;&gt;"",'Release Calendar'!J407,"")</f>
        <v/>
      </c>
    </row>
    <row r="408" spans="1:18" ht="20.100000000000001" customHeight="1">
      <c r="A408" s="31">
        <v>404</v>
      </c>
      <c r="B408" s="32" t="str">
        <f>IF('Release Calendar'!B408&lt;&gt;"",'Release Calendar'!B408,"")</f>
        <v/>
      </c>
      <c r="C408" s="33" t="str">
        <f>IF('Release Calendar'!K408&lt;&gt;"",'Release Calendar'!K408,"")</f>
        <v/>
      </c>
      <c r="D408" s="33" t="str">
        <f>IF('Release Calendar'!M408&lt;&gt;"",'Release Calendar'!M408,"")</f>
        <v/>
      </c>
      <c r="E408" s="34" t="str">
        <f>IF(AND(Q408&lt;&gt;"",R408&lt;&gt;"",DATE(2026,2,0)&gt;=Q408,DATE(2026,1,1)&lt;=R408),"█","")</f>
        <v/>
      </c>
      <c r="F408" s="34" t="str">
        <f>IF(AND(Q408&lt;&gt;"",R408&lt;&gt;"",DATE(2026,3,0)&gt;=Q408,DATE(2026,2,1)&lt;=R408),"█","")</f>
        <v/>
      </c>
      <c r="G408" s="34" t="str">
        <f>IF(AND(Q408&lt;&gt;"",R408&lt;&gt;"",DATE(2026,4,0)&gt;=Q408,DATE(2026,3,1)&lt;=R408),"█","")</f>
        <v/>
      </c>
      <c r="H408" s="34" t="str">
        <f>IF(AND(Q408&lt;&gt;"",R408&lt;&gt;"",DATE(2026,5,0)&gt;=Q408,DATE(2026,4,1)&lt;=R408),"█","")</f>
        <v/>
      </c>
      <c r="I408" s="34" t="str">
        <f>IF(AND(Q408&lt;&gt;"",R408&lt;&gt;"",DATE(2026,6,0)&gt;=Q408,DATE(2026,5,1)&lt;=R408),"█","")</f>
        <v/>
      </c>
      <c r="J408" s="34" t="str">
        <f>IF(AND(Q408&lt;&gt;"",R408&lt;&gt;"",DATE(2026,7,0)&gt;=Q408,DATE(2026,6,1)&lt;=R408),"█","")</f>
        <v/>
      </c>
      <c r="K408" s="34" t="str">
        <f>IF(AND(Q408&lt;&gt;"",R408&lt;&gt;"",DATE(2026,8,0)&gt;=Q408,DATE(2026,7,1)&lt;=R408),"█","")</f>
        <v/>
      </c>
      <c r="L408" s="34" t="str">
        <f>IF(AND(Q408&lt;&gt;"",R408&lt;&gt;"",DATE(2026,9,0)&gt;=Q408,DATE(2026,8,1)&lt;=R408),"█","")</f>
        <v/>
      </c>
      <c r="M408" s="34" t="str">
        <f>IF(AND(Q408&lt;&gt;"",R408&lt;&gt;"",DATE(2026,10,0)&gt;=Q408,DATE(2026,9,1)&lt;=R408),"█","")</f>
        <v/>
      </c>
      <c r="N408" s="34" t="str">
        <f>IF(AND(Q408&lt;&gt;"",R408&lt;&gt;"",DATE(2026,11,0)&gt;=Q408,DATE(2026,10,1)&lt;=R408),"█","")</f>
        <v/>
      </c>
      <c r="O408" s="34" t="str">
        <f>IF(AND(Q408&lt;&gt;"",R408&lt;&gt;"",DATE(2026,12,0)&gt;=Q408,DATE(2026,11,1)&lt;=R408),"█","")</f>
        <v/>
      </c>
      <c r="P408" s="34" t="str">
        <f>IF(AND(Q408&lt;&gt;"",R408&lt;&gt;"",DATE(2026,12,31)&gt;=Q408,DATE(2026,12,1)&lt;=R408),"█","")</f>
        <v/>
      </c>
      <c r="Q408" s="7" t="str">
        <f>IF('Release Calendar'!I408&lt;&gt;"",'Release Calendar'!I408,"")</f>
        <v/>
      </c>
      <c r="R408" s="7" t="str">
        <f>IF('Release Calendar'!J408&lt;&gt;"",'Release Calendar'!J408,"")</f>
        <v/>
      </c>
    </row>
    <row r="409" spans="1:18" ht="20.100000000000001" customHeight="1">
      <c r="A409" s="14">
        <v>405</v>
      </c>
      <c r="B409" s="28" t="str">
        <f>IF('Release Calendar'!B409&lt;&gt;"",'Release Calendar'!B409,"")</f>
        <v/>
      </c>
      <c r="C409" s="29" t="str">
        <f>IF('Release Calendar'!K409&lt;&gt;"",'Release Calendar'!K409,"")</f>
        <v/>
      </c>
      <c r="D409" s="29" t="str">
        <f>IF('Release Calendar'!M409&lt;&gt;"",'Release Calendar'!M409,"")</f>
        <v/>
      </c>
      <c r="E409" s="30" t="str">
        <f>IF(AND(Q409&lt;&gt;"",R409&lt;&gt;"",DATE(2026,2,0)&gt;=Q409,DATE(2026,1,1)&lt;=R409),"█","")</f>
        <v/>
      </c>
      <c r="F409" s="30" t="str">
        <f>IF(AND(Q409&lt;&gt;"",R409&lt;&gt;"",DATE(2026,3,0)&gt;=Q409,DATE(2026,2,1)&lt;=R409),"█","")</f>
        <v/>
      </c>
      <c r="G409" s="30" t="str">
        <f>IF(AND(Q409&lt;&gt;"",R409&lt;&gt;"",DATE(2026,4,0)&gt;=Q409,DATE(2026,3,1)&lt;=R409),"█","")</f>
        <v/>
      </c>
      <c r="H409" s="30" t="str">
        <f>IF(AND(Q409&lt;&gt;"",R409&lt;&gt;"",DATE(2026,5,0)&gt;=Q409,DATE(2026,4,1)&lt;=R409),"█","")</f>
        <v/>
      </c>
      <c r="I409" s="30" t="str">
        <f>IF(AND(Q409&lt;&gt;"",R409&lt;&gt;"",DATE(2026,6,0)&gt;=Q409,DATE(2026,5,1)&lt;=R409),"█","")</f>
        <v/>
      </c>
      <c r="J409" s="30" t="str">
        <f>IF(AND(Q409&lt;&gt;"",R409&lt;&gt;"",DATE(2026,7,0)&gt;=Q409,DATE(2026,6,1)&lt;=R409),"█","")</f>
        <v/>
      </c>
      <c r="K409" s="30" t="str">
        <f>IF(AND(Q409&lt;&gt;"",R409&lt;&gt;"",DATE(2026,8,0)&gt;=Q409,DATE(2026,7,1)&lt;=R409),"█","")</f>
        <v/>
      </c>
      <c r="L409" s="30" t="str">
        <f>IF(AND(Q409&lt;&gt;"",R409&lt;&gt;"",DATE(2026,9,0)&gt;=Q409,DATE(2026,8,1)&lt;=R409),"█","")</f>
        <v/>
      </c>
      <c r="M409" s="30" t="str">
        <f>IF(AND(Q409&lt;&gt;"",R409&lt;&gt;"",DATE(2026,10,0)&gt;=Q409,DATE(2026,9,1)&lt;=R409),"█","")</f>
        <v/>
      </c>
      <c r="N409" s="30" t="str">
        <f>IF(AND(Q409&lt;&gt;"",R409&lt;&gt;"",DATE(2026,11,0)&gt;=Q409,DATE(2026,10,1)&lt;=R409),"█","")</f>
        <v/>
      </c>
      <c r="O409" s="30" t="str">
        <f>IF(AND(Q409&lt;&gt;"",R409&lt;&gt;"",DATE(2026,12,0)&gt;=Q409,DATE(2026,11,1)&lt;=R409),"█","")</f>
        <v/>
      </c>
      <c r="P409" s="30" t="str">
        <f>IF(AND(Q409&lt;&gt;"",R409&lt;&gt;"",DATE(2026,12,31)&gt;=Q409,DATE(2026,12,1)&lt;=R409),"█","")</f>
        <v/>
      </c>
      <c r="Q409" s="7" t="str">
        <f>IF('Release Calendar'!I409&lt;&gt;"",'Release Calendar'!I409,"")</f>
        <v/>
      </c>
      <c r="R409" s="7" t="str">
        <f>IF('Release Calendar'!J409&lt;&gt;"",'Release Calendar'!J409,"")</f>
        <v/>
      </c>
    </row>
    <row r="410" spans="1:18" ht="20.100000000000001" customHeight="1">
      <c r="A410" s="31">
        <v>406</v>
      </c>
      <c r="B410" s="32" t="str">
        <f>IF('Release Calendar'!B410&lt;&gt;"",'Release Calendar'!B410,"")</f>
        <v/>
      </c>
      <c r="C410" s="33" t="str">
        <f>IF('Release Calendar'!K410&lt;&gt;"",'Release Calendar'!K410,"")</f>
        <v/>
      </c>
      <c r="D410" s="33" t="str">
        <f>IF('Release Calendar'!M410&lt;&gt;"",'Release Calendar'!M410,"")</f>
        <v/>
      </c>
      <c r="E410" s="34" t="str">
        <f>IF(AND(Q410&lt;&gt;"",R410&lt;&gt;"",DATE(2026,2,0)&gt;=Q410,DATE(2026,1,1)&lt;=R410),"█","")</f>
        <v/>
      </c>
      <c r="F410" s="34" t="str">
        <f>IF(AND(Q410&lt;&gt;"",R410&lt;&gt;"",DATE(2026,3,0)&gt;=Q410,DATE(2026,2,1)&lt;=R410),"█","")</f>
        <v/>
      </c>
      <c r="G410" s="34" t="str">
        <f>IF(AND(Q410&lt;&gt;"",R410&lt;&gt;"",DATE(2026,4,0)&gt;=Q410,DATE(2026,3,1)&lt;=R410),"█","")</f>
        <v/>
      </c>
      <c r="H410" s="34" t="str">
        <f>IF(AND(Q410&lt;&gt;"",R410&lt;&gt;"",DATE(2026,5,0)&gt;=Q410,DATE(2026,4,1)&lt;=R410),"█","")</f>
        <v/>
      </c>
      <c r="I410" s="34" t="str">
        <f>IF(AND(Q410&lt;&gt;"",R410&lt;&gt;"",DATE(2026,6,0)&gt;=Q410,DATE(2026,5,1)&lt;=R410),"█","")</f>
        <v/>
      </c>
      <c r="J410" s="34" t="str">
        <f>IF(AND(Q410&lt;&gt;"",R410&lt;&gt;"",DATE(2026,7,0)&gt;=Q410,DATE(2026,6,1)&lt;=R410),"█","")</f>
        <v/>
      </c>
      <c r="K410" s="34" t="str">
        <f>IF(AND(Q410&lt;&gt;"",R410&lt;&gt;"",DATE(2026,8,0)&gt;=Q410,DATE(2026,7,1)&lt;=R410),"█","")</f>
        <v/>
      </c>
      <c r="L410" s="34" t="str">
        <f>IF(AND(Q410&lt;&gt;"",R410&lt;&gt;"",DATE(2026,9,0)&gt;=Q410,DATE(2026,8,1)&lt;=R410),"█","")</f>
        <v/>
      </c>
      <c r="M410" s="34" t="str">
        <f>IF(AND(Q410&lt;&gt;"",R410&lt;&gt;"",DATE(2026,10,0)&gt;=Q410,DATE(2026,9,1)&lt;=R410),"█","")</f>
        <v/>
      </c>
      <c r="N410" s="34" t="str">
        <f>IF(AND(Q410&lt;&gt;"",R410&lt;&gt;"",DATE(2026,11,0)&gt;=Q410,DATE(2026,10,1)&lt;=R410),"█","")</f>
        <v/>
      </c>
      <c r="O410" s="34" t="str">
        <f>IF(AND(Q410&lt;&gt;"",R410&lt;&gt;"",DATE(2026,12,0)&gt;=Q410,DATE(2026,11,1)&lt;=R410),"█","")</f>
        <v/>
      </c>
      <c r="P410" s="34" t="str">
        <f>IF(AND(Q410&lt;&gt;"",R410&lt;&gt;"",DATE(2026,12,31)&gt;=Q410,DATE(2026,12,1)&lt;=R410),"█","")</f>
        <v/>
      </c>
      <c r="Q410" s="7" t="str">
        <f>IF('Release Calendar'!I410&lt;&gt;"",'Release Calendar'!I410,"")</f>
        <v/>
      </c>
      <c r="R410" s="7" t="str">
        <f>IF('Release Calendar'!J410&lt;&gt;"",'Release Calendar'!J410,"")</f>
        <v/>
      </c>
    </row>
    <row r="411" spans="1:18" ht="20.100000000000001" customHeight="1">
      <c r="A411" s="14">
        <v>407</v>
      </c>
      <c r="B411" s="28" t="str">
        <f>IF('Release Calendar'!B411&lt;&gt;"",'Release Calendar'!B411,"")</f>
        <v/>
      </c>
      <c r="C411" s="29" t="str">
        <f>IF('Release Calendar'!K411&lt;&gt;"",'Release Calendar'!K411,"")</f>
        <v/>
      </c>
      <c r="D411" s="29" t="str">
        <f>IF('Release Calendar'!M411&lt;&gt;"",'Release Calendar'!M411,"")</f>
        <v/>
      </c>
      <c r="E411" s="30" t="str">
        <f>IF(AND(Q411&lt;&gt;"",R411&lt;&gt;"",DATE(2026,2,0)&gt;=Q411,DATE(2026,1,1)&lt;=R411),"█","")</f>
        <v/>
      </c>
      <c r="F411" s="30" t="str">
        <f>IF(AND(Q411&lt;&gt;"",R411&lt;&gt;"",DATE(2026,3,0)&gt;=Q411,DATE(2026,2,1)&lt;=R411),"█","")</f>
        <v/>
      </c>
      <c r="G411" s="30" t="str">
        <f>IF(AND(Q411&lt;&gt;"",R411&lt;&gt;"",DATE(2026,4,0)&gt;=Q411,DATE(2026,3,1)&lt;=R411),"█","")</f>
        <v/>
      </c>
      <c r="H411" s="30" t="str">
        <f>IF(AND(Q411&lt;&gt;"",R411&lt;&gt;"",DATE(2026,5,0)&gt;=Q411,DATE(2026,4,1)&lt;=R411),"█","")</f>
        <v/>
      </c>
      <c r="I411" s="30" t="str">
        <f>IF(AND(Q411&lt;&gt;"",R411&lt;&gt;"",DATE(2026,6,0)&gt;=Q411,DATE(2026,5,1)&lt;=R411),"█","")</f>
        <v/>
      </c>
      <c r="J411" s="30" t="str">
        <f>IF(AND(Q411&lt;&gt;"",R411&lt;&gt;"",DATE(2026,7,0)&gt;=Q411,DATE(2026,6,1)&lt;=R411),"█","")</f>
        <v/>
      </c>
      <c r="K411" s="30" t="str">
        <f>IF(AND(Q411&lt;&gt;"",R411&lt;&gt;"",DATE(2026,8,0)&gt;=Q411,DATE(2026,7,1)&lt;=R411),"█","")</f>
        <v/>
      </c>
      <c r="L411" s="30" t="str">
        <f>IF(AND(Q411&lt;&gt;"",R411&lt;&gt;"",DATE(2026,9,0)&gt;=Q411,DATE(2026,8,1)&lt;=R411),"█","")</f>
        <v/>
      </c>
      <c r="M411" s="30" t="str">
        <f>IF(AND(Q411&lt;&gt;"",R411&lt;&gt;"",DATE(2026,10,0)&gt;=Q411,DATE(2026,9,1)&lt;=R411),"█","")</f>
        <v/>
      </c>
      <c r="N411" s="30" t="str">
        <f>IF(AND(Q411&lt;&gt;"",R411&lt;&gt;"",DATE(2026,11,0)&gt;=Q411,DATE(2026,10,1)&lt;=R411),"█","")</f>
        <v/>
      </c>
      <c r="O411" s="30" t="str">
        <f>IF(AND(Q411&lt;&gt;"",R411&lt;&gt;"",DATE(2026,12,0)&gt;=Q411,DATE(2026,11,1)&lt;=R411),"█","")</f>
        <v/>
      </c>
      <c r="P411" s="30" t="str">
        <f>IF(AND(Q411&lt;&gt;"",R411&lt;&gt;"",DATE(2026,12,31)&gt;=Q411,DATE(2026,12,1)&lt;=R411),"█","")</f>
        <v/>
      </c>
      <c r="Q411" s="7" t="str">
        <f>IF('Release Calendar'!I411&lt;&gt;"",'Release Calendar'!I411,"")</f>
        <v/>
      </c>
      <c r="R411" s="7" t="str">
        <f>IF('Release Calendar'!J411&lt;&gt;"",'Release Calendar'!J411,"")</f>
        <v/>
      </c>
    </row>
    <row r="412" spans="1:18" ht="20.100000000000001" customHeight="1">
      <c r="A412" s="31">
        <v>408</v>
      </c>
      <c r="B412" s="32" t="str">
        <f>IF('Release Calendar'!B412&lt;&gt;"",'Release Calendar'!B412,"")</f>
        <v/>
      </c>
      <c r="C412" s="33" t="str">
        <f>IF('Release Calendar'!K412&lt;&gt;"",'Release Calendar'!K412,"")</f>
        <v/>
      </c>
      <c r="D412" s="33" t="str">
        <f>IF('Release Calendar'!M412&lt;&gt;"",'Release Calendar'!M412,"")</f>
        <v/>
      </c>
      <c r="E412" s="34" t="str">
        <f>IF(AND(Q412&lt;&gt;"",R412&lt;&gt;"",DATE(2026,2,0)&gt;=Q412,DATE(2026,1,1)&lt;=R412),"█","")</f>
        <v/>
      </c>
      <c r="F412" s="34" t="str">
        <f>IF(AND(Q412&lt;&gt;"",R412&lt;&gt;"",DATE(2026,3,0)&gt;=Q412,DATE(2026,2,1)&lt;=R412),"█","")</f>
        <v/>
      </c>
      <c r="G412" s="34" t="str">
        <f>IF(AND(Q412&lt;&gt;"",R412&lt;&gt;"",DATE(2026,4,0)&gt;=Q412,DATE(2026,3,1)&lt;=R412),"█","")</f>
        <v/>
      </c>
      <c r="H412" s="34" t="str">
        <f>IF(AND(Q412&lt;&gt;"",R412&lt;&gt;"",DATE(2026,5,0)&gt;=Q412,DATE(2026,4,1)&lt;=R412),"█","")</f>
        <v/>
      </c>
      <c r="I412" s="34" t="str">
        <f>IF(AND(Q412&lt;&gt;"",R412&lt;&gt;"",DATE(2026,6,0)&gt;=Q412,DATE(2026,5,1)&lt;=R412),"█","")</f>
        <v/>
      </c>
      <c r="J412" s="34" t="str">
        <f>IF(AND(Q412&lt;&gt;"",R412&lt;&gt;"",DATE(2026,7,0)&gt;=Q412,DATE(2026,6,1)&lt;=R412),"█","")</f>
        <v/>
      </c>
      <c r="K412" s="34" t="str">
        <f>IF(AND(Q412&lt;&gt;"",R412&lt;&gt;"",DATE(2026,8,0)&gt;=Q412,DATE(2026,7,1)&lt;=R412),"█","")</f>
        <v/>
      </c>
      <c r="L412" s="34" t="str">
        <f>IF(AND(Q412&lt;&gt;"",R412&lt;&gt;"",DATE(2026,9,0)&gt;=Q412,DATE(2026,8,1)&lt;=R412),"█","")</f>
        <v/>
      </c>
      <c r="M412" s="34" t="str">
        <f>IF(AND(Q412&lt;&gt;"",R412&lt;&gt;"",DATE(2026,10,0)&gt;=Q412,DATE(2026,9,1)&lt;=R412),"█","")</f>
        <v/>
      </c>
      <c r="N412" s="34" t="str">
        <f>IF(AND(Q412&lt;&gt;"",R412&lt;&gt;"",DATE(2026,11,0)&gt;=Q412,DATE(2026,10,1)&lt;=R412),"█","")</f>
        <v/>
      </c>
      <c r="O412" s="34" t="str">
        <f>IF(AND(Q412&lt;&gt;"",R412&lt;&gt;"",DATE(2026,12,0)&gt;=Q412,DATE(2026,11,1)&lt;=R412),"█","")</f>
        <v/>
      </c>
      <c r="P412" s="34" t="str">
        <f>IF(AND(Q412&lt;&gt;"",R412&lt;&gt;"",DATE(2026,12,31)&gt;=Q412,DATE(2026,12,1)&lt;=R412),"█","")</f>
        <v/>
      </c>
      <c r="Q412" s="7" t="str">
        <f>IF('Release Calendar'!I412&lt;&gt;"",'Release Calendar'!I412,"")</f>
        <v/>
      </c>
      <c r="R412" s="7" t="str">
        <f>IF('Release Calendar'!J412&lt;&gt;"",'Release Calendar'!J412,"")</f>
        <v/>
      </c>
    </row>
    <row r="413" spans="1:18" ht="20.100000000000001" customHeight="1">
      <c r="A413" s="14">
        <v>409</v>
      </c>
      <c r="B413" s="28" t="str">
        <f>IF('Release Calendar'!B413&lt;&gt;"",'Release Calendar'!B413,"")</f>
        <v/>
      </c>
      <c r="C413" s="29" t="str">
        <f>IF('Release Calendar'!K413&lt;&gt;"",'Release Calendar'!K413,"")</f>
        <v/>
      </c>
      <c r="D413" s="29" t="str">
        <f>IF('Release Calendar'!M413&lt;&gt;"",'Release Calendar'!M413,"")</f>
        <v/>
      </c>
      <c r="E413" s="30" t="str">
        <f>IF(AND(Q413&lt;&gt;"",R413&lt;&gt;"",DATE(2026,2,0)&gt;=Q413,DATE(2026,1,1)&lt;=R413),"█","")</f>
        <v/>
      </c>
      <c r="F413" s="30" t="str">
        <f>IF(AND(Q413&lt;&gt;"",R413&lt;&gt;"",DATE(2026,3,0)&gt;=Q413,DATE(2026,2,1)&lt;=R413),"█","")</f>
        <v/>
      </c>
      <c r="G413" s="30" t="str">
        <f>IF(AND(Q413&lt;&gt;"",R413&lt;&gt;"",DATE(2026,4,0)&gt;=Q413,DATE(2026,3,1)&lt;=R413),"█","")</f>
        <v/>
      </c>
      <c r="H413" s="30" t="str">
        <f>IF(AND(Q413&lt;&gt;"",R413&lt;&gt;"",DATE(2026,5,0)&gt;=Q413,DATE(2026,4,1)&lt;=R413),"█","")</f>
        <v/>
      </c>
      <c r="I413" s="30" t="str">
        <f>IF(AND(Q413&lt;&gt;"",R413&lt;&gt;"",DATE(2026,6,0)&gt;=Q413,DATE(2026,5,1)&lt;=R413),"█","")</f>
        <v/>
      </c>
      <c r="J413" s="30" t="str">
        <f>IF(AND(Q413&lt;&gt;"",R413&lt;&gt;"",DATE(2026,7,0)&gt;=Q413,DATE(2026,6,1)&lt;=R413),"█","")</f>
        <v/>
      </c>
      <c r="K413" s="30" t="str">
        <f>IF(AND(Q413&lt;&gt;"",R413&lt;&gt;"",DATE(2026,8,0)&gt;=Q413,DATE(2026,7,1)&lt;=R413),"█","")</f>
        <v/>
      </c>
      <c r="L413" s="30" t="str">
        <f>IF(AND(Q413&lt;&gt;"",R413&lt;&gt;"",DATE(2026,9,0)&gt;=Q413,DATE(2026,8,1)&lt;=R413),"█","")</f>
        <v/>
      </c>
      <c r="M413" s="30" t="str">
        <f>IF(AND(Q413&lt;&gt;"",R413&lt;&gt;"",DATE(2026,10,0)&gt;=Q413,DATE(2026,9,1)&lt;=R413),"█","")</f>
        <v/>
      </c>
      <c r="N413" s="30" t="str">
        <f>IF(AND(Q413&lt;&gt;"",R413&lt;&gt;"",DATE(2026,11,0)&gt;=Q413,DATE(2026,10,1)&lt;=R413),"█","")</f>
        <v/>
      </c>
      <c r="O413" s="30" t="str">
        <f>IF(AND(Q413&lt;&gt;"",R413&lt;&gt;"",DATE(2026,12,0)&gt;=Q413,DATE(2026,11,1)&lt;=R413),"█","")</f>
        <v/>
      </c>
      <c r="P413" s="30" t="str">
        <f>IF(AND(Q413&lt;&gt;"",R413&lt;&gt;"",DATE(2026,12,31)&gt;=Q413,DATE(2026,12,1)&lt;=R413),"█","")</f>
        <v/>
      </c>
      <c r="Q413" s="7" t="str">
        <f>IF('Release Calendar'!I413&lt;&gt;"",'Release Calendar'!I413,"")</f>
        <v/>
      </c>
      <c r="R413" s="7" t="str">
        <f>IF('Release Calendar'!J413&lt;&gt;"",'Release Calendar'!J413,"")</f>
        <v/>
      </c>
    </row>
    <row r="414" spans="1:18" ht="20.100000000000001" customHeight="1">
      <c r="A414" s="31">
        <v>410</v>
      </c>
      <c r="B414" s="32" t="str">
        <f>IF('Release Calendar'!B414&lt;&gt;"",'Release Calendar'!B414,"")</f>
        <v/>
      </c>
      <c r="C414" s="33" t="str">
        <f>IF('Release Calendar'!K414&lt;&gt;"",'Release Calendar'!K414,"")</f>
        <v/>
      </c>
      <c r="D414" s="33" t="str">
        <f>IF('Release Calendar'!M414&lt;&gt;"",'Release Calendar'!M414,"")</f>
        <v/>
      </c>
      <c r="E414" s="34" t="str">
        <f>IF(AND(Q414&lt;&gt;"",R414&lt;&gt;"",DATE(2026,2,0)&gt;=Q414,DATE(2026,1,1)&lt;=R414),"█","")</f>
        <v/>
      </c>
      <c r="F414" s="34" t="str">
        <f>IF(AND(Q414&lt;&gt;"",R414&lt;&gt;"",DATE(2026,3,0)&gt;=Q414,DATE(2026,2,1)&lt;=R414),"█","")</f>
        <v/>
      </c>
      <c r="G414" s="34" t="str">
        <f>IF(AND(Q414&lt;&gt;"",R414&lt;&gt;"",DATE(2026,4,0)&gt;=Q414,DATE(2026,3,1)&lt;=R414),"█","")</f>
        <v/>
      </c>
      <c r="H414" s="34" t="str">
        <f>IF(AND(Q414&lt;&gt;"",R414&lt;&gt;"",DATE(2026,5,0)&gt;=Q414,DATE(2026,4,1)&lt;=R414),"█","")</f>
        <v/>
      </c>
      <c r="I414" s="34" t="str">
        <f>IF(AND(Q414&lt;&gt;"",R414&lt;&gt;"",DATE(2026,6,0)&gt;=Q414,DATE(2026,5,1)&lt;=R414),"█","")</f>
        <v/>
      </c>
      <c r="J414" s="34" t="str">
        <f>IF(AND(Q414&lt;&gt;"",R414&lt;&gt;"",DATE(2026,7,0)&gt;=Q414,DATE(2026,6,1)&lt;=R414),"█","")</f>
        <v/>
      </c>
      <c r="K414" s="34" t="str">
        <f>IF(AND(Q414&lt;&gt;"",R414&lt;&gt;"",DATE(2026,8,0)&gt;=Q414,DATE(2026,7,1)&lt;=R414),"█","")</f>
        <v/>
      </c>
      <c r="L414" s="34" t="str">
        <f>IF(AND(Q414&lt;&gt;"",R414&lt;&gt;"",DATE(2026,9,0)&gt;=Q414,DATE(2026,8,1)&lt;=R414),"█","")</f>
        <v/>
      </c>
      <c r="M414" s="34" t="str">
        <f>IF(AND(Q414&lt;&gt;"",R414&lt;&gt;"",DATE(2026,10,0)&gt;=Q414,DATE(2026,9,1)&lt;=R414),"█","")</f>
        <v/>
      </c>
      <c r="N414" s="34" t="str">
        <f>IF(AND(Q414&lt;&gt;"",R414&lt;&gt;"",DATE(2026,11,0)&gt;=Q414,DATE(2026,10,1)&lt;=R414),"█","")</f>
        <v/>
      </c>
      <c r="O414" s="34" t="str">
        <f>IF(AND(Q414&lt;&gt;"",R414&lt;&gt;"",DATE(2026,12,0)&gt;=Q414,DATE(2026,11,1)&lt;=R414),"█","")</f>
        <v/>
      </c>
      <c r="P414" s="34" t="str">
        <f>IF(AND(Q414&lt;&gt;"",R414&lt;&gt;"",DATE(2026,12,31)&gt;=Q414,DATE(2026,12,1)&lt;=R414),"█","")</f>
        <v/>
      </c>
      <c r="Q414" s="7" t="str">
        <f>IF('Release Calendar'!I414&lt;&gt;"",'Release Calendar'!I414,"")</f>
        <v/>
      </c>
      <c r="R414" s="7" t="str">
        <f>IF('Release Calendar'!J414&lt;&gt;"",'Release Calendar'!J414,"")</f>
        <v/>
      </c>
    </row>
    <row r="415" spans="1:18" ht="20.100000000000001" customHeight="1">
      <c r="A415" s="14">
        <v>411</v>
      </c>
      <c r="B415" s="28" t="str">
        <f>IF('Release Calendar'!B415&lt;&gt;"",'Release Calendar'!B415,"")</f>
        <v/>
      </c>
      <c r="C415" s="29" t="str">
        <f>IF('Release Calendar'!K415&lt;&gt;"",'Release Calendar'!K415,"")</f>
        <v/>
      </c>
      <c r="D415" s="29" t="str">
        <f>IF('Release Calendar'!M415&lt;&gt;"",'Release Calendar'!M415,"")</f>
        <v/>
      </c>
      <c r="E415" s="30" t="str">
        <f>IF(AND(Q415&lt;&gt;"",R415&lt;&gt;"",DATE(2026,2,0)&gt;=Q415,DATE(2026,1,1)&lt;=R415),"█","")</f>
        <v/>
      </c>
      <c r="F415" s="30" t="str">
        <f>IF(AND(Q415&lt;&gt;"",R415&lt;&gt;"",DATE(2026,3,0)&gt;=Q415,DATE(2026,2,1)&lt;=R415),"█","")</f>
        <v/>
      </c>
      <c r="G415" s="30" t="str">
        <f>IF(AND(Q415&lt;&gt;"",R415&lt;&gt;"",DATE(2026,4,0)&gt;=Q415,DATE(2026,3,1)&lt;=R415),"█","")</f>
        <v/>
      </c>
      <c r="H415" s="30" t="str">
        <f>IF(AND(Q415&lt;&gt;"",R415&lt;&gt;"",DATE(2026,5,0)&gt;=Q415,DATE(2026,4,1)&lt;=R415),"█","")</f>
        <v/>
      </c>
      <c r="I415" s="30" t="str">
        <f>IF(AND(Q415&lt;&gt;"",R415&lt;&gt;"",DATE(2026,6,0)&gt;=Q415,DATE(2026,5,1)&lt;=R415),"█","")</f>
        <v/>
      </c>
      <c r="J415" s="30" t="str">
        <f>IF(AND(Q415&lt;&gt;"",R415&lt;&gt;"",DATE(2026,7,0)&gt;=Q415,DATE(2026,6,1)&lt;=R415),"█","")</f>
        <v/>
      </c>
      <c r="K415" s="30" t="str">
        <f>IF(AND(Q415&lt;&gt;"",R415&lt;&gt;"",DATE(2026,8,0)&gt;=Q415,DATE(2026,7,1)&lt;=R415),"█","")</f>
        <v/>
      </c>
      <c r="L415" s="30" t="str">
        <f>IF(AND(Q415&lt;&gt;"",R415&lt;&gt;"",DATE(2026,9,0)&gt;=Q415,DATE(2026,8,1)&lt;=R415),"█","")</f>
        <v/>
      </c>
      <c r="M415" s="30" t="str">
        <f>IF(AND(Q415&lt;&gt;"",R415&lt;&gt;"",DATE(2026,10,0)&gt;=Q415,DATE(2026,9,1)&lt;=R415),"█","")</f>
        <v/>
      </c>
      <c r="N415" s="30" t="str">
        <f>IF(AND(Q415&lt;&gt;"",R415&lt;&gt;"",DATE(2026,11,0)&gt;=Q415,DATE(2026,10,1)&lt;=R415),"█","")</f>
        <v/>
      </c>
      <c r="O415" s="30" t="str">
        <f>IF(AND(Q415&lt;&gt;"",R415&lt;&gt;"",DATE(2026,12,0)&gt;=Q415,DATE(2026,11,1)&lt;=R415),"█","")</f>
        <v/>
      </c>
      <c r="P415" s="30" t="str">
        <f>IF(AND(Q415&lt;&gt;"",R415&lt;&gt;"",DATE(2026,12,31)&gt;=Q415,DATE(2026,12,1)&lt;=R415),"█","")</f>
        <v/>
      </c>
      <c r="Q415" s="7" t="str">
        <f>IF('Release Calendar'!I415&lt;&gt;"",'Release Calendar'!I415,"")</f>
        <v/>
      </c>
      <c r="R415" s="7" t="str">
        <f>IF('Release Calendar'!J415&lt;&gt;"",'Release Calendar'!J415,"")</f>
        <v/>
      </c>
    </row>
    <row r="416" spans="1:18" ht="20.100000000000001" customHeight="1">
      <c r="A416" s="31">
        <v>412</v>
      </c>
      <c r="B416" s="32" t="str">
        <f>IF('Release Calendar'!B416&lt;&gt;"",'Release Calendar'!B416,"")</f>
        <v/>
      </c>
      <c r="C416" s="33" t="str">
        <f>IF('Release Calendar'!K416&lt;&gt;"",'Release Calendar'!K416,"")</f>
        <v/>
      </c>
      <c r="D416" s="33" t="str">
        <f>IF('Release Calendar'!M416&lt;&gt;"",'Release Calendar'!M416,"")</f>
        <v/>
      </c>
      <c r="E416" s="34" t="str">
        <f>IF(AND(Q416&lt;&gt;"",R416&lt;&gt;"",DATE(2026,2,0)&gt;=Q416,DATE(2026,1,1)&lt;=R416),"█","")</f>
        <v/>
      </c>
      <c r="F416" s="34" t="str">
        <f>IF(AND(Q416&lt;&gt;"",R416&lt;&gt;"",DATE(2026,3,0)&gt;=Q416,DATE(2026,2,1)&lt;=R416),"█","")</f>
        <v/>
      </c>
      <c r="G416" s="34" t="str">
        <f>IF(AND(Q416&lt;&gt;"",R416&lt;&gt;"",DATE(2026,4,0)&gt;=Q416,DATE(2026,3,1)&lt;=R416),"█","")</f>
        <v/>
      </c>
      <c r="H416" s="34" t="str">
        <f>IF(AND(Q416&lt;&gt;"",R416&lt;&gt;"",DATE(2026,5,0)&gt;=Q416,DATE(2026,4,1)&lt;=R416),"█","")</f>
        <v/>
      </c>
      <c r="I416" s="34" t="str">
        <f>IF(AND(Q416&lt;&gt;"",R416&lt;&gt;"",DATE(2026,6,0)&gt;=Q416,DATE(2026,5,1)&lt;=R416),"█","")</f>
        <v/>
      </c>
      <c r="J416" s="34" t="str">
        <f>IF(AND(Q416&lt;&gt;"",R416&lt;&gt;"",DATE(2026,7,0)&gt;=Q416,DATE(2026,6,1)&lt;=R416),"█","")</f>
        <v/>
      </c>
      <c r="K416" s="34" t="str">
        <f>IF(AND(Q416&lt;&gt;"",R416&lt;&gt;"",DATE(2026,8,0)&gt;=Q416,DATE(2026,7,1)&lt;=R416),"█","")</f>
        <v/>
      </c>
      <c r="L416" s="34" t="str">
        <f>IF(AND(Q416&lt;&gt;"",R416&lt;&gt;"",DATE(2026,9,0)&gt;=Q416,DATE(2026,8,1)&lt;=R416),"█","")</f>
        <v/>
      </c>
      <c r="M416" s="34" t="str">
        <f>IF(AND(Q416&lt;&gt;"",R416&lt;&gt;"",DATE(2026,10,0)&gt;=Q416,DATE(2026,9,1)&lt;=R416),"█","")</f>
        <v/>
      </c>
      <c r="N416" s="34" t="str">
        <f>IF(AND(Q416&lt;&gt;"",R416&lt;&gt;"",DATE(2026,11,0)&gt;=Q416,DATE(2026,10,1)&lt;=R416),"█","")</f>
        <v/>
      </c>
      <c r="O416" s="34" t="str">
        <f>IF(AND(Q416&lt;&gt;"",R416&lt;&gt;"",DATE(2026,12,0)&gt;=Q416,DATE(2026,11,1)&lt;=R416),"█","")</f>
        <v/>
      </c>
      <c r="P416" s="34" t="str">
        <f>IF(AND(Q416&lt;&gt;"",R416&lt;&gt;"",DATE(2026,12,31)&gt;=Q416,DATE(2026,12,1)&lt;=R416),"█","")</f>
        <v/>
      </c>
      <c r="Q416" s="7" t="str">
        <f>IF('Release Calendar'!I416&lt;&gt;"",'Release Calendar'!I416,"")</f>
        <v/>
      </c>
      <c r="R416" s="7" t="str">
        <f>IF('Release Calendar'!J416&lt;&gt;"",'Release Calendar'!J416,"")</f>
        <v/>
      </c>
    </row>
    <row r="417" spans="1:18" ht="20.100000000000001" customHeight="1">
      <c r="A417" s="14">
        <v>413</v>
      </c>
      <c r="B417" s="28" t="str">
        <f>IF('Release Calendar'!B417&lt;&gt;"",'Release Calendar'!B417,"")</f>
        <v/>
      </c>
      <c r="C417" s="29" t="str">
        <f>IF('Release Calendar'!K417&lt;&gt;"",'Release Calendar'!K417,"")</f>
        <v/>
      </c>
      <c r="D417" s="29" t="str">
        <f>IF('Release Calendar'!M417&lt;&gt;"",'Release Calendar'!M417,"")</f>
        <v/>
      </c>
      <c r="E417" s="30" t="str">
        <f>IF(AND(Q417&lt;&gt;"",R417&lt;&gt;"",DATE(2026,2,0)&gt;=Q417,DATE(2026,1,1)&lt;=R417),"█","")</f>
        <v/>
      </c>
      <c r="F417" s="30" t="str">
        <f>IF(AND(Q417&lt;&gt;"",R417&lt;&gt;"",DATE(2026,3,0)&gt;=Q417,DATE(2026,2,1)&lt;=R417),"█","")</f>
        <v/>
      </c>
      <c r="G417" s="30" t="str">
        <f>IF(AND(Q417&lt;&gt;"",R417&lt;&gt;"",DATE(2026,4,0)&gt;=Q417,DATE(2026,3,1)&lt;=R417),"█","")</f>
        <v/>
      </c>
      <c r="H417" s="30" t="str">
        <f>IF(AND(Q417&lt;&gt;"",R417&lt;&gt;"",DATE(2026,5,0)&gt;=Q417,DATE(2026,4,1)&lt;=R417),"█","")</f>
        <v/>
      </c>
      <c r="I417" s="30" t="str">
        <f>IF(AND(Q417&lt;&gt;"",R417&lt;&gt;"",DATE(2026,6,0)&gt;=Q417,DATE(2026,5,1)&lt;=R417),"█","")</f>
        <v/>
      </c>
      <c r="J417" s="30" t="str">
        <f>IF(AND(Q417&lt;&gt;"",R417&lt;&gt;"",DATE(2026,7,0)&gt;=Q417,DATE(2026,6,1)&lt;=R417),"█","")</f>
        <v/>
      </c>
      <c r="K417" s="30" t="str">
        <f>IF(AND(Q417&lt;&gt;"",R417&lt;&gt;"",DATE(2026,8,0)&gt;=Q417,DATE(2026,7,1)&lt;=R417),"█","")</f>
        <v/>
      </c>
      <c r="L417" s="30" t="str">
        <f>IF(AND(Q417&lt;&gt;"",R417&lt;&gt;"",DATE(2026,9,0)&gt;=Q417,DATE(2026,8,1)&lt;=R417),"█","")</f>
        <v/>
      </c>
      <c r="M417" s="30" t="str">
        <f>IF(AND(Q417&lt;&gt;"",R417&lt;&gt;"",DATE(2026,10,0)&gt;=Q417,DATE(2026,9,1)&lt;=R417),"█","")</f>
        <v/>
      </c>
      <c r="N417" s="30" t="str">
        <f>IF(AND(Q417&lt;&gt;"",R417&lt;&gt;"",DATE(2026,11,0)&gt;=Q417,DATE(2026,10,1)&lt;=R417),"█","")</f>
        <v/>
      </c>
      <c r="O417" s="30" t="str">
        <f>IF(AND(Q417&lt;&gt;"",R417&lt;&gt;"",DATE(2026,12,0)&gt;=Q417,DATE(2026,11,1)&lt;=R417),"█","")</f>
        <v/>
      </c>
      <c r="P417" s="30" t="str">
        <f>IF(AND(Q417&lt;&gt;"",R417&lt;&gt;"",DATE(2026,12,31)&gt;=Q417,DATE(2026,12,1)&lt;=R417),"█","")</f>
        <v/>
      </c>
      <c r="Q417" s="7" t="str">
        <f>IF('Release Calendar'!I417&lt;&gt;"",'Release Calendar'!I417,"")</f>
        <v/>
      </c>
      <c r="R417" s="7" t="str">
        <f>IF('Release Calendar'!J417&lt;&gt;"",'Release Calendar'!J417,"")</f>
        <v/>
      </c>
    </row>
    <row r="418" spans="1:18" ht="20.100000000000001" customHeight="1">
      <c r="A418" s="31">
        <v>414</v>
      </c>
      <c r="B418" s="32" t="str">
        <f>IF('Release Calendar'!B418&lt;&gt;"",'Release Calendar'!B418,"")</f>
        <v/>
      </c>
      <c r="C418" s="33" t="str">
        <f>IF('Release Calendar'!K418&lt;&gt;"",'Release Calendar'!K418,"")</f>
        <v/>
      </c>
      <c r="D418" s="33" t="str">
        <f>IF('Release Calendar'!M418&lt;&gt;"",'Release Calendar'!M418,"")</f>
        <v/>
      </c>
      <c r="E418" s="34" t="str">
        <f>IF(AND(Q418&lt;&gt;"",R418&lt;&gt;"",DATE(2026,2,0)&gt;=Q418,DATE(2026,1,1)&lt;=R418),"█","")</f>
        <v/>
      </c>
      <c r="F418" s="34" t="str">
        <f>IF(AND(Q418&lt;&gt;"",R418&lt;&gt;"",DATE(2026,3,0)&gt;=Q418,DATE(2026,2,1)&lt;=R418),"█","")</f>
        <v/>
      </c>
      <c r="G418" s="34" t="str">
        <f>IF(AND(Q418&lt;&gt;"",R418&lt;&gt;"",DATE(2026,4,0)&gt;=Q418,DATE(2026,3,1)&lt;=R418),"█","")</f>
        <v/>
      </c>
      <c r="H418" s="34" t="str">
        <f>IF(AND(Q418&lt;&gt;"",R418&lt;&gt;"",DATE(2026,5,0)&gt;=Q418,DATE(2026,4,1)&lt;=R418),"█","")</f>
        <v/>
      </c>
      <c r="I418" s="34" t="str">
        <f>IF(AND(Q418&lt;&gt;"",R418&lt;&gt;"",DATE(2026,6,0)&gt;=Q418,DATE(2026,5,1)&lt;=R418),"█","")</f>
        <v/>
      </c>
      <c r="J418" s="34" t="str">
        <f>IF(AND(Q418&lt;&gt;"",R418&lt;&gt;"",DATE(2026,7,0)&gt;=Q418,DATE(2026,6,1)&lt;=R418),"█","")</f>
        <v/>
      </c>
      <c r="K418" s="34" t="str">
        <f>IF(AND(Q418&lt;&gt;"",R418&lt;&gt;"",DATE(2026,8,0)&gt;=Q418,DATE(2026,7,1)&lt;=R418),"█","")</f>
        <v/>
      </c>
      <c r="L418" s="34" t="str">
        <f>IF(AND(Q418&lt;&gt;"",R418&lt;&gt;"",DATE(2026,9,0)&gt;=Q418,DATE(2026,8,1)&lt;=R418),"█","")</f>
        <v/>
      </c>
      <c r="M418" s="34" t="str">
        <f>IF(AND(Q418&lt;&gt;"",R418&lt;&gt;"",DATE(2026,10,0)&gt;=Q418,DATE(2026,9,1)&lt;=R418),"█","")</f>
        <v/>
      </c>
      <c r="N418" s="34" t="str">
        <f>IF(AND(Q418&lt;&gt;"",R418&lt;&gt;"",DATE(2026,11,0)&gt;=Q418,DATE(2026,10,1)&lt;=R418),"█","")</f>
        <v/>
      </c>
      <c r="O418" s="34" t="str">
        <f>IF(AND(Q418&lt;&gt;"",R418&lt;&gt;"",DATE(2026,12,0)&gt;=Q418,DATE(2026,11,1)&lt;=R418),"█","")</f>
        <v/>
      </c>
      <c r="P418" s="34" t="str">
        <f>IF(AND(Q418&lt;&gt;"",R418&lt;&gt;"",DATE(2026,12,31)&gt;=Q418,DATE(2026,12,1)&lt;=R418),"█","")</f>
        <v/>
      </c>
      <c r="Q418" s="7" t="str">
        <f>IF('Release Calendar'!I418&lt;&gt;"",'Release Calendar'!I418,"")</f>
        <v/>
      </c>
      <c r="R418" s="7" t="str">
        <f>IF('Release Calendar'!J418&lt;&gt;"",'Release Calendar'!J418,"")</f>
        <v/>
      </c>
    </row>
    <row r="419" spans="1:18" ht="20.100000000000001" customHeight="1">
      <c r="A419" s="14">
        <v>415</v>
      </c>
      <c r="B419" s="28" t="str">
        <f>IF('Release Calendar'!B419&lt;&gt;"",'Release Calendar'!B419,"")</f>
        <v/>
      </c>
      <c r="C419" s="29" t="str">
        <f>IF('Release Calendar'!K419&lt;&gt;"",'Release Calendar'!K419,"")</f>
        <v/>
      </c>
      <c r="D419" s="29" t="str">
        <f>IF('Release Calendar'!M419&lt;&gt;"",'Release Calendar'!M419,"")</f>
        <v/>
      </c>
      <c r="E419" s="30" t="str">
        <f>IF(AND(Q419&lt;&gt;"",R419&lt;&gt;"",DATE(2026,2,0)&gt;=Q419,DATE(2026,1,1)&lt;=R419),"█","")</f>
        <v/>
      </c>
      <c r="F419" s="30" t="str">
        <f>IF(AND(Q419&lt;&gt;"",R419&lt;&gt;"",DATE(2026,3,0)&gt;=Q419,DATE(2026,2,1)&lt;=R419),"█","")</f>
        <v/>
      </c>
      <c r="G419" s="30" t="str">
        <f>IF(AND(Q419&lt;&gt;"",R419&lt;&gt;"",DATE(2026,4,0)&gt;=Q419,DATE(2026,3,1)&lt;=R419),"█","")</f>
        <v/>
      </c>
      <c r="H419" s="30" t="str">
        <f>IF(AND(Q419&lt;&gt;"",R419&lt;&gt;"",DATE(2026,5,0)&gt;=Q419,DATE(2026,4,1)&lt;=R419),"█","")</f>
        <v/>
      </c>
      <c r="I419" s="30" t="str">
        <f>IF(AND(Q419&lt;&gt;"",R419&lt;&gt;"",DATE(2026,6,0)&gt;=Q419,DATE(2026,5,1)&lt;=R419),"█","")</f>
        <v/>
      </c>
      <c r="J419" s="30" t="str">
        <f>IF(AND(Q419&lt;&gt;"",R419&lt;&gt;"",DATE(2026,7,0)&gt;=Q419,DATE(2026,6,1)&lt;=R419),"█","")</f>
        <v/>
      </c>
      <c r="K419" s="30" t="str">
        <f>IF(AND(Q419&lt;&gt;"",R419&lt;&gt;"",DATE(2026,8,0)&gt;=Q419,DATE(2026,7,1)&lt;=R419),"█","")</f>
        <v/>
      </c>
      <c r="L419" s="30" t="str">
        <f>IF(AND(Q419&lt;&gt;"",R419&lt;&gt;"",DATE(2026,9,0)&gt;=Q419,DATE(2026,8,1)&lt;=R419),"█","")</f>
        <v/>
      </c>
      <c r="M419" s="30" t="str">
        <f>IF(AND(Q419&lt;&gt;"",R419&lt;&gt;"",DATE(2026,10,0)&gt;=Q419,DATE(2026,9,1)&lt;=R419),"█","")</f>
        <v/>
      </c>
      <c r="N419" s="30" t="str">
        <f>IF(AND(Q419&lt;&gt;"",R419&lt;&gt;"",DATE(2026,11,0)&gt;=Q419,DATE(2026,10,1)&lt;=R419),"█","")</f>
        <v/>
      </c>
      <c r="O419" s="30" t="str">
        <f>IF(AND(Q419&lt;&gt;"",R419&lt;&gt;"",DATE(2026,12,0)&gt;=Q419,DATE(2026,11,1)&lt;=R419),"█","")</f>
        <v/>
      </c>
      <c r="P419" s="30" t="str">
        <f>IF(AND(Q419&lt;&gt;"",R419&lt;&gt;"",DATE(2026,12,31)&gt;=Q419,DATE(2026,12,1)&lt;=R419),"█","")</f>
        <v/>
      </c>
      <c r="Q419" s="7" t="str">
        <f>IF('Release Calendar'!I419&lt;&gt;"",'Release Calendar'!I419,"")</f>
        <v/>
      </c>
      <c r="R419" s="7" t="str">
        <f>IF('Release Calendar'!J419&lt;&gt;"",'Release Calendar'!J419,"")</f>
        <v/>
      </c>
    </row>
    <row r="420" spans="1:18" ht="20.100000000000001" customHeight="1">
      <c r="A420" s="31">
        <v>416</v>
      </c>
      <c r="B420" s="32" t="str">
        <f>IF('Release Calendar'!B420&lt;&gt;"",'Release Calendar'!B420,"")</f>
        <v/>
      </c>
      <c r="C420" s="33" t="str">
        <f>IF('Release Calendar'!K420&lt;&gt;"",'Release Calendar'!K420,"")</f>
        <v/>
      </c>
      <c r="D420" s="33" t="str">
        <f>IF('Release Calendar'!M420&lt;&gt;"",'Release Calendar'!M420,"")</f>
        <v/>
      </c>
      <c r="E420" s="34" t="str">
        <f>IF(AND(Q420&lt;&gt;"",R420&lt;&gt;"",DATE(2026,2,0)&gt;=Q420,DATE(2026,1,1)&lt;=R420),"█","")</f>
        <v/>
      </c>
      <c r="F420" s="34" t="str">
        <f>IF(AND(Q420&lt;&gt;"",R420&lt;&gt;"",DATE(2026,3,0)&gt;=Q420,DATE(2026,2,1)&lt;=R420),"█","")</f>
        <v/>
      </c>
      <c r="G420" s="34" t="str">
        <f>IF(AND(Q420&lt;&gt;"",R420&lt;&gt;"",DATE(2026,4,0)&gt;=Q420,DATE(2026,3,1)&lt;=R420),"█","")</f>
        <v/>
      </c>
      <c r="H420" s="34" t="str">
        <f>IF(AND(Q420&lt;&gt;"",R420&lt;&gt;"",DATE(2026,5,0)&gt;=Q420,DATE(2026,4,1)&lt;=R420),"█","")</f>
        <v/>
      </c>
      <c r="I420" s="34" t="str">
        <f>IF(AND(Q420&lt;&gt;"",R420&lt;&gt;"",DATE(2026,6,0)&gt;=Q420,DATE(2026,5,1)&lt;=R420),"█","")</f>
        <v/>
      </c>
      <c r="J420" s="34" t="str">
        <f>IF(AND(Q420&lt;&gt;"",R420&lt;&gt;"",DATE(2026,7,0)&gt;=Q420,DATE(2026,6,1)&lt;=R420),"█","")</f>
        <v/>
      </c>
      <c r="K420" s="34" t="str">
        <f>IF(AND(Q420&lt;&gt;"",R420&lt;&gt;"",DATE(2026,8,0)&gt;=Q420,DATE(2026,7,1)&lt;=R420),"█","")</f>
        <v/>
      </c>
      <c r="L420" s="34" t="str">
        <f>IF(AND(Q420&lt;&gt;"",R420&lt;&gt;"",DATE(2026,9,0)&gt;=Q420,DATE(2026,8,1)&lt;=R420),"█","")</f>
        <v/>
      </c>
      <c r="M420" s="34" t="str">
        <f>IF(AND(Q420&lt;&gt;"",R420&lt;&gt;"",DATE(2026,10,0)&gt;=Q420,DATE(2026,9,1)&lt;=R420),"█","")</f>
        <v/>
      </c>
      <c r="N420" s="34" t="str">
        <f>IF(AND(Q420&lt;&gt;"",R420&lt;&gt;"",DATE(2026,11,0)&gt;=Q420,DATE(2026,10,1)&lt;=R420),"█","")</f>
        <v/>
      </c>
      <c r="O420" s="34" t="str">
        <f>IF(AND(Q420&lt;&gt;"",R420&lt;&gt;"",DATE(2026,12,0)&gt;=Q420,DATE(2026,11,1)&lt;=R420),"█","")</f>
        <v/>
      </c>
      <c r="P420" s="34" t="str">
        <f>IF(AND(Q420&lt;&gt;"",R420&lt;&gt;"",DATE(2026,12,31)&gt;=Q420,DATE(2026,12,1)&lt;=R420),"█","")</f>
        <v/>
      </c>
      <c r="Q420" s="7" t="str">
        <f>IF('Release Calendar'!I420&lt;&gt;"",'Release Calendar'!I420,"")</f>
        <v/>
      </c>
      <c r="R420" s="7" t="str">
        <f>IF('Release Calendar'!J420&lt;&gt;"",'Release Calendar'!J420,"")</f>
        <v/>
      </c>
    </row>
    <row r="421" spans="1:18" ht="20.100000000000001" customHeight="1">
      <c r="A421" s="14">
        <v>417</v>
      </c>
      <c r="B421" s="28" t="str">
        <f>IF('Release Calendar'!B421&lt;&gt;"",'Release Calendar'!B421,"")</f>
        <v/>
      </c>
      <c r="C421" s="29" t="str">
        <f>IF('Release Calendar'!K421&lt;&gt;"",'Release Calendar'!K421,"")</f>
        <v/>
      </c>
      <c r="D421" s="29" t="str">
        <f>IF('Release Calendar'!M421&lt;&gt;"",'Release Calendar'!M421,"")</f>
        <v/>
      </c>
      <c r="E421" s="30" t="str">
        <f>IF(AND(Q421&lt;&gt;"",R421&lt;&gt;"",DATE(2026,2,0)&gt;=Q421,DATE(2026,1,1)&lt;=R421),"█","")</f>
        <v/>
      </c>
      <c r="F421" s="30" t="str">
        <f>IF(AND(Q421&lt;&gt;"",R421&lt;&gt;"",DATE(2026,3,0)&gt;=Q421,DATE(2026,2,1)&lt;=R421),"█","")</f>
        <v/>
      </c>
      <c r="G421" s="30" t="str">
        <f>IF(AND(Q421&lt;&gt;"",R421&lt;&gt;"",DATE(2026,4,0)&gt;=Q421,DATE(2026,3,1)&lt;=R421),"█","")</f>
        <v/>
      </c>
      <c r="H421" s="30" t="str">
        <f>IF(AND(Q421&lt;&gt;"",R421&lt;&gt;"",DATE(2026,5,0)&gt;=Q421,DATE(2026,4,1)&lt;=R421),"█","")</f>
        <v/>
      </c>
      <c r="I421" s="30" t="str">
        <f>IF(AND(Q421&lt;&gt;"",R421&lt;&gt;"",DATE(2026,6,0)&gt;=Q421,DATE(2026,5,1)&lt;=R421),"█","")</f>
        <v/>
      </c>
      <c r="J421" s="30" t="str">
        <f>IF(AND(Q421&lt;&gt;"",R421&lt;&gt;"",DATE(2026,7,0)&gt;=Q421,DATE(2026,6,1)&lt;=R421),"█","")</f>
        <v/>
      </c>
      <c r="K421" s="30" t="str">
        <f>IF(AND(Q421&lt;&gt;"",R421&lt;&gt;"",DATE(2026,8,0)&gt;=Q421,DATE(2026,7,1)&lt;=R421),"█","")</f>
        <v/>
      </c>
      <c r="L421" s="30" t="str">
        <f>IF(AND(Q421&lt;&gt;"",R421&lt;&gt;"",DATE(2026,9,0)&gt;=Q421,DATE(2026,8,1)&lt;=R421),"█","")</f>
        <v/>
      </c>
      <c r="M421" s="30" t="str">
        <f>IF(AND(Q421&lt;&gt;"",R421&lt;&gt;"",DATE(2026,10,0)&gt;=Q421,DATE(2026,9,1)&lt;=R421),"█","")</f>
        <v/>
      </c>
      <c r="N421" s="30" t="str">
        <f>IF(AND(Q421&lt;&gt;"",R421&lt;&gt;"",DATE(2026,11,0)&gt;=Q421,DATE(2026,10,1)&lt;=R421),"█","")</f>
        <v/>
      </c>
      <c r="O421" s="30" t="str">
        <f>IF(AND(Q421&lt;&gt;"",R421&lt;&gt;"",DATE(2026,12,0)&gt;=Q421,DATE(2026,11,1)&lt;=R421),"█","")</f>
        <v/>
      </c>
      <c r="P421" s="30" t="str">
        <f>IF(AND(Q421&lt;&gt;"",R421&lt;&gt;"",DATE(2026,12,31)&gt;=Q421,DATE(2026,12,1)&lt;=R421),"█","")</f>
        <v/>
      </c>
      <c r="Q421" s="7" t="str">
        <f>IF('Release Calendar'!I421&lt;&gt;"",'Release Calendar'!I421,"")</f>
        <v/>
      </c>
      <c r="R421" s="7" t="str">
        <f>IF('Release Calendar'!J421&lt;&gt;"",'Release Calendar'!J421,"")</f>
        <v/>
      </c>
    </row>
    <row r="422" spans="1:18" ht="20.100000000000001" customHeight="1">
      <c r="A422" s="31">
        <v>418</v>
      </c>
      <c r="B422" s="32" t="str">
        <f>IF('Release Calendar'!B422&lt;&gt;"",'Release Calendar'!B422,"")</f>
        <v/>
      </c>
      <c r="C422" s="33" t="str">
        <f>IF('Release Calendar'!K422&lt;&gt;"",'Release Calendar'!K422,"")</f>
        <v/>
      </c>
      <c r="D422" s="33" t="str">
        <f>IF('Release Calendar'!M422&lt;&gt;"",'Release Calendar'!M422,"")</f>
        <v/>
      </c>
      <c r="E422" s="34" t="str">
        <f>IF(AND(Q422&lt;&gt;"",R422&lt;&gt;"",DATE(2026,2,0)&gt;=Q422,DATE(2026,1,1)&lt;=R422),"█","")</f>
        <v/>
      </c>
      <c r="F422" s="34" t="str">
        <f>IF(AND(Q422&lt;&gt;"",R422&lt;&gt;"",DATE(2026,3,0)&gt;=Q422,DATE(2026,2,1)&lt;=R422),"█","")</f>
        <v/>
      </c>
      <c r="G422" s="34" t="str">
        <f>IF(AND(Q422&lt;&gt;"",R422&lt;&gt;"",DATE(2026,4,0)&gt;=Q422,DATE(2026,3,1)&lt;=R422),"█","")</f>
        <v/>
      </c>
      <c r="H422" s="34" t="str">
        <f>IF(AND(Q422&lt;&gt;"",R422&lt;&gt;"",DATE(2026,5,0)&gt;=Q422,DATE(2026,4,1)&lt;=R422),"█","")</f>
        <v/>
      </c>
      <c r="I422" s="34" t="str">
        <f>IF(AND(Q422&lt;&gt;"",R422&lt;&gt;"",DATE(2026,6,0)&gt;=Q422,DATE(2026,5,1)&lt;=R422),"█","")</f>
        <v/>
      </c>
      <c r="J422" s="34" t="str">
        <f>IF(AND(Q422&lt;&gt;"",R422&lt;&gt;"",DATE(2026,7,0)&gt;=Q422,DATE(2026,6,1)&lt;=R422),"█","")</f>
        <v/>
      </c>
      <c r="K422" s="34" t="str">
        <f>IF(AND(Q422&lt;&gt;"",R422&lt;&gt;"",DATE(2026,8,0)&gt;=Q422,DATE(2026,7,1)&lt;=R422),"█","")</f>
        <v/>
      </c>
      <c r="L422" s="34" t="str">
        <f>IF(AND(Q422&lt;&gt;"",R422&lt;&gt;"",DATE(2026,9,0)&gt;=Q422,DATE(2026,8,1)&lt;=R422),"█","")</f>
        <v/>
      </c>
      <c r="M422" s="34" t="str">
        <f>IF(AND(Q422&lt;&gt;"",R422&lt;&gt;"",DATE(2026,10,0)&gt;=Q422,DATE(2026,9,1)&lt;=R422),"█","")</f>
        <v/>
      </c>
      <c r="N422" s="34" t="str">
        <f>IF(AND(Q422&lt;&gt;"",R422&lt;&gt;"",DATE(2026,11,0)&gt;=Q422,DATE(2026,10,1)&lt;=R422),"█","")</f>
        <v/>
      </c>
      <c r="O422" s="34" t="str">
        <f>IF(AND(Q422&lt;&gt;"",R422&lt;&gt;"",DATE(2026,12,0)&gt;=Q422,DATE(2026,11,1)&lt;=R422),"█","")</f>
        <v/>
      </c>
      <c r="P422" s="34" t="str">
        <f>IF(AND(Q422&lt;&gt;"",R422&lt;&gt;"",DATE(2026,12,31)&gt;=Q422,DATE(2026,12,1)&lt;=R422),"█","")</f>
        <v/>
      </c>
      <c r="Q422" s="7" t="str">
        <f>IF('Release Calendar'!I422&lt;&gt;"",'Release Calendar'!I422,"")</f>
        <v/>
      </c>
      <c r="R422" s="7" t="str">
        <f>IF('Release Calendar'!J422&lt;&gt;"",'Release Calendar'!J422,"")</f>
        <v/>
      </c>
    </row>
    <row r="423" spans="1:18" ht="20.100000000000001" customHeight="1">
      <c r="A423" s="14">
        <v>419</v>
      </c>
      <c r="B423" s="28" t="str">
        <f>IF('Release Calendar'!B423&lt;&gt;"",'Release Calendar'!B423,"")</f>
        <v/>
      </c>
      <c r="C423" s="29" t="str">
        <f>IF('Release Calendar'!K423&lt;&gt;"",'Release Calendar'!K423,"")</f>
        <v/>
      </c>
      <c r="D423" s="29" t="str">
        <f>IF('Release Calendar'!M423&lt;&gt;"",'Release Calendar'!M423,"")</f>
        <v/>
      </c>
      <c r="E423" s="30" t="str">
        <f>IF(AND(Q423&lt;&gt;"",R423&lt;&gt;"",DATE(2026,2,0)&gt;=Q423,DATE(2026,1,1)&lt;=R423),"█","")</f>
        <v/>
      </c>
      <c r="F423" s="30" t="str">
        <f>IF(AND(Q423&lt;&gt;"",R423&lt;&gt;"",DATE(2026,3,0)&gt;=Q423,DATE(2026,2,1)&lt;=R423),"█","")</f>
        <v/>
      </c>
      <c r="G423" s="30" t="str">
        <f>IF(AND(Q423&lt;&gt;"",R423&lt;&gt;"",DATE(2026,4,0)&gt;=Q423,DATE(2026,3,1)&lt;=R423),"█","")</f>
        <v/>
      </c>
      <c r="H423" s="30" t="str">
        <f>IF(AND(Q423&lt;&gt;"",R423&lt;&gt;"",DATE(2026,5,0)&gt;=Q423,DATE(2026,4,1)&lt;=R423),"█","")</f>
        <v/>
      </c>
      <c r="I423" s="30" t="str">
        <f>IF(AND(Q423&lt;&gt;"",R423&lt;&gt;"",DATE(2026,6,0)&gt;=Q423,DATE(2026,5,1)&lt;=R423),"█","")</f>
        <v/>
      </c>
      <c r="J423" s="30" t="str">
        <f>IF(AND(Q423&lt;&gt;"",R423&lt;&gt;"",DATE(2026,7,0)&gt;=Q423,DATE(2026,6,1)&lt;=R423),"█","")</f>
        <v/>
      </c>
      <c r="K423" s="30" t="str">
        <f>IF(AND(Q423&lt;&gt;"",R423&lt;&gt;"",DATE(2026,8,0)&gt;=Q423,DATE(2026,7,1)&lt;=R423),"█","")</f>
        <v/>
      </c>
      <c r="L423" s="30" t="str">
        <f>IF(AND(Q423&lt;&gt;"",R423&lt;&gt;"",DATE(2026,9,0)&gt;=Q423,DATE(2026,8,1)&lt;=R423),"█","")</f>
        <v/>
      </c>
      <c r="M423" s="30" t="str">
        <f>IF(AND(Q423&lt;&gt;"",R423&lt;&gt;"",DATE(2026,10,0)&gt;=Q423,DATE(2026,9,1)&lt;=R423),"█","")</f>
        <v/>
      </c>
      <c r="N423" s="30" t="str">
        <f>IF(AND(Q423&lt;&gt;"",R423&lt;&gt;"",DATE(2026,11,0)&gt;=Q423,DATE(2026,10,1)&lt;=R423),"█","")</f>
        <v/>
      </c>
      <c r="O423" s="30" t="str">
        <f>IF(AND(Q423&lt;&gt;"",R423&lt;&gt;"",DATE(2026,12,0)&gt;=Q423,DATE(2026,11,1)&lt;=R423),"█","")</f>
        <v/>
      </c>
      <c r="P423" s="30" t="str">
        <f>IF(AND(Q423&lt;&gt;"",R423&lt;&gt;"",DATE(2026,12,31)&gt;=Q423,DATE(2026,12,1)&lt;=R423),"█","")</f>
        <v/>
      </c>
      <c r="Q423" s="7" t="str">
        <f>IF('Release Calendar'!I423&lt;&gt;"",'Release Calendar'!I423,"")</f>
        <v/>
      </c>
      <c r="R423" s="7" t="str">
        <f>IF('Release Calendar'!J423&lt;&gt;"",'Release Calendar'!J423,"")</f>
        <v/>
      </c>
    </row>
    <row r="424" spans="1:18" ht="20.100000000000001" customHeight="1">
      <c r="A424" s="31">
        <v>420</v>
      </c>
      <c r="B424" s="32" t="str">
        <f>IF('Release Calendar'!B424&lt;&gt;"",'Release Calendar'!B424,"")</f>
        <v/>
      </c>
      <c r="C424" s="33" t="str">
        <f>IF('Release Calendar'!K424&lt;&gt;"",'Release Calendar'!K424,"")</f>
        <v/>
      </c>
      <c r="D424" s="33" t="str">
        <f>IF('Release Calendar'!M424&lt;&gt;"",'Release Calendar'!M424,"")</f>
        <v/>
      </c>
      <c r="E424" s="34" t="str">
        <f>IF(AND(Q424&lt;&gt;"",R424&lt;&gt;"",DATE(2026,2,0)&gt;=Q424,DATE(2026,1,1)&lt;=R424),"█","")</f>
        <v/>
      </c>
      <c r="F424" s="34" t="str">
        <f>IF(AND(Q424&lt;&gt;"",R424&lt;&gt;"",DATE(2026,3,0)&gt;=Q424,DATE(2026,2,1)&lt;=R424),"█","")</f>
        <v/>
      </c>
      <c r="G424" s="34" t="str">
        <f>IF(AND(Q424&lt;&gt;"",R424&lt;&gt;"",DATE(2026,4,0)&gt;=Q424,DATE(2026,3,1)&lt;=R424),"█","")</f>
        <v/>
      </c>
      <c r="H424" s="34" t="str">
        <f>IF(AND(Q424&lt;&gt;"",R424&lt;&gt;"",DATE(2026,5,0)&gt;=Q424,DATE(2026,4,1)&lt;=R424),"█","")</f>
        <v/>
      </c>
      <c r="I424" s="34" t="str">
        <f>IF(AND(Q424&lt;&gt;"",R424&lt;&gt;"",DATE(2026,6,0)&gt;=Q424,DATE(2026,5,1)&lt;=R424),"█","")</f>
        <v/>
      </c>
      <c r="J424" s="34" t="str">
        <f>IF(AND(Q424&lt;&gt;"",R424&lt;&gt;"",DATE(2026,7,0)&gt;=Q424,DATE(2026,6,1)&lt;=R424),"█","")</f>
        <v/>
      </c>
      <c r="K424" s="34" t="str">
        <f>IF(AND(Q424&lt;&gt;"",R424&lt;&gt;"",DATE(2026,8,0)&gt;=Q424,DATE(2026,7,1)&lt;=R424),"█","")</f>
        <v/>
      </c>
      <c r="L424" s="34" t="str">
        <f>IF(AND(Q424&lt;&gt;"",R424&lt;&gt;"",DATE(2026,9,0)&gt;=Q424,DATE(2026,8,1)&lt;=R424),"█","")</f>
        <v/>
      </c>
      <c r="M424" s="34" t="str">
        <f>IF(AND(Q424&lt;&gt;"",R424&lt;&gt;"",DATE(2026,10,0)&gt;=Q424,DATE(2026,9,1)&lt;=R424),"█","")</f>
        <v/>
      </c>
      <c r="N424" s="34" t="str">
        <f>IF(AND(Q424&lt;&gt;"",R424&lt;&gt;"",DATE(2026,11,0)&gt;=Q424,DATE(2026,10,1)&lt;=R424),"█","")</f>
        <v/>
      </c>
      <c r="O424" s="34" t="str">
        <f>IF(AND(Q424&lt;&gt;"",R424&lt;&gt;"",DATE(2026,12,0)&gt;=Q424,DATE(2026,11,1)&lt;=R424),"█","")</f>
        <v/>
      </c>
      <c r="P424" s="34" t="str">
        <f>IF(AND(Q424&lt;&gt;"",R424&lt;&gt;"",DATE(2026,12,31)&gt;=Q424,DATE(2026,12,1)&lt;=R424),"█","")</f>
        <v/>
      </c>
      <c r="Q424" s="7" t="str">
        <f>IF('Release Calendar'!I424&lt;&gt;"",'Release Calendar'!I424,"")</f>
        <v/>
      </c>
      <c r="R424" s="7" t="str">
        <f>IF('Release Calendar'!J424&lt;&gt;"",'Release Calendar'!J424,"")</f>
        <v/>
      </c>
    </row>
    <row r="425" spans="1:18" ht="20.100000000000001" customHeight="1">
      <c r="A425" s="14">
        <v>421</v>
      </c>
      <c r="B425" s="28" t="str">
        <f>IF('Release Calendar'!B425&lt;&gt;"",'Release Calendar'!B425,"")</f>
        <v/>
      </c>
      <c r="C425" s="29" t="str">
        <f>IF('Release Calendar'!K425&lt;&gt;"",'Release Calendar'!K425,"")</f>
        <v/>
      </c>
      <c r="D425" s="29" t="str">
        <f>IF('Release Calendar'!M425&lt;&gt;"",'Release Calendar'!M425,"")</f>
        <v/>
      </c>
      <c r="E425" s="30" t="str">
        <f>IF(AND(Q425&lt;&gt;"",R425&lt;&gt;"",DATE(2026,2,0)&gt;=Q425,DATE(2026,1,1)&lt;=R425),"█","")</f>
        <v/>
      </c>
      <c r="F425" s="30" t="str">
        <f>IF(AND(Q425&lt;&gt;"",R425&lt;&gt;"",DATE(2026,3,0)&gt;=Q425,DATE(2026,2,1)&lt;=R425),"█","")</f>
        <v/>
      </c>
      <c r="G425" s="30" t="str">
        <f>IF(AND(Q425&lt;&gt;"",R425&lt;&gt;"",DATE(2026,4,0)&gt;=Q425,DATE(2026,3,1)&lt;=R425),"█","")</f>
        <v/>
      </c>
      <c r="H425" s="30" t="str">
        <f>IF(AND(Q425&lt;&gt;"",R425&lt;&gt;"",DATE(2026,5,0)&gt;=Q425,DATE(2026,4,1)&lt;=R425),"█","")</f>
        <v/>
      </c>
      <c r="I425" s="30" t="str">
        <f>IF(AND(Q425&lt;&gt;"",R425&lt;&gt;"",DATE(2026,6,0)&gt;=Q425,DATE(2026,5,1)&lt;=R425),"█","")</f>
        <v/>
      </c>
      <c r="J425" s="30" t="str">
        <f>IF(AND(Q425&lt;&gt;"",R425&lt;&gt;"",DATE(2026,7,0)&gt;=Q425,DATE(2026,6,1)&lt;=R425),"█","")</f>
        <v/>
      </c>
      <c r="K425" s="30" t="str">
        <f>IF(AND(Q425&lt;&gt;"",R425&lt;&gt;"",DATE(2026,8,0)&gt;=Q425,DATE(2026,7,1)&lt;=R425),"█","")</f>
        <v/>
      </c>
      <c r="L425" s="30" t="str">
        <f>IF(AND(Q425&lt;&gt;"",R425&lt;&gt;"",DATE(2026,9,0)&gt;=Q425,DATE(2026,8,1)&lt;=R425),"█","")</f>
        <v/>
      </c>
      <c r="M425" s="30" t="str">
        <f>IF(AND(Q425&lt;&gt;"",R425&lt;&gt;"",DATE(2026,10,0)&gt;=Q425,DATE(2026,9,1)&lt;=R425),"█","")</f>
        <v/>
      </c>
      <c r="N425" s="30" t="str">
        <f>IF(AND(Q425&lt;&gt;"",R425&lt;&gt;"",DATE(2026,11,0)&gt;=Q425,DATE(2026,10,1)&lt;=R425),"█","")</f>
        <v/>
      </c>
      <c r="O425" s="30" t="str">
        <f>IF(AND(Q425&lt;&gt;"",R425&lt;&gt;"",DATE(2026,12,0)&gt;=Q425,DATE(2026,11,1)&lt;=R425),"█","")</f>
        <v/>
      </c>
      <c r="P425" s="30" t="str">
        <f>IF(AND(Q425&lt;&gt;"",R425&lt;&gt;"",DATE(2026,12,31)&gt;=Q425,DATE(2026,12,1)&lt;=R425),"█","")</f>
        <v/>
      </c>
      <c r="Q425" s="7" t="str">
        <f>IF('Release Calendar'!I425&lt;&gt;"",'Release Calendar'!I425,"")</f>
        <v/>
      </c>
      <c r="R425" s="7" t="str">
        <f>IF('Release Calendar'!J425&lt;&gt;"",'Release Calendar'!J425,"")</f>
        <v/>
      </c>
    </row>
    <row r="426" spans="1:18" ht="20.100000000000001" customHeight="1">
      <c r="A426" s="31">
        <v>422</v>
      </c>
      <c r="B426" s="32" t="str">
        <f>IF('Release Calendar'!B426&lt;&gt;"",'Release Calendar'!B426,"")</f>
        <v/>
      </c>
      <c r="C426" s="33" t="str">
        <f>IF('Release Calendar'!K426&lt;&gt;"",'Release Calendar'!K426,"")</f>
        <v/>
      </c>
      <c r="D426" s="33" t="str">
        <f>IF('Release Calendar'!M426&lt;&gt;"",'Release Calendar'!M426,"")</f>
        <v/>
      </c>
      <c r="E426" s="34" t="str">
        <f>IF(AND(Q426&lt;&gt;"",R426&lt;&gt;"",DATE(2026,2,0)&gt;=Q426,DATE(2026,1,1)&lt;=R426),"█","")</f>
        <v/>
      </c>
      <c r="F426" s="34" t="str">
        <f>IF(AND(Q426&lt;&gt;"",R426&lt;&gt;"",DATE(2026,3,0)&gt;=Q426,DATE(2026,2,1)&lt;=R426),"█","")</f>
        <v/>
      </c>
      <c r="G426" s="34" t="str">
        <f>IF(AND(Q426&lt;&gt;"",R426&lt;&gt;"",DATE(2026,4,0)&gt;=Q426,DATE(2026,3,1)&lt;=R426),"█","")</f>
        <v/>
      </c>
      <c r="H426" s="34" t="str">
        <f>IF(AND(Q426&lt;&gt;"",R426&lt;&gt;"",DATE(2026,5,0)&gt;=Q426,DATE(2026,4,1)&lt;=R426),"█","")</f>
        <v/>
      </c>
      <c r="I426" s="34" t="str">
        <f>IF(AND(Q426&lt;&gt;"",R426&lt;&gt;"",DATE(2026,6,0)&gt;=Q426,DATE(2026,5,1)&lt;=R426),"█","")</f>
        <v/>
      </c>
      <c r="J426" s="34" t="str">
        <f>IF(AND(Q426&lt;&gt;"",R426&lt;&gt;"",DATE(2026,7,0)&gt;=Q426,DATE(2026,6,1)&lt;=R426),"█","")</f>
        <v/>
      </c>
      <c r="K426" s="34" t="str">
        <f>IF(AND(Q426&lt;&gt;"",R426&lt;&gt;"",DATE(2026,8,0)&gt;=Q426,DATE(2026,7,1)&lt;=R426),"█","")</f>
        <v/>
      </c>
      <c r="L426" s="34" t="str">
        <f>IF(AND(Q426&lt;&gt;"",R426&lt;&gt;"",DATE(2026,9,0)&gt;=Q426,DATE(2026,8,1)&lt;=R426),"█","")</f>
        <v/>
      </c>
      <c r="M426" s="34" t="str">
        <f>IF(AND(Q426&lt;&gt;"",R426&lt;&gt;"",DATE(2026,10,0)&gt;=Q426,DATE(2026,9,1)&lt;=R426),"█","")</f>
        <v/>
      </c>
      <c r="N426" s="34" t="str">
        <f>IF(AND(Q426&lt;&gt;"",R426&lt;&gt;"",DATE(2026,11,0)&gt;=Q426,DATE(2026,10,1)&lt;=R426),"█","")</f>
        <v/>
      </c>
      <c r="O426" s="34" t="str">
        <f>IF(AND(Q426&lt;&gt;"",R426&lt;&gt;"",DATE(2026,12,0)&gt;=Q426,DATE(2026,11,1)&lt;=R426),"█","")</f>
        <v/>
      </c>
      <c r="P426" s="34" t="str">
        <f>IF(AND(Q426&lt;&gt;"",R426&lt;&gt;"",DATE(2026,12,31)&gt;=Q426,DATE(2026,12,1)&lt;=R426),"█","")</f>
        <v/>
      </c>
      <c r="Q426" s="7" t="str">
        <f>IF('Release Calendar'!I426&lt;&gt;"",'Release Calendar'!I426,"")</f>
        <v/>
      </c>
      <c r="R426" s="7" t="str">
        <f>IF('Release Calendar'!J426&lt;&gt;"",'Release Calendar'!J426,"")</f>
        <v/>
      </c>
    </row>
    <row r="427" spans="1:18" ht="20.100000000000001" customHeight="1">
      <c r="A427" s="14">
        <v>423</v>
      </c>
      <c r="B427" s="28" t="str">
        <f>IF('Release Calendar'!B427&lt;&gt;"",'Release Calendar'!B427,"")</f>
        <v/>
      </c>
      <c r="C427" s="29" t="str">
        <f>IF('Release Calendar'!K427&lt;&gt;"",'Release Calendar'!K427,"")</f>
        <v/>
      </c>
      <c r="D427" s="29" t="str">
        <f>IF('Release Calendar'!M427&lt;&gt;"",'Release Calendar'!M427,"")</f>
        <v/>
      </c>
      <c r="E427" s="30" t="str">
        <f>IF(AND(Q427&lt;&gt;"",R427&lt;&gt;"",DATE(2026,2,0)&gt;=Q427,DATE(2026,1,1)&lt;=R427),"█","")</f>
        <v/>
      </c>
      <c r="F427" s="30" t="str">
        <f>IF(AND(Q427&lt;&gt;"",R427&lt;&gt;"",DATE(2026,3,0)&gt;=Q427,DATE(2026,2,1)&lt;=R427),"█","")</f>
        <v/>
      </c>
      <c r="G427" s="30" t="str">
        <f>IF(AND(Q427&lt;&gt;"",R427&lt;&gt;"",DATE(2026,4,0)&gt;=Q427,DATE(2026,3,1)&lt;=R427),"█","")</f>
        <v/>
      </c>
      <c r="H427" s="30" t="str">
        <f>IF(AND(Q427&lt;&gt;"",R427&lt;&gt;"",DATE(2026,5,0)&gt;=Q427,DATE(2026,4,1)&lt;=R427),"█","")</f>
        <v/>
      </c>
      <c r="I427" s="30" t="str">
        <f>IF(AND(Q427&lt;&gt;"",R427&lt;&gt;"",DATE(2026,6,0)&gt;=Q427,DATE(2026,5,1)&lt;=R427),"█","")</f>
        <v/>
      </c>
      <c r="J427" s="30" t="str">
        <f>IF(AND(Q427&lt;&gt;"",R427&lt;&gt;"",DATE(2026,7,0)&gt;=Q427,DATE(2026,6,1)&lt;=R427),"█","")</f>
        <v/>
      </c>
      <c r="K427" s="30" t="str">
        <f>IF(AND(Q427&lt;&gt;"",R427&lt;&gt;"",DATE(2026,8,0)&gt;=Q427,DATE(2026,7,1)&lt;=R427),"█","")</f>
        <v/>
      </c>
      <c r="L427" s="30" t="str">
        <f>IF(AND(Q427&lt;&gt;"",R427&lt;&gt;"",DATE(2026,9,0)&gt;=Q427,DATE(2026,8,1)&lt;=R427),"█","")</f>
        <v/>
      </c>
      <c r="M427" s="30" t="str">
        <f>IF(AND(Q427&lt;&gt;"",R427&lt;&gt;"",DATE(2026,10,0)&gt;=Q427,DATE(2026,9,1)&lt;=R427),"█","")</f>
        <v/>
      </c>
      <c r="N427" s="30" t="str">
        <f>IF(AND(Q427&lt;&gt;"",R427&lt;&gt;"",DATE(2026,11,0)&gt;=Q427,DATE(2026,10,1)&lt;=R427),"█","")</f>
        <v/>
      </c>
      <c r="O427" s="30" t="str">
        <f>IF(AND(Q427&lt;&gt;"",R427&lt;&gt;"",DATE(2026,12,0)&gt;=Q427,DATE(2026,11,1)&lt;=R427),"█","")</f>
        <v/>
      </c>
      <c r="P427" s="30" t="str">
        <f>IF(AND(Q427&lt;&gt;"",R427&lt;&gt;"",DATE(2026,12,31)&gt;=Q427,DATE(2026,12,1)&lt;=R427),"█","")</f>
        <v/>
      </c>
      <c r="Q427" s="7" t="str">
        <f>IF('Release Calendar'!I427&lt;&gt;"",'Release Calendar'!I427,"")</f>
        <v/>
      </c>
      <c r="R427" s="7" t="str">
        <f>IF('Release Calendar'!J427&lt;&gt;"",'Release Calendar'!J427,"")</f>
        <v/>
      </c>
    </row>
    <row r="428" spans="1:18" ht="20.100000000000001" customHeight="1">
      <c r="A428" s="31">
        <v>424</v>
      </c>
      <c r="B428" s="32" t="str">
        <f>IF('Release Calendar'!B428&lt;&gt;"",'Release Calendar'!B428,"")</f>
        <v/>
      </c>
      <c r="C428" s="33" t="str">
        <f>IF('Release Calendar'!K428&lt;&gt;"",'Release Calendar'!K428,"")</f>
        <v/>
      </c>
      <c r="D428" s="33" t="str">
        <f>IF('Release Calendar'!M428&lt;&gt;"",'Release Calendar'!M428,"")</f>
        <v/>
      </c>
      <c r="E428" s="34" t="str">
        <f>IF(AND(Q428&lt;&gt;"",R428&lt;&gt;"",DATE(2026,2,0)&gt;=Q428,DATE(2026,1,1)&lt;=R428),"█","")</f>
        <v/>
      </c>
      <c r="F428" s="34" t="str">
        <f>IF(AND(Q428&lt;&gt;"",R428&lt;&gt;"",DATE(2026,3,0)&gt;=Q428,DATE(2026,2,1)&lt;=R428),"█","")</f>
        <v/>
      </c>
      <c r="G428" s="34" t="str">
        <f>IF(AND(Q428&lt;&gt;"",R428&lt;&gt;"",DATE(2026,4,0)&gt;=Q428,DATE(2026,3,1)&lt;=R428),"█","")</f>
        <v/>
      </c>
      <c r="H428" s="34" t="str">
        <f>IF(AND(Q428&lt;&gt;"",R428&lt;&gt;"",DATE(2026,5,0)&gt;=Q428,DATE(2026,4,1)&lt;=R428),"█","")</f>
        <v/>
      </c>
      <c r="I428" s="34" t="str">
        <f>IF(AND(Q428&lt;&gt;"",R428&lt;&gt;"",DATE(2026,6,0)&gt;=Q428,DATE(2026,5,1)&lt;=R428),"█","")</f>
        <v/>
      </c>
      <c r="J428" s="34" t="str">
        <f>IF(AND(Q428&lt;&gt;"",R428&lt;&gt;"",DATE(2026,7,0)&gt;=Q428,DATE(2026,6,1)&lt;=R428),"█","")</f>
        <v/>
      </c>
      <c r="K428" s="34" t="str">
        <f>IF(AND(Q428&lt;&gt;"",R428&lt;&gt;"",DATE(2026,8,0)&gt;=Q428,DATE(2026,7,1)&lt;=R428),"█","")</f>
        <v/>
      </c>
      <c r="L428" s="34" t="str">
        <f>IF(AND(Q428&lt;&gt;"",R428&lt;&gt;"",DATE(2026,9,0)&gt;=Q428,DATE(2026,8,1)&lt;=R428),"█","")</f>
        <v/>
      </c>
      <c r="M428" s="34" t="str">
        <f>IF(AND(Q428&lt;&gt;"",R428&lt;&gt;"",DATE(2026,10,0)&gt;=Q428,DATE(2026,9,1)&lt;=R428),"█","")</f>
        <v/>
      </c>
      <c r="N428" s="34" t="str">
        <f>IF(AND(Q428&lt;&gt;"",R428&lt;&gt;"",DATE(2026,11,0)&gt;=Q428,DATE(2026,10,1)&lt;=R428),"█","")</f>
        <v/>
      </c>
      <c r="O428" s="34" t="str">
        <f>IF(AND(Q428&lt;&gt;"",R428&lt;&gt;"",DATE(2026,12,0)&gt;=Q428,DATE(2026,11,1)&lt;=R428),"█","")</f>
        <v/>
      </c>
      <c r="P428" s="34" t="str">
        <f>IF(AND(Q428&lt;&gt;"",R428&lt;&gt;"",DATE(2026,12,31)&gt;=Q428,DATE(2026,12,1)&lt;=R428),"█","")</f>
        <v/>
      </c>
      <c r="Q428" s="7" t="str">
        <f>IF('Release Calendar'!I428&lt;&gt;"",'Release Calendar'!I428,"")</f>
        <v/>
      </c>
      <c r="R428" s="7" t="str">
        <f>IF('Release Calendar'!J428&lt;&gt;"",'Release Calendar'!J428,"")</f>
        <v/>
      </c>
    </row>
    <row r="429" spans="1:18" ht="20.100000000000001" customHeight="1">
      <c r="A429" s="14">
        <v>425</v>
      </c>
      <c r="B429" s="28" t="str">
        <f>IF('Release Calendar'!B429&lt;&gt;"",'Release Calendar'!B429,"")</f>
        <v/>
      </c>
      <c r="C429" s="29" t="str">
        <f>IF('Release Calendar'!K429&lt;&gt;"",'Release Calendar'!K429,"")</f>
        <v/>
      </c>
      <c r="D429" s="29" t="str">
        <f>IF('Release Calendar'!M429&lt;&gt;"",'Release Calendar'!M429,"")</f>
        <v/>
      </c>
      <c r="E429" s="30" t="str">
        <f>IF(AND(Q429&lt;&gt;"",R429&lt;&gt;"",DATE(2026,2,0)&gt;=Q429,DATE(2026,1,1)&lt;=R429),"█","")</f>
        <v/>
      </c>
      <c r="F429" s="30" t="str">
        <f>IF(AND(Q429&lt;&gt;"",R429&lt;&gt;"",DATE(2026,3,0)&gt;=Q429,DATE(2026,2,1)&lt;=R429),"█","")</f>
        <v/>
      </c>
      <c r="G429" s="30" t="str">
        <f>IF(AND(Q429&lt;&gt;"",R429&lt;&gt;"",DATE(2026,4,0)&gt;=Q429,DATE(2026,3,1)&lt;=R429),"█","")</f>
        <v/>
      </c>
      <c r="H429" s="30" t="str">
        <f>IF(AND(Q429&lt;&gt;"",R429&lt;&gt;"",DATE(2026,5,0)&gt;=Q429,DATE(2026,4,1)&lt;=R429),"█","")</f>
        <v/>
      </c>
      <c r="I429" s="30" t="str">
        <f>IF(AND(Q429&lt;&gt;"",R429&lt;&gt;"",DATE(2026,6,0)&gt;=Q429,DATE(2026,5,1)&lt;=R429),"█","")</f>
        <v/>
      </c>
      <c r="J429" s="30" t="str">
        <f>IF(AND(Q429&lt;&gt;"",R429&lt;&gt;"",DATE(2026,7,0)&gt;=Q429,DATE(2026,6,1)&lt;=R429),"█","")</f>
        <v/>
      </c>
      <c r="K429" s="30" t="str">
        <f>IF(AND(Q429&lt;&gt;"",R429&lt;&gt;"",DATE(2026,8,0)&gt;=Q429,DATE(2026,7,1)&lt;=R429),"█","")</f>
        <v/>
      </c>
      <c r="L429" s="30" t="str">
        <f>IF(AND(Q429&lt;&gt;"",R429&lt;&gt;"",DATE(2026,9,0)&gt;=Q429,DATE(2026,8,1)&lt;=R429),"█","")</f>
        <v/>
      </c>
      <c r="M429" s="30" t="str">
        <f>IF(AND(Q429&lt;&gt;"",R429&lt;&gt;"",DATE(2026,10,0)&gt;=Q429,DATE(2026,9,1)&lt;=R429),"█","")</f>
        <v/>
      </c>
      <c r="N429" s="30" t="str">
        <f>IF(AND(Q429&lt;&gt;"",R429&lt;&gt;"",DATE(2026,11,0)&gt;=Q429,DATE(2026,10,1)&lt;=R429),"█","")</f>
        <v/>
      </c>
      <c r="O429" s="30" t="str">
        <f>IF(AND(Q429&lt;&gt;"",R429&lt;&gt;"",DATE(2026,12,0)&gt;=Q429,DATE(2026,11,1)&lt;=R429),"█","")</f>
        <v/>
      </c>
      <c r="P429" s="30" t="str">
        <f>IF(AND(Q429&lt;&gt;"",R429&lt;&gt;"",DATE(2026,12,31)&gt;=Q429,DATE(2026,12,1)&lt;=R429),"█","")</f>
        <v/>
      </c>
      <c r="Q429" s="7" t="str">
        <f>IF('Release Calendar'!I429&lt;&gt;"",'Release Calendar'!I429,"")</f>
        <v/>
      </c>
      <c r="R429" s="7" t="str">
        <f>IF('Release Calendar'!J429&lt;&gt;"",'Release Calendar'!J429,"")</f>
        <v/>
      </c>
    </row>
    <row r="430" spans="1:18" ht="20.100000000000001" customHeight="1">
      <c r="A430" s="31">
        <v>426</v>
      </c>
      <c r="B430" s="32" t="str">
        <f>IF('Release Calendar'!B430&lt;&gt;"",'Release Calendar'!B430,"")</f>
        <v/>
      </c>
      <c r="C430" s="33" t="str">
        <f>IF('Release Calendar'!K430&lt;&gt;"",'Release Calendar'!K430,"")</f>
        <v/>
      </c>
      <c r="D430" s="33" t="str">
        <f>IF('Release Calendar'!M430&lt;&gt;"",'Release Calendar'!M430,"")</f>
        <v/>
      </c>
      <c r="E430" s="34" t="str">
        <f>IF(AND(Q430&lt;&gt;"",R430&lt;&gt;"",DATE(2026,2,0)&gt;=Q430,DATE(2026,1,1)&lt;=R430),"█","")</f>
        <v/>
      </c>
      <c r="F430" s="34" t="str">
        <f>IF(AND(Q430&lt;&gt;"",R430&lt;&gt;"",DATE(2026,3,0)&gt;=Q430,DATE(2026,2,1)&lt;=R430),"█","")</f>
        <v/>
      </c>
      <c r="G430" s="34" t="str">
        <f>IF(AND(Q430&lt;&gt;"",R430&lt;&gt;"",DATE(2026,4,0)&gt;=Q430,DATE(2026,3,1)&lt;=R430),"█","")</f>
        <v/>
      </c>
      <c r="H430" s="34" t="str">
        <f>IF(AND(Q430&lt;&gt;"",R430&lt;&gt;"",DATE(2026,5,0)&gt;=Q430,DATE(2026,4,1)&lt;=R430),"█","")</f>
        <v/>
      </c>
      <c r="I430" s="34" t="str">
        <f>IF(AND(Q430&lt;&gt;"",R430&lt;&gt;"",DATE(2026,6,0)&gt;=Q430,DATE(2026,5,1)&lt;=R430),"█","")</f>
        <v/>
      </c>
      <c r="J430" s="34" t="str">
        <f>IF(AND(Q430&lt;&gt;"",R430&lt;&gt;"",DATE(2026,7,0)&gt;=Q430,DATE(2026,6,1)&lt;=R430),"█","")</f>
        <v/>
      </c>
      <c r="K430" s="34" t="str">
        <f>IF(AND(Q430&lt;&gt;"",R430&lt;&gt;"",DATE(2026,8,0)&gt;=Q430,DATE(2026,7,1)&lt;=R430),"█","")</f>
        <v/>
      </c>
      <c r="L430" s="34" t="str">
        <f>IF(AND(Q430&lt;&gt;"",R430&lt;&gt;"",DATE(2026,9,0)&gt;=Q430,DATE(2026,8,1)&lt;=R430),"█","")</f>
        <v/>
      </c>
      <c r="M430" s="34" t="str">
        <f>IF(AND(Q430&lt;&gt;"",R430&lt;&gt;"",DATE(2026,10,0)&gt;=Q430,DATE(2026,9,1)&lt;=R430),"█","")</f>
        <v/>
      </c>
      <c r="N430" s="34" t="str">
        <f>IF(AND(Q430&lt;&gt;"",R430&lt;&gt;"",DATE(2026,11,0)&gt;=Q430,DATE(2026,10,1)&lt;=R430),"█","")</f>
        <v/>
      </c>
      <c r="O430" s="34" t="str">
        <f>IF(AND(Q430&lt;&gt;"",R430&lt;&gt;"",DATE(2026,12,0)&gt;=Q430,DATE(2026,11,1)&lt;=R430),"█","")</f>
        <v/>
      </c>
      <c r="P430" s="34" t="str">
        <f>IF(AND(Q430&lt;&gt;"",R430&lt;&gt;"",DATE(2026,12,31)&gt;=Q430,DATE(2026,12,1)&lt;=R430),"█","")</f>
        <v/>
      </c>
      <c r="Q430" s="7" t="str">
        <f>IF('Release Calendar'!I430&lt;&gt;"",'Release Calendar'!I430,"")</f>
        <v/>
      </c>
      <c r="R430" s="7" t="str">
        <f>IF('Release Calendar'!J430&lt;&gt;"",'Release Calendar'!J430,"")</f>
        <v/>
      </c>
    </row>
    <row r="431" spans="1:18" ht="20.100000000000001" customHeight="1">
      <c r="A431" s="14">
        <v>427</v>
      </c>
      <c r="B431" s="28" t="str">
        <f>IF('Release Calendar'!B431&lt;&gt;"",'Release Calendar'!B431,"")</f>
        <v/>
      </c>
      <c r="C431" s="29" t="str">
        <f>IF('Release Calendar'!K431&lt;&gt;"",'Release Calendar'!K431,"")</f>
        <v/>
      </c>
      <c r="D431" s="29" t="str">
        <f>IF('Release Calendar'!M431&lt;&gt;"",'Release Calendar'!M431,"")</f>
        <v/>
      </c>
      <c r="E431" s="30" t="str">
        <f>IF(AND(Q431&lt;&gt;"",R431&lt;&gt;"",DATE(2026,2,0)&gt;=Q431,DATE(2026,1,1)&lt;=R431),"█","")</f>
        <v/>
      </c>
      <c r="F431" s="30" t="str">
        <f>IF(AND(Q431&lt;&gt;"",R431&lt;&gt;"",DATE(2026,3,0)&gt;=Q431,DATE(2026,2,1)&lt;=R431),"█","")</f>
        <v/>
      </c>
      <c r="G431" s="30" t="str">
        <f>IF(AND(Q431&lt;&gt;"",R431&lt;&gt;"",DATE(2026,4,0)&gt;=Q431,DATE(2026,3,1)&lt;=R431),"█","")</f>
        <v/>
      </c>
      <c r="H431" s="30" t="str">
        <f>IF(AND(Q431&lt;&gt;"",R431&lt;&gt;"",DATE(2026,5,0)&gt;=Q431,DATE(2026,4,1)&lt;=R431),"█","")</f>
        <v/>
      </c>
      <c r="I431" s="30" t="str">
        <f>IF(AND(Q431&lt;&gt;"",R431&lt;&gt;"",DATE(2026,6,0)&gt;=Q431,DATE(2026,5,1)&lt;=R431),"█","")</f>
        <v/>
      </c>
      <c r="J431" s="30" t="str">
        <f>IF(AND(Q431&lt;&gt;"",R431&lt;&gt;"",DATE(2026,7,0)&gt;=Q431,DATE(2026,6,1)&lt;=R431),"█","")</f>
        <v/>
      </c>
      <c r="K431" s="30" t="str">
        <f>IF(AND(Q431&lt;&gt;"",R431&lt;&gt;"",DATE(2026,8,0)&gt;=Q431,DATE(2026,7,1)&lt;=R431),"█","")</f>
        <v/>
      </c>
      <c r="L431" s="30" t="str">
        <f>IF(AND(Q431&lt;&gt;"",R431&lt;&gt;"",DATE(2026,9,0)&gt;=Q431,DATE(2026,8,1)&lt;=R431),"█","")</f>
        <v/>
      </c>
      <c r="M431" s="30" t="str">
        <f>IF(AND(Q431&lt;&gt;"",R431&lt;&gt;"",DATE(2026,10,0)&gt;=Q431,DATE(2026,9,1)&lt;=R431),"█","")</f>
        <v/>
      </c>
      <c r="N431" s="30" t="str">
        <f>IF(AND(Q431&lt;&gt;"",R431&lt;&gt;"",DATE(2026,11,0)&gt;=Q431,DATE(2026,10,1)&lt;=R431),"█","")</f>
        <v/>
      </c>
      <c r="O431" s="30" t="str">
        <f>IF(AND(Q431&lt;&gt;"",R431&lt;&gt;"",DATE(2026,12,0)&gt;=Q431,DATE(2026,11,1)&lt;=R431),"█","")</f>
        <v/>
      </c>
      <c r="P431" s="30" t="str">
        <f>IF(AND(Q431&lt;&gt;"",R431&lt;&gt;"",DATE(2026,12,31)&gt;=Q431,DATE(2026,12,1)&lt;=R431),"█","")</f>
        <v/>
      </c>
      <c r="Q431" s="7" t="str">
        <f>IF('Release Calendar'!I431&lt;&gt;"",'Release Calendar'!I431,"")</f>
        <v/>
      </c>
      <c r="R431" s="7" t="str">
        <f>IF('Release Calendar'!J431&lt;&gt;"",'Release Calendar'!J431,"")</f>
        <v/>
      </c>
    </row>
    <row r="432" spans="1:18" ht="20.100000000000001" customHeight="1">
      <c r="A432" s="31">
        <v>428</v>
      </c>
      <c r="B432" s="32" t="str">
        <f>IF('Release Calendar'!B432&lt;&gt;"",'Release Calendar'!B432,"")</f>
        <v/>
      </c>
      <c r="C432" s="33" t="str">
        <f>IF('Release Calendar'!K432&lt;&gt;"",'Release Calendar'!K432,"")</f>
        <v/>
      </c>
      <c r="D432" s="33" t="str">
        <f>IF('Release Calendar'!M432&lt;&gt;"",'Release Calendar'!M432,"")</f>
        <v/>
      </c>
      <c r="E432" s="34" t="str">
        <f>IF(AND(Q432&lt;&gt;"",R432&lt;&gt;"",DATE(2026,2,0)&gt;=Q432,DATE(2026,1,1)&lt;=R432),"█","")</f>
        <v/>
      </c>
      <c r="F432" s="34" t="str">
        <f>IF(AND(Q432&lt;&gt;"",R432&lt;&gt;"",DATE(2026,3,0)&gt;=Q432,DATE(2026,2,1)&lt;=R432),"█","")</f>
        <v/>
      </c>
      <c r="G432" s="34" t="str">
        <f>IF(AND(Q432&lt;&gt;"",R432&lt;&gt;"",DATE(2026,4,0)&gt;=Q432,DATE(2026,3,1)&lt;=R432),"█","")</f>
        <v/>
      </c>
      <c r="H432" s="34" t="str">
        <f>IF(AND(Q432&lt;&gt;"",R432&lt;&gt;"",DATE(2026,5,0)&gt;=Q432,DATE(2026,4,1)&lt;=R432),"█","")</f>
        <v/>
      </c>
      <c r="I432" s="34" t="str">
        <f>IF(AND(Q432&lt;&gt;"",R432&lt;&gt;"",DATE(2026,6,0)&gt;=Q432,DATE(2026,5,1)&lt;=R432),"█","")</f>
        <v/>
      </c>
      <c r="J432" s="34" t="str">
        <f>IF(AND(Q432&lt;&gt;"",R432&lt;&gt;"",DATE(2026,7,0)&gt;=Q432,DATE(2026,6,1)&lt;=R432),"█","")</f>
        <v/>
      </c>
      <c r="K432" s="34" t="str">
        <f>IF(AND(Q432&lt;&gt;"",R432&lt;&gt;"",DATE(2026,8,0)&gt;=Q432,DATE(2026,7,1)&lt;=R432),"█","")</f>
        <v/>
      </c>
      <c r="L432" s="34" t="str">
        <f>IF(AND(Q432&lt;&gt;"",R432&lt;&gt;"",DATE(2026,9,0)&gt;=Q432,DATE(2026,8,1)&lt;=R432),"█","")</f>
        <v/>
      </c>
      <c r="M432" s="34" t="str">
        <f>IF(AND(Q432&lt;&gt;"",R432&lt;&gt;"",DATE(2026,10,0)&gt;=Q432,DATE(2026,9,1)&lt;=R432),"█","")</f>
        <v/>
      </c>
      <c r="N432" s="34" t="str">
        <f>IF(AND(Q432&lt;&gt;"",R432&lt;&gt;"",DATE(2026,11,0)&gt;=Q432,DATE(2026,10,1)&lt;=R432),"█","")</f>
        <v/>
      </c>
      <c r="O432" s="34" t="str">
        <f>IF(AND(Q432&lt;&gt;"",R432&lt;&gt;"",DATE(2026,12,0)&gt;=Q432,DATE(2026,11,1)&lt;=R432),"█","")</f>
        <v/>
      </c>
      <c r="P432" s="34" t="str">
        <f>IF(AND(Q432&lt;&gt;"",R432&lt;&gt;"",DATE(2026,12,31)&gt;=Q432,DATE(2026,12,1)&lt;=R432),"█","")</f>
        <v/>
      </c>
      <c r="Q432" s="7" t="str">
        <f>IF('Release Calendar'!I432&lt;&gt;"",'Release Calendar'!I432,"")</f>
        <v/>
      </c>
      <c r="R432" s="7" t="str">
        <f>IF('Release Calendar'!J432&lt;&gt;"",'Release Calendar'!J432,"")</f>
        <v/>
      </c>
    </row>
    <row r="433" spans="1:18" ht="20.100000000000001" customHeight="1">
      <c r="A433" s="14">
        <v>429</v>
      </c>
      <c r="B433" s="28" t="str">
        <f>IF('Release Calendar'!B433&lt;&gt;"",'Release Calendar'!B433,"")</f>
        <v/>
      </c>
      <c r="C433" s="29" t="str">
        <f>IF('Release Calendar'!K433&lt;&gt;"",'Release Calendar'!K433,"")</f>
        <v/>
      </c>
      <c r="D433" s="29" t="str">
        <f>IF('Release Calendar'!M433&lt;&gt;"",'Release Calendar'!M433,"")</f>
        <v/>
      </c>
      <c r="E433" s="30" t="str">
        <f>IF(AND(Q433&lt;&gt;"",R433&lt;&gt;"",DATE(2026,2,0)&gt;=Q433,DATE(2026,1,1)&lt;=R433),"█","")</f>
        <v/>
      </c>
      <c r="F433" s="30" t="str">
        <f>IF(AND(Q433&lt;&gt;"",R433&lt;&gt;"",DATE(2026,3,0)&gt;=Q433,DATE(2026,2,1)&lt;=R433),"█","")</f>
        <v/>
      </c>
      <c r="G433" s="30" t="str">
        <f>IF(AND(Q433&lt;&gt;"",R433&lt;&gt;"",DATE(2026,4,0)&gt;=Q433,DATE(2026,3,1)&lt;=R433),"█","")</f>
        <v/>
      </c>
      <c r="H433" s="30" t="str">
        <f>IF(AND(Q433&lt;&gt;"",R433&lt;&gt;"",DATE(2026,5,0)&gt;=Q433,DATE(2026,4,1)&lt;=R433),"█","")</f>
        <v/>
      </c>
      <c r="I433" s="30" t="str">
        <f>IF(AND(Q433&lt;&gt;"",R433&lt;&gt;"",DATE(2026,6,0)&gt;=Q433,DATE(2026,5,1)&lt;=R433),"█","")</f>
        <v/>
      </c>
      <c r="J433" s="30" t="str">
        <f>IF(AND(Q433&lt;&gt;"",R433&lt;&gt;"",DATE(2026,7,0)&gt;=Q433,DATE(2026,6,1)&lt;=R433),"█","")</f>
        <v/>
      </c>
      <c r="K433" s="30" t="str">
        <f>IF(AND(Q433&lt;&gt;"",R433&lt;&gt;"",DATE(2026,8,0)&gt;=Q433,DATE(2026,7,1)&lt;=R433),"█","")</f>
        <v/>
      </c>
      <c r="L433" s="30" t="str">
        <f>IF(AND(Q433&lt;&gt;"",R433&lt;&gt;"",DATE(2026,9,0)&gt;=Q433,DATE(2026,8,1)&lt;=R433),"█","")</f>
        <v/>
      </c>
      <c r="M433" s="30" t="str">
        <f>IF(AND(Q433&lt;&gt;"",R433&lt;&gt;"",DATE(2026,10,0)&gt;=Q433,DATE(2026,9,1)&lt;=R433),"█","")</f>
        <v/>
      </c>
      <c r="N433" s="30" t="str">
        <f>IF(AND(Q433&lt;&gt;"",R433&lt;&gt;"",DATE(2026,11,0)&gt;=Q433,DATE(2026,10,1)&lt;=R433),"█","")</f>
        <v/>
      </c>
      <c r="O433" s="30" t="str">
        <f>IF(AND(Q433&lt;&gt;"",R433&lt;&gt;"",DATE(2026,12,0)&gt;=Q433,DATE(2026,11,1)&lt;=R433),"█","")</f>
        <v/>
      </c>
      <c r="P433" s="30" t="str">
        <f>IF(AND(Q433&lt;&gt;"",R433&lt;&gt;"",DATE(2026,12,31)&gt;=Q433,DATE(2026,12,1)&lt;=R433),"█","")</f>
        <v/>
      </c>
      <c r="Q433" s="7" t="str">
        <f>IF('Release Calendar'!I433&lt;&gt;"",'Release Calendar'!I433,"")</f>
        <v/>
      </c>
      <c r="R433" s="7" t="str">
        <f>IF('Release Calendar'!J433&lt;&gt;"",'Release Calendar'!J433,"")</f>
        <v/>
      </c>
    </row>
    <row r="434" spans="1:18" ht="20.100000000000001" customHeight="1">
      <c r="A434" s="31">
        <v>430</v>
      </c>
      <c r="B434" s="32" t="str">
        <f>IF('Release Calendar'!B434&lt;&gt;"",'Release Calendar'!B434,"")</f>
        <v/>
      </c>
      <c r="C434" s="33" t="str">
        <f>IF('Release Calendar'!K434&lt;&gt;"",'Release Calendar'!K434,"")</f>
        <v/>
      </c>
      <c r="D434" s="33" t="str">
        <f>IF('Release Calendar'!M434&lt;&gt;"",'Release Calendar'!M434,"")</f>
        <v/>
      </c>
      <c r="E434" s="34" t="str">
        <f>IF(AND(Q434&lt;&gt;"",R434&lt;&gt;"",DATE(2026,2,0)&gt;=Q434,DATE(2026,1,1)&lt;=R434),"█","")</f>
        <v/>
      </c>
      <c r="F434" s="34" t="str">
        <f>IF(AND(Q434&lt;&gt;"",R434&lt;&gt;"",DATE(2026,3,0)&gt;=Q434,DATE(2026,2,1)&lt;=R434),"█","")</f>
        <v/>
      </c>
      <c r="G434" s="34" t="str">
        <f>IF(AND(Q434&lt;&gt;"",R434&lt;&gt;"",DATE(2026,4,0)&gt;=Q434,DATE(2026,3,1)&lt;=R434),"█","")</f>
        <v/>
      </c>
      <c r="H434" s="34" t="str">
        <f>IF(AND(Q434&lt;&gt;"",R434&lt;&gt;"",DATE(2026,5,0)&gt;=Q434,DATE(2026,4,1)&lt;=R434),"█","")</f>
        <v/>
      </c>
      <c r="I434" s="34" t="str">
        <f>IF(AND(Q434&lt;&gt;"",R434&lt;&gt;"",DATE(2026,6,0)&gt;=Q434,DATE(2026,5,1)&lt;=R434),"█","")</f>
        <v/>
      </c>
      <c r="J434" s="34" t="str">
        <f>IF(AND(Q434&lt;&gt;"",R434&lt;&gt;"",DATE(2026,7,0)&gt;=Q434,DATE(2026,6,1)&lt;=R434),"█","")</f>
        <v/>
      </c>
      <c r="K434" s="34" t="str">
        <f>IF(AND(Q434&lt;&gt;"",R434&lt;&gt;"",DATE(2026,8,0)&gt;=Q434,DATE(2026,7,1)&lt;=R434),"█","")</f>
        <v/>
      </c>
      <c r="L434" s="34" t="str">
        <f>IF(AND(Q434&lt;&gt;"",R434&lt;&gt;"",DATE(2026,9,0)&gt;=Q434,DATE(2026,8,1)&lt;=R434),"█","")</f>
        <v/>
      </c>
      <c r="M434" s="34" t="str">
        <f>IF(AND(Q434&lt;&gt;"",R434&lt;&gt;"",DATE(2026,10,0)&gt;=Q434,DATE(2026,9,1)&lt;=R434),"█","")</f>
        <v/>
      </c>
      <c r="N434" s="34" t="str">
        <f>IF(AND(Q434&lt;&gt;"",R434&lt;&gt;"",DATE(2026,11,0)&gt;=Q434,DATE(2026,10,1)&lt;=R434),"█","")</f>
        <v/>
      </c>
      <c r="O434" s="34" t="str">
        <f>IF(AND(Q434&lt;&gt;"",R434&lt;&gt;"",DATE(2026,12,0)&gt;=Q434,DATE(2026,11,1)&lt;=R434),"█","")</f>
        <v/>
      </c>
      <c r="P434" s="34" t="str">
        <f>IF(AND(Q434&lt;&gt;"",R434&lt;&gt;"",DATE(2026,12,31)&gt;=Q434,DATE(2026,12,1)&lt;=R434),"█","")</f>
        <v/>
      </c>
      <c r="Q434" s="7" t="str">
        <f>IF('Release Calendar'!I434&lt;&gt;"",'Release Calendar'!I434,"")</f>
        <v/>
      </c>
      <c r="R434" s="7" t="str">
        <f>IF('Release Calendar'!J434&lt;&gt;"",'Release Calendar'!J434,"")</f>
        <v/>
      </c>
    </row>
    <row r="435" spans="1:18" ht="20.100000000000001" customHeight="1">
      <c r="A435" s="14">
        <v>431</v>
      </c>
      <c r="B435" s="28" t="str">
        <f>IF('Release Calendar'!B435&lt;&gt;"",'Release Calendar'!B435,"")</f>
        <v/>
      </c>
      <c r="C435" s="29" t="str">
        <f>IF('Release Calendar'!K435&lt;&gt;"",'Release Calendar'!K435,"")</f>
        <v/>
      </c>
      <c r="D435" s="29" t="str">
        <f>IF('Release Calendar'!M435&lt;&gt;"",'Release Calendar'!M435,"")</f>
        <v/>
      </c>
      <c r="E435" s="30" t="str">
        <f>IF(AND(Q435&lt;&gt;"",R435&lt;&gt;"",DATE(2026,2,0)&gt;=Q435,DATE(2026,1,1)&lt;=R435),"█","")</f>
        <v/>
      </c>
      <c r="F435" s="30" t="str">
        <f>IF(AND(Q435&lt;&gt;"",R435&lt;&gt;"",DATE(2026,3,0)&gt;=Q435,DATE(2026,2,1)&lt;=R435),"█","")</f>
        <v/>
      </c>
      <c r="G435" s="30" t="str">
        <f>IF(AND(Q435&lt;&gt;"",R435&lt;&gt;"",DATE(2026,4,0)&gt;=Q435,DATE(2026,3,1)&lt;=R435),"█","")</f>
        <v/>
      </c>
      <c r="H435" s="30" t="str">
        <f>IF(AND(Q435&lt;&gt;"",R435&lt;&gt;"",DATE(2026,5,0)&gt;=Q435,DATE(2026,4,1)&lt;=R435),"█","")</f>
        <v/>
      </c>
      <c r="I435" s="30" t="str">
        <f>IF(AND(Q435&lt;&gt;"",R435&lt;&gt;"",DATE(2026,6,0)&gt;=Q435,DATE(2026,5,1)&lt;=R435),"█","")</f>
        <v/>
      </c>
      <c r="J435" s="30" t="str">
        <f>IF(AND(Q435&lt;&gt;"",R435&lt;&gt;"",DATE(2026,7,0)&gt;=Q435,DATE(2026,6,1)&lt;=R435),"█","")</f>
        <v/>
      </c>
      <c r="K435" s="30" t="str">
        <f>IF(AND(Q435&lt;&gt;"",R435&lt;&gt;"",DATE(2026,8,0)&gt;=Q435,DATE(2026,7,1)&lt;=R435),"█","")</f>
        <v/>
      </c>
      <c r="L435" s="30" t="str">
        <f>IF(AND(Q435&lt;&gt;"",R435&lt;&gt;"",DATE(2026,9,0)&gt;=Q435,DATE(2026,8,1)&lt;=R435),"█","")</f>
        <v/>
      </c>
      <c r="M435" s="30" t="str">
        <f>IF(AND(Q435&lt;&gt;"",R435&lt;&gt;"",DATE(2026,10,0)&gt;=Q435,DATE(2026,9,1)&lt;=R435),"█","")</f>
        <v/>
      </c>
      <c r="N435" s="30" t="str">
        <f>IF(AND(Q435&lt;&gt;"",R435&lt;&gt;"",DATE(2026,11,0)&gt;=Q435,DATE(2026,10,1)&lt;=R435),"█","")</f>
        <v/>
      </c>
      <c r="O435" s="30" t="str">
        <f>IF(AND(Q435&lt;&gt;"",R435&lt;&gt;"",DATE(2026,12,0)&gt;=Q435,DATE(2026,11,1)&lt;=R435),"█","")</f>
        <v/>
      </c>
      <c r="P435" s="30" t="str">
        <f>IF(AND(Q435&lt;&gt;"",R435&lt;&gt;"",DATE(2026,12,31)&gt;=Q435,DATE(2026,12,1)&lt;=R435),"█","")</f>
        <v/>
      </c>
      <c r="Q435" s="7" t="str">
        <f>IF('Release Calendar'!I435&lt;&gt;"",'Release Calendar'!I435,"")</f>
        <v/>
      </c>
      <c r="R435" s="7" t="str">
        <f>IF('Release Calendar'!J435&lt;&gt;"",'Release Calendar'!J435,"")</f>
        <v/>
      </c>
    </row>
    <row r="436" spans="1:18" ht="20.100000000000001" customHeight="1">
      <c r="A436" s="31">
        <v>432</v>
      </c>
      <c r="B436" s="32" t="str">
        <f>IF('Release Calendar'!B436&lt;&gt;"",'Release Calendar'!B436,"")</f>
        <v/>
      </c>
      <c r="C436" s="33" t="str">
        <f>IF('Release Calendar'!K436&lt;&gt;"",'Release Calendar'!K436,"")</f>
        <v/>
      </c>
      <c r="D436" s="33" t="str">
        <f>IF('Release Calendar'!M436&lt;&gt;"",'Release Calendar'!M436,"")</f>
        <v/>
      </c>
      <c r="E436" s="34" t="str">
        <f>IF(AND(Q436&lt;&gt;"",R436&lt;&gt;"",DATE(2026,2,0)&gt;=Q436,DATE(2026,1,1)&lt;=R436),"█","")</f>
        <v/>
      </c>
      <c r="F436" s="34" t="str">
        <f>IF(AND(Q436&lt;&gt;"",R436&lt;&gt;"",DATE(2026,3,0)&gt;=Q436,DATE(2026,2,1)&lt;=R436),"█","")</f>
        <v/>
      </c>
      <c r="G436" s="34" t="str">
        <f>IF(AND(Q436&lt;&gt;"",R436&lt;&gt;"",DATE(2026,4,0)&gt;=Q436,DATE(2026,3,1)&lt;=R436),"█","")</f>
        <v/>
      </c>
      <c r="H436" s="34" t="str">
        <f>IF(AND(Q436&lt;&gt;"",R436&lt;&gt;"",DATE(2026,5,0)&gt;=Q436,DATE(2026,4,1)&lt;=R436),"█","")</f>
        <v/>
      </c>
      <c r="I436" s="34" t="str">
        <f>IF(AND(Q436&lt;&gt;"",R436&lt;&gt;"",DATE(2026,6,0)&gt;=Q436,DATE(2026,5,1)&lt;=R436),"█","")</f>
        <v/>
      </c>
      <c r="J436" s="34" t="str">
        <f>IF(AND(Q436&lt;&gt;"",R436&lt;&gt;"",DATE(2026,7,0)&gt;=Q436,DATE(2026,6,1)&lt;=R436),"█","")</f>
        <v/>
      </c>
      <c r="K436" s="34" t="str">
        <f>IF(AND(Q436&lt;&gt;"",R436&lt;&gt;"",DATE(2026,8,0)&gt;=Q436,DATE(2026,7,1)&lt;=R436),"█","")</f>
        <v/>
      </c>
      <c r="L436" s="34" t="str">
        <f>IF(AND(Q436&lt;&gt;"",R436&lt;&gt;"",DATE(2026,9,0)&gt;=Q436,DATE(2026,8,1)&lt;=R436),"█","")</f>
        <v/>
      </c>
      <c r="M436" s="34" t="str">
        <f>IF(AND(Q436&lt;&gt;"",R436&lt;&gt;"",DATE(2026,10,0)&gt;=Q436,DATE(2026,9,1)&lt;=R436),"█","")</f>
        <v/>
      </c>
      <c r="N436" s="34" t="str">
        <f>IF(AND(Q436&lt;&gt;"",R436&lt;&gt;"",DATE(2026,11,0)&gt;=Q436,DATE(2026,10,1)&lt;=R436),"█","")</f>
        <v/>
      </c>
      <c r="O436" s="34" t="str">
        <f>IF(AND(Q436&lt;&gt;"",R436&lt;&gt;"",DATE(2026,12,0)&gt;=Q436,DATE(2026,11,1)&lt;=R436),"█","")</f>
        <v/>
      </c>
      <c r="P436" s="34" t="str">
        <f>IF(AND(Q436&lt;&gt;"",R436&lt;&gt;"",DATE(2026,12,31)&gt;=Q436,DATE(2026,12,1)&lt;=R436),"█","")</f>
        <v/>
      </c>
      <c r="Q436" s="7" t="str">
        <f>IF('Release Calendar'!I436&lt;&gt;"",'Release Calendar'!I436,"")</f>
        <v/>
      </c>
      <c r="R436" s="7" t="str">
        <f>IF('Release Calendar'!J436&lt;&gt;"",'Release Calendar'!J436,"")</f>
        <v/>
      </c>
    </row>
    <row r="437" spans="1:18" ht="20.100000000000001" customHeight="1">
      <c r="A437" s="14">
        <v>433</v>
      </c>
      <c r="B437" s="28" t="str">
        <f>IF('Release Calendar'!B437&lt;&gt;"",'Release Calendar'!B437,"")</f>
        <v/>
      </c>
      <c r="C437" s="29" t="str">
        <f>IF('Release Calendar'!K437&lt;&gt;"",'Release Calendar'!K437,"")</f>
        <v/>
      </c>
      <c r="D437" s="29" t="str">
        <f>IF('Release Calendar'!M437&lt;&gt;"",'Release Calendar'!M437,"")</f>
        <v/>
      </c>
      <c r="E437" s="30" t="str">
        <f>IF(AND(Q437&lt;&gt;"",R437&lt;&gt;"",DATE(2026,2,0)&gt;=Q437,DATE(2026,1,1)&lt;=R437),"█","")</f>
        <v/>
      </c>
      <c r="F437" s="30" t="str">
        <f>IF(AND(Q437&lt;&gt;"",R437&lt;&gt;"",DATE(2026,3,0)&gt;=Q437,DATE(2026,2,1)&lt;=R437),"█","")</f>
        <v/>
      </c>
      <c r="G437" s="30" t="str">
        <f>IF(AND(Q437&lt;&gt;"",R437&lt;&gt;"",DATE(2026,4,0)&gt;=Q437,DATE(2026,3,1)&lt;=R437),"█","")</f>
        <v/>
      </c>
      <c r="H437" s="30" t="str">
        <f>IF(AND(Q437&lt;&gt;"",R437&lt;&gt;"",DATE(2026,5,0)&gt;=Q437,DATE(2026,4,1)&lt;=R437),"█","")</f>
        <v/>
      </c>
      <c r="I437" s="30" t="str">
        <f>IF(AND(Q437&lt;&gt;"",R437&lt;&gt;"",DATE(2026,6,0)&gt;=Q437,DATE(2026,5,1)&lt;=R437),"█","")</f>
        <v/>
      </c>
      <c r="J437" s="30" t="str">
        <f>IF(AND(Q437&lt;&gt;"",R437&lt;&gt;"",DATE(2026,7,0)&gt;=Q437,DATE(2026,6,1)&lt;=R437),"█","")</f>
        <v/>
      </c>
      <c r="K437" s="30" t="str">
        <f>IF(AND(Q437&lt;&gt;"",R437&lt;&gt;"",DATE(2026,8,0)&gt;=Q437,DATE(2026,7,1)&lt;=R437),"█","")</f>
        <v/>
      </c>
      <c r="L437" s="30" t="str">
        <f>IF(AND(Q437&lt;&gt;"",R437&lt;&gt;"",DATE(2026,9,0)&gt;=Q437,DATE(2026,8,1)&lt;=R437),"█","")</f>
        <v/>
      </c>
      <c r="M437" s="30" t="str">
        <f>IF(AND(Q437&lt;&gt;"",R437&lt;&gt;"",DATE(2026,10,0)&gt;=Q437,DATE(2026,9,1)&lt;=R437),"█","")</f>
        <v/>
      </c>
      <c r="N437" s="30" t="str">
        <f>IF(AND(Q437&lt;&gt;"",R437&lt;&gt;"",DATE(2026,11,0)&gt;=Q437,DATE(2026,10,1)&lt;=R437),"█","")</f>
        <v/>
      </c>
      <c r="O437" s="30" t="str">
        <f>IF(AND(Q437&lt;&gt;"",R437&lt;&gt;"",DATE(2026,12,0)&gt;=Q437,DATE(2026,11,1)&lt;=R437),"█","")</f>
        <v/>
      </c>
      <c r="P437" s="30" t="str">
        <f>IF(AND(Q437&lt;&gt;"",R437&lt;&gt;"",DATE(2026,12,31)&gt;=Q437,DATE(2026,12,1)&lt;=R437),"█","")</f>
        <v/>
      </c>
      <c r="Q437" s="7" t="str">
        <f>IF('Release Calendar'!I437&lt;&gt;"",'Release Calendar'!I437,"")</f>
        <v/>
      </c>
      <c r="R437" s="7" t="str">
        <f>IF('Release Calendar'!J437&lt;&gt;"",'Release Calendar'!J437,"")</f>
        <v/>
      </c>
    </row>
    <row r="438" spans="1:18" ht="20.100000000000001" customHeight="1">
      <c r="A438" s="31">
        <v>434</v>
      </c>
      <c r="B438" s="32" t="str">
        <f>IF('Release Calendar'!B438&lt;&gt;"",'Release Calendar'!B438,"")</f>
        <v/>
      </c>
      <c r="C438" s="33" t="str">
        <f>IF('Release Calendar'!K438&lt;&gt;"",'Release Calendar'!K438,"")</f>
        <v/>
      </c>
      <c r="D438" s="33" t="str">
        <f>IF('Release Calendar'!M438&lt;&gt;"",'Release Calendar'!M438,"")</f>
        <v/>
      </c>
      <c r="E438" s="34" t="str">
        <f>IF(AND(Q438&lt;&gt;"",R438&lt;&gt;"",DATE(2026,2,0)&gt;=Q438,DATE(2026,1,1)&lt;=R438),"█","")</f>
        <v/>
      </c>
      <c r="F438" s="34" t="str">
        <f>IF(AND(Q438&lt;&gt;"",R438&lt;&gt;"",DATE(2026,3,0)&gt;=Q438,DATE(2026,2,1)&lt;=R438),"█","")</f>
        <v/>
      </c>
      <c r="G438" s="34" t="str">
        <f>IF(AND(Q438&lt;&gt;"",R438&lt;&gt;"",DATE(2026,4,0)&gt;=Q438,DATE(2026,3,1)&lt;=R438),"█","")</f>
        <v/>
      </c>
      <c r="H438" s="34" t="str">
        <f>IF(AND(Q438&lt;&gt;"",R438&lt;&gt;"",DATE(2026,5,0)&gt;=Q438,DATE(2026,4,1)&lt;=R438),"█","")</f>
        <v/>
      </c>
      <c r="I438" s="34" t="str">
        <f>IF(AND(Q438&lt;&gt;"",R438&lt;&gt;"",DATE(2026,6,0)&gt;=Q438,DATE(2026,5,1)&lt;=R438),"█","")</f>
        <v/>
      </c>
      <c r="J438" s="34" t="str">
        <f>IF(AND(Q438&lt;&gt;"",R438&lt;&gt;"",DATE(2026,7,0)&gt;=Q438,DATE(2026,6,1)&lt;=R438),"█","")</f>
        <v/>
      </c>
      <c r="K438" s="34" t="str">
        <f>IF(AND(Q438&lt;&gt;"",R438&lt;&gt;"",DATE(2026,8,0)&gt;=Q438,DATE(2026,7,1)&lt;=R438),"█","")</f>
        <v/>
      </c>
      <c r="L438" s="34" t="str">
        <f>IF(AND(Q438&lt;&gt;"",R438&lt;&gt;"",DATE(2026,9,0)&gt;=Q438,DATE(2026,8,1)&lt;=R438),"█","")</f>
        <v/>
      </c>
      <c r="M438" s="34" t="str">
        <f>IF(AND(Q438&lt;&gt;"",R438&lt;&gt;"",DATE(2026,10,0)&gt;=Q438,DATE(2026,9,1)&lt;=R438),"█","")</f>
        <v/>
      </c>
      <c r="N438" s="34" t="str">
        <f>IF(AND(Q438&lt;&gt;"",R438&lt;&gt;"",DATE(2026,11,0)&gt;=Q438,DATE(2026,10,1)&lt;=R438),"█","")</f>
        <v/>
      </c>
      <c r="O438" s="34" t="str">
        <f>IF(AND(Q438&lt;&gt;"",R438&lt;&gt;"",DATE(2026,12,0)&gt;=Q438,DATE(2026,11,1)&lt;=R438),"█","")</f>
        <v/>
      </c>
      <c r="P438" s="34" t="str">
        <f>IF(AND(Q438&lt;&gt;"",R438&lt;&gt;"",DATE(2026,12,31)&gt;=Q438,DATE(2026,12,1)&lt;=R438),"█","")</f>
        <v/>
      </c>
      <c r="Q438" s="7" t="str">
        <f>IF('Release Calendar'!I438&lt;&gt;"",'Release Calendar'!I438,"")</f>
        <v/>
      </c>
      <c r="R438" s="7" t="str">
        <f>IF('Release Calendar'!J438&lt;&gt;"",'Release Calendar'!J438,"")</f>
        <v/>
      </c>
    </row>
    <row r="439" spans="1:18" ht="20.100000000000001" customHeight="1">
      <c r="A439" s="14">
        <v>435</v>
      </c>
      <c r="B439" s="28" t="str">
        <f>IF('Release Calendar'!B439&lt;&gt;"",'Release Calendar'!B439,"")</f>
        <v/>
      </c>
      <c r="C439" s="29" t="str">
        <f>IF('Release Calendar'!K439&lt;&gt;"",'Release Calendar'!K439,"")</f>
        <v/>
      </c>
      <c r="D439" s="29" t="str">
        <f>IF('Release Calendar'!M439&lt;&gt;"",'Release Calendar'!M439,"")</f>
        <v/>
      </c>
      <c r="E439" s="30" t="str">
        <f>IF(AND(Q439&lt;&gt;"",R439&lt;&gt;"",DATE(2026,2,0)&gt;=Q439,DATE(2026,1,1)&lt;=R439),"█","")</f>
        <v/>
      </c>
      <c r="F439" s="30" t="str">
        <f>IF(AND(Q439&lt;&gt;"",R439&lt;&gt;"",DATE(2026,3,0)&gt;=Q439,DATE(2026,2,1)&lt;=R439),"█","")</f>
        <v/>
      </c>
      <c r="G439" s="30" t="str">
        <f>IF(AND(Q439&lt;&gt;"",R439&lt;&gt;"",DATE(2026,4,0)&gt;=Q439,DATE(2026,3,1)&lt;=R439),"█","")</f>
        <v/>
      </c>
      <c r="H439" s="30" t="str">
        <f>IF(AND(Q439&lt;&gt;"",R439&lt;&gt;"",DATE(2026,5,0)&gt;=Q439,DATE(2026,4,1)&lt;=R439),"█","")</f>
        <v/>
      </c>
      <c r="I439" s="30" t="str">
        <f>IF(AND(Q439&lt;&gt;"",R439&lt;&gt;"",DATE(2026,6,0)&gt;=Q439,DATE(2026,5,1)&lt;=R439),"█","")</f>
        <v/>
      </c>
      <c r="J439" s="30" t="str">
        <f>IF(AND(Q439&lt;&gt;"",R439&lt;&gt;"",DATE(2026,7,0)&gt;=Q439,DATE(2026,6,1)&lt;=R439),"█","")</f>
        <v/>
      </c>
      <c r="K439" s="30" t="str">
        <f>IF(AND(Q439&lt;&gt;"",R439&lt;&gt;"",DATE(2026,8,0)&gt;=Q439,DATE(2026,7,1)&lt;=R439),"█","")</f>
        <v/>
      </c>
      <c r="L439" s="30" t="str">
        <f>IF(AND(Q439&lt;&gt;"",R439&lt;&gt;"",DATE(2026,9,0)&gt;=Q439,DATE(2026,8,1)&lt;=R439),"█","")</f>
        <v/>
      </c>
      <c r="M439" s="30" t="str">
        <f>IF(AND(Q439&lt;&gt;"",R439&lt;&gt;"",DATE(2026,10,0)&gt;=Q439,DATE(2026,9,1)&lt;=R439),"█","")</f>
        <v/>
      </c>
      <c r="N439" s="30" t="str">
        <f>IF(AND(Q439&lt;&gt;"",R439&lt;&gt;"",DATE(2026,11,0)&gt;=Q439,DATE(2026,10,1)&lt;=R439),"█","")</f>
        <v/>
      </c>
      <c r="O439" s="30" t="str">
        <f>IF(AND(Q439&lt;&gt;"",R439&lt;&gt;"",DATE(2026,12,0)&gt;=Q439,DATE(2026,11,1)&lt;=R439),"█","")</f>
        <v/>
      </c>
      <c r="P439" s="30" t="str">
        <f>IF(AND(Q439&lt;&gt;"",R439&lt;&gt;"",DATE(2026,12,31)&gt;=Q439,DATE(2026,12,1)&lt;=R439),"█","")</f>
        <v/>
      </c>
      <c r="Q439" s="7" t="str">
        <f>IF('Release Calendar'!I439&lt;&gt;"",'Release Calendar'!I439,"")</f>
        <v/>
      </c>
      <c r="R439" s="7" t="str">
        <f>IF('Release Calendar'!J439&lt;&gt;"",'Release Calendar'!J439,"")</f>
        <v/>
      </c>
    </row>
    <row r="440" spans="1:18" ht="20.100000000000001" customHeight="1">
      <c r="A440" s="31">
        <v>436</v>
      </c>
      <c r="B440" s="32" t="str">
        <f>IF('Release Calendar'!B440&lt;&gt;"",'Release Calendar'!B440,"")</f>
        <v/>
      </c>
      <c r="C440" s="33" t="str">
        <f>IF('Release Calendar'!K440&lt;&gt;"",'Release Calendar'!K440,"")</f>
        <v/>
      </c>
      <c r="D440" s="33" t="str">
        <f>IF('Release Calendar'!M440&lt;&gt;"",'Release Calendar'!M440,"")</f>
        <v/>
      </c>
      <c r="E440" s="34" t="str">
        <f>IF(AND(Q440&lt;&gt;"",R440&lt;&gt;"",DATE(2026,2,0)&gt;=Q440,DATE(2026,1,1)&lt;=R440),"█","")</f>
        <v/>
      </c>
      <c r="F440" s="34" t="str">
        <f>IF(AND(Q440&lt;&gt;"",R440&lt;&gt;"",DATE(2026,3,0)&gt;=Q440,DATE(2026,2,1)&lt;=R440),"█","")</f>
        <v/>
      </c>
      <c r="G440" s="34" t="str">
        <f>IF(AND(Q440&lt;&gt;"",R440&lt;&gt;"",DATE(2026,4,0)&gt;=Q440,DATE(2026,3,1)&lt;=R440),"█","")</f>
        <v/>
      </c>
      <c r="H440" s="34" t="str">
        <f>IF(AND(Q440&lt;&gt;"",R440&lt;&gt;"",DATE(2026,5,0)&gt;=Q440,DATE(2026,4,1)&lt;=R440),"█","")</f>
        <v/>
      </c>
      <c r="I440" s="34" t="str">
        <f>IF(AND(Q440&lt;&gt;"",R440&lt;&gt;"",DATE(2026,6,0)&gt;=Q440,DATE(2026,5,1)&lt;=R440),"█","")</f>
        <v/>
      </c>
      <c r="J440" s="34" t="str">
        <f>IF(AND(Q440&lt;&gt;"",R440&lt;&gt;"",DATE(2026,7,0)&gt;=Q440,DATE(2026,6,1)&lt;=R440),"█","")</f>
        <v/>
      </c>
      <c r="K440" s="34" t="str">
        <f>IF(AND(Q440&lt;&gt;"",R440&lt;&gt;"",DATE(2026,8,0)&gt;=Q440,DATE(2026,7,1)&lt;=R440),"█","")</f>
        <v/>
      </c>
      <c r="L440" s="34" t="str">
        <f>IF(AND(Q440&lt;&gt;"",R440&lt;&gt;"",DATE(2026,9,0)&gt;=Q440,DATE(2026,8,1)&lt;=R440),"█","")</f>
        <v/>
      </c>
      <c r="M440" s="34" t="str">
        <f>IF(AND(Q440&lt;&gt;"",R440&lt;&gt;"",DATE(2026,10,0)&gt;=Q440,DATE(2026,9,1)&lt;=R440),"█","")</f>
        <v/>
      </c>
      <c r="N440" s="34" t="str">
        <f>IF(AND(Q440&lt;&gt;"",R440&lt;&gt;"",DATE(2026,11,0)&gt;=Q440,DATE(2026,10,1)&lt;=R440),"█","")</f>
        <v/>
      </c>
      <c r="O440" s="34" t="str">
        <f>IF(AND(Q440&lt;&gt;"",R440&lt;&gt;"",DATE(2026,12,0)&gt;=Q440,DATE(2026,11,1)&lt;=R440),"█","")</f>
        <v/>
      </c>
      <c r="P440" s="34" t="str">
        <f>IF(AND(Q440&lt;&gt;"",R440&lt;&gt;"",DATE(2026,12,31)&gt;=Q440,DATE(2026,12,1)&lt;=R440),"█","")</f>
        <v/>
      </c>
      <c r="Q440" s="7" t="str">
        <f>IF('Release Calendar'!I440&lt;&gt;"",'Release Calendar'!I440,"")</f>
        <v/>
      </c>
      <c r="R440" s="7" t="str">
        <f>IF('Release Calendar'!J440&lt;&gt;"",'Release Calendar'!J440,"")</f>
        <v/>
      </c>
    </row>
    <row r="441" spans="1:18" ht="20.100000000000001" customHeight="1">
      <c r="A441" s="14">
        <v>437</v>
      </c>
      <c r="B441" s="28" t="str">
        <f>IF('Release Calendar'!B441&lt;&gt;"",'Release Calendar'!B441,"")</f>
        <v/>
      </c>
      <c r="C441" s="29" t="str">
        <f>IF('Release Calendar'!K441&lt;&gt;"",'Release Calendar'!K441,"")</f>
        <v/>
      </c>
      <c r="D441" s="29" t="str">
        <f>IF('Release Calendar'!M441&lt;&gt;"",'Release Calendar'!M441,"")</f>
        <v/>
      </c>
      <c r="E441" s="30" t="str">
        <f>IF(AND(Q441&lt;&gt;"",R441&lt;&gt;"",DATE(2026,2,0)&gt;=Q441,DATE(2026,1,1)&lt;=R441),"█","")</f>
        <v/>
      </c>
      <c r="F441" s="30" t="str">
        <f>IF(AND(Q441&lt;&gt;"",R441&lt;&gt;"",DATE(2026,3,0)&gt;=Q441,DATE(2026,2,1)&lt;=R441),"█","")</f>
        <v/>
      </c>
      <c r="G441" s="30" t="str">
        <f>IF(AND(Q441&lt;&gt;"",R441&lt;&gt;"",DATE(2026,4,0)&gt;=Q441,DATE(2026,3,1)&lt;=R441),"█","")</f>
        <v/>
      </c>
      <c r="H441" s="30" t="str">
        <f>IF(AND(Q441&lt;&gt;"",R441&lt;&gt;"",DATE(2026,5,0)&gt;=Q441,DATE(2026,4,1)&lt;=R441),"█","")</f>
        <v/>
      </c>
      <c r="I441" s="30" t="str">
        <f>IF(AND(Q441&lt;&gt;"",R441&lt;&gt;"",DATE(2026,6,0)&gt;=Q441,DATE(2026,5,1)&lt;=R441),"█","")</f>
        <v/>
      </c>
      <c r="J441" s="30" t="str">
        <f>IF(AND(Q441&lt;&gt;"",R441&lt;&gt;"",DATE(2026,7,0)&gt;=Q441,DATE(2026,6,1)&lt;=R441),"█","")</f>
        <v/>
      </c>
      <c r="K441" s="30" t="str">
        <f>IF(AND(Q441&lt;&gt;"",R441&lt;&gt;"",DATE(2026,8,0)&gt;=Q441,DATE(2026,7,1)&lt;=R441),"█","")</f>
        <v/>
      </c>
      <c r="L441" s="30" t="str">
        <f>IF(AND(Q441&lt;&gt;"",R441&lt;&gt;"",DATE(2026,9,0)&gt;=Q441,DATE(2026,8,1)&lt;=R441),"█","")</f>
        <v/>
      </c>
      <c r="M441" s="30" t="str">
        <f>IF(AND(Q441&lt;&gt;"",R441&lt;&gt;"",DATE(2026,10,0)&gt;=Q441,DATE(2026,9,1)&lt;=R441),"█","")</f>
        <v/>
      </c>
      <c r="N441" s="30" t="str">
        <f>IF(AND(Q441&lt;&gt;"",R441&lt;&gt;"",DATE(2026,11,0)&gt;=Q441,DATE(2026,10,1)&lt;=R441),"█","")</f>
        <v/>
      </c>
      <c r="O441" s="30" t="str">
        <f>IF(AND(Q441&lt;&gt;"",R441&lt;&gt;"",DATE(2026,12,0)&gt;=Q441,DATE(2026,11,1)&lt;=R441),"█","")</f>
        <v/>
      </c>
      <c r="P441" s="30" t="str">
        <f>IF(AND(Q441&lt;&gt;"",R441&lt;&gt;"",DATE(2026,12,31)&gt;=Q441,DATE(2026,12,1)&lt;=R441),"█","")</f>
        <v/>
      </c>
      <c r="Q441" s="7" t="str">
        <f>IF('Release Calendar'!I441&lt;&gt;"",'Release Calendar'!I441,"")</f>
        <v/>
      </c>
      <c r="R441" s="7" t="str">
        <f>IF('Release Calendar'!J441&lt;&gt;"",'Release Calendar'!J441,"")</f>
        <v/>
      </c>
    </row>
    <row r="442" spans="1:18" ht="20.100000000000001" customHeight="1">
      <c r="A442" s="31">
        <v>438</v>
      </c>
      <c r="B442" s="32" t="str">
        <f>IF('Release Calendar'!B442&lt;&gt;"",'Release Calendar'!B442,"")</f>
        <v/>
      </c>
      <c r="C442" s="33" t="str">
        <f>IF('Release Calendar'!K442&lt;&gt;"",'Release Calendar'!K442,"")</f>
        <v/>
      </c>
      <c r="D442" s="33" t="str">
        <f>IF('Release Calendar'!M442&lt;&gt;"",'Release Calendar'!M442,"")</f>
        <v/>
      </c>
      <c r="E442" s="34" t="str">
        <f>IF(AND(Q442&lt;&gt;"",R442&lt;&gt;"",DATE(2026,2,0)&gt;=Q442,DATE(2026,1,1)&lt;=R442),"█","")</f>
        <v/>
      </c>
      <c r="F442" s="34" t="str">
        <f>IF(AND(Q442&lt;&gt;"",R442&lt;&gt;"",DATE(2026,3,0)&gt;=Q442,DATE(2026,2,1)&lt;=R442),"█","")</f>
        <v/>
      </c>
      <c r="G442" s="34" t="str">
        <f>IF(AND(Q442&lt;&gt;"",R442&lt;&gt;"",DATE(2026,4,0)&gt;=Q442,DATE(2026,3,1)&lt;=R442),"█","")</f>
        <v/>
      </c>
      <c r="H442" s="34" t="str">
        <f>IF(AND(Q442&lt;&gt;"",R442&lt;&gt;"",DATE(2026,5,0)&gt;=Q442,DATE(2026,4,1)&lt;=R442),"█","")</f>
        <v/>
      </c>
      <c r="I442" s="34" t="str">
        <f>IF(AND(Q442&lt;&gt;"",R442&lt;&gt;"",DATE(2026,6,0)&gt;=Q442,DATE(2026,5,1)&lt;=R442),"█","")</f>
        <v/>
      </c>
      <c r="J442" s="34" t="str">
        <f>IF(AND(Q442&lt;&gt;"",R442&lt;&gt;"",DATE(2026,7,0)&gt;=Q442,DATE(2026,6,1)&lt;=R442),"█","")</f>
        <v/>
      </c>
      <c r="K442" s="34" t="str">
        <f>IF(AND(Q442&lt;&gt;"",R442&lt;&gt;"",DATE(2026,8,0)&gt;=Q442,DATE(2026,7,1)&lt;=R442),"█","")</f>
        <v/>
      </c>
      <c r="L442" s="34" t="str">
        <f>IF(AND(Q442&lt;&gt;"",R442&lt;&gt;"",DATE(2026,9,0)&gt;=Q442,DATE(2026,8,1)&lt;=R442),"█","")</f>
        <v/>
      </c>
      <c r="M442" s="34" t="str">
        <f>IF(AND(Q442&lt;&gt;"",R442&lt;&gt;"",DATE(2026,10,0)&gt;=Q442,DATE(2026,9,1)&lt;=R442),"█","")</f>
        <v/>
      </c>
      <c r="N442" s="34" t="str">
        <f>IF(AND(Q442&lt;&gt;"",R442&lt;&gt;"",DATE(2026,11,0)&gt;=Q442,DATE(2026,10,1)&lt;=R442),"█","")</f>
        <v/>
      </c>
      <c r="O442" s="34" t="str">
        <f>IF(AND(Q442&lt;&gt;"",R442&lt;&gt;"",DATE(2026,12,0)&gt;=Q442,DATE(2026,11,1)&lt;=R442),"█","")</f>
        <v/>
      </c>
      <c r="P442" s="34" t="str">
        <f>IF(AND(Q442&lt;&gt;"",R442&lt;&gt;"",DATE(2026,12,31)&gt;=Q442,DATE(2026,12,1)&lt;=R442),"█","")</f>
        <v/>
      </c>
      <c r="Q442" s="7" t="str">
        <f>IF('Release Calendar'!I442&lt;&gt;"",'Release Calendar'!I442,"")</f>
        <v/>
      </c>
      <c r="R442" s="7" t="str">
        <f>IF('Release Calendar'!J442&lt;&gt;"",'Release Calendar'!J442,"")</f>
        <v/>
      </c>
    </row>
    <row r="443" spans="1:18" ht="20.100000000000001" customHeight="1">
      <c r="A443" s="14">
        <v>439</v>
      </c>
      <c r="B443" s="28" t="str">
        <f>IF('Release Calendar'!B443&lt;&gt;"",'Release Calendar'!B443,"")</f>
        <v/>
      </c>
      <c r="C443" s="29" t="str">
        <f>IF('Release Calendar'!K443&lt;&gt;"",'Release Calendar'!K443,"")</f>
        <v/>
      </c>
      <c r="D443" s="29" t="str">
        <f>IF('Release Calendar'!M443&lt;&gt;"",'Release Calendar'!M443,"")</f>
        <v/>
      </c>
      <c r="E443" s="30" t="str">
        <f>IF(AND(Q443&lt;&gt;"",R443&lt;&gt;"",DATE(2026,2,0)&gt;=Q443,DATE(2026,1,1)&lt;=R443),"█","")</f>
        <v/>
      </c>
      <c r="F443" s="30" t="str">
        <f>IF(AND(Q443&lt;&gt;"",R443&lt;&gt;"",DATE(2026,3,0)&gt;=Q443,DATE(2026,2,1)&lt;=R443),"█","")</f>
        <v/>
      </c>
      <c r="G443" s="30" t="str">
        <f>IF(AND(Q443&lt;&gt;"",R443&lt;&gt;"",DATE(2026,4,0)&gt;=Q443,DATE(2026,3,1)&lt;=R443),"█","")</f>
        <v/>
      </c>
      <c r="H443" s="30" t="str">
        <f>IF(AND(Q443&lt;&gt;"",R443&lt;&gt;"",DATE(2026,5,0)&gt;=Q443,DATE(2026,4,1)&lt;=R443),"█","")</f>
        <v/>
      </c>
      <c r="I443" s="30" t="str">
        <f>IF(AND(Q443&lt;&gt;"",R443&lt;&gt;"",DATE(2026,6,0)&gt;=Q443,DATE(2026,5,1)&lt;=R443),"█","")</f>
        <v/>
      </c>
      <c r="J443" s="30" t="str">
        <f>IF(AND(Q443&lt;&gt;"",R443&lt;&gt;"",DATE(2026,7,0)&gt;=Q443,DATE(2026,6,1)&lt;=R443),"█","")</f>
        <v/>
      </c>
      <c r="K443" s="30" t="str">
        <f>IF(AND(Q443&lt;&gt;"",R443&lt;&gt;"",DATE(2026,8,0)&gt;=Q443,DATE(2026,7,1)&lt;=R443),"█","")</f>
        <v/>
      </c>
      <c r="L443" s="30" t="str">
        <f>IF(AND(Q443&lt;&gt;"",R443&lt;&gt;"",DATE(2026,9,0)&gt;=Q443,DATE(2026,8,1)&lt;=R443),"█","")</f>
        <v/>
      </c>
      <c r="M443" s="30" t="str">
        <f>IF(AND(Q443&lt;&gt;"",R443&lt;&gt;"",DATE(2026,10,0)&gt;=Q443,DATE(2026,9,1)&lt;=R443),"█","")</f>
        <v/>
      </c>
      <c r="N443" s="30" t="str">
        <f>IF(AND(Q443&lt;&gt;"",R443&lt;&gt;"",DATE(2026,11,0)&gt;=Q443,DATE(2026,10,1)&lt;=R443),"█","")</f>
        <v/>
      </c>
      <c r="O443" s="30" t="str">
        <f>IF(AND(Q443&lt;&gt;"",R443&lt;&gt;"",DATE(2026,12,0)&gt;=Q443,DATE(2026,11,1)&lt;=R443),"█","")</f>
        <v/>
      </c>
      <c r="P443" s="30" t="str">
        <f>IF(AND(Q443&lt;&gt;"",R443&lt;&gt;"",DATE(2026,12,31)&gt;=Q443,DATE(2026,12,1)&lt;=R443),"█","")</f>
        <v/>
      </c>
      <c r="Q443" s="7" t="str">
        <f>IF('Release Calendar'!I443&lt;&gt;"",'Release Calendar'!I443,"")</f>
        <v/>
      </c>
      <c r="R443" s="7" t="str">
        <f>IF('Release Calendar'!J443&lt;&gt;"",'Release Calendar'!J443,"")</f>
        <v/>
      </c>
    </row>
    <row r="444" spans="1:18" ht="20.100000000000001" customHeight="1">
      <c r="A444" s="31">
        <v>440</v>
      </c>
      <c r="B444" s="32" t="str">
        <f>IF('Release Calendar'!B444&lt;&gt;"",'Release Calendar'!B444,"")</f>
        <v/>
      </c>
      <c r="C444" s="33" t="str">
        <f>IF('Release Calendar'!K444&lt;&gt;"",'Release Calendar'!K444,"")</f>
        <v/>
      </c>
      <c r="D444" s="33" t="str">
        <f>IF('Release Calendar'!M444&lt;&gt;"",'Release Calendar'!M444,"")</f>
        <v/>
      </c>
      <c r="E444" s="34" t="str">
        <f>IF(AND(Q444&lt;&gt;"",R444&lt;&gt;"",DATE(2026,2,0)&gt;=Q444,DATE(2026,1,1)&lt;=R444),"█","")</f>
        <v/>
      </c>
      <c r="F444" s="34" t="str">
        <f>IF(AND(Q444&lt;&gt;"",R444&lt;&gt;"",DATE(2026,3,0)&gt;=Q444,DATE(2026,2,1)&lt;=R444),"█","")</f>
        <v/>
      </c>
      <c r="G444" s="34" t="str">
        <f>IF(AND(Q444&lt;&gt;"",R444&lt;&gt;"",DATE(2026,4,0)&gt;=Q444,DATE(2026,3,1)&lt;=R444),"█","")</f>
        <v/>
      </c>
      <c r="H444" s="34" t="str">
        <f>IF(AND(Q444&lt;&gt;"",R444&lt;&gt;"",DATE(2026,5,0)&gt;=Q444,DATE(2026,4,1)&lt;=R444),"█","")</f>
        <v/>
      </c>
      <c r="I444" s="34" t="str">
        <f>IF(AND(Q444&lt;&gt;"",R444&lt;&gt;"",DATE(2026,6,0)&gt;=Q444,DATE(2026,5,1)&lt;=R444),"█","")</f>
        <v/>
      </c>
      <c r="J444" s="34" t="str">
        <f>IF(AND(Q444&lt;&gt;"",R444&lt;&gt;"",DATE(2026,7,0)&gt;=Q444,DATE(2026,6,1)&lt;=R444),"█","")</f>
        <v/>
      </c>
      <c r="K444" s="34" t="str">
        <f>IF(AND(Q444&lt;&gt;"",R444&lt;&gt;"",DATE(2026,8,0)&gt;=Q444,DATE(2026,7,1)&lt;=R444),"█","")</f>
        <v/>
      </c>
      <c r="L444" s="34" t="str">
        <f>IF(AND(Q444&lt;&gt;"",R444&lt;&gt;"",DATE(2026,9,0)&gt;=Q444,DATE(2026,8,1)&lt;=R444),"█","")</f>
        <v/>
      </c>
      <c r="M444" s="34" t="str">
        <f>IF(AND(Q444&lt;&gt;"",R444&lt;&gt;"",DATE(2026,10,0)&gt;=Q444,DATE(2026,9,1)&lt;=R444),"█","")</f>
        <v/>
      </c>
      <c r="N444" s="34" t="str">
        <f>IF(AND(Q444&lt;&gt;"",R444&lt;&gt;"",DATE(2026,11,0)&gt;=Q444,DATE(2026,10,1)&lt;=R444),"█","")</f>
        <v/>
      </c>
      <c r="O444" s="34" t="str">
        <f>IF(AND(Q444&lt;&gt;"",R444&lt;&gt;"",DATE(2026,12,0)&gt;=Q444,DATE(2026,11,1)&lt;=R444),"█","")</f>
        <v/>
      </c>
      <c r="P444" s="34" t="str">
        <f>IF(AND(Q444&lt;&gt;"",R444&lt;&gt;"",DATE(2026,12,31)&gt;=Q444,DATE(2026,12,1)&lt;=R444),"█","")</f>
        <v/>
      </c>
      <c r="Q444" s="7" t="str">
        <f>IF('Release Calendar'!I444&lt;&gt;"",'Release Calendar'!I444,"")</f>
        <v/>
      </c>
      <c r="R444" s="7" t="str">
        <f>IF('Release Calendar'!J444&lt;&gt;"",'Release Calendar'!J444,"")</f>
        <v/>
      </c>
    </row>
    <row r="445" spans="1:18" ht="20.100000000000001" customHeight="1">
      <c r="A445" s="14">
        <v>441</v>
      </c>
      <c r="B445" s="28" t="str">
        <f>IF('Release Calendar'!B445&lt;&gt;"",'Release Calendar'!B445,"")</f>
        <v/>
      </c>
      <c r="C445" s="29" t="str">
        <f>IF('Release Calendar'!K445&lt;&gt;"",'Release Calendar'!K445,"")</f>
        <v/>
      </c>
      <c r="D445" s="29" t="str">
        <f>IF('Release Calendar'!M445&lt;&gt;"",'Release Calendar'!M445,"")</f>
        <v/>
      </c>
      <c r="E445" s="30" t="str">
        <f>IF(AND(Q445&lt;&gt;"",R445&lt;&gt;"",DATE(2026,2,0)&gt;=Q445,DATE(2026,1,1)&lt;=R445),"█","")</f>
        <v/>
      </c>
      <c r="F445" s="30" t="str">
        <f>IF(AND(Q445&lt;&gt;"",R445&lt;&gt;"",DATE(2026,3,0)&gt;=Q445,DATE(2026,2,1)&lt;=R445),"█","")</f>
        <v/>
      </c>
      <c r="G445" s="30" t="str">
        <f>IF(AND(Q445&lt;&gt;"",R445&lt;&gt;"",DATE(2026,4,0)&gt;=Q445,DATE(2026,3,1)&lt;=R445),"█","")</f>
        <v/>
      </c>
      <c r="H445" s="30" t="str">
        <f>IF(AND(Q445&lt;&gt;"",R445&lt;&gt;"",DATE(2026,5,0)&gt;=Q445,DATE(2026,4,1)&lt;=R445),"█","")</f>
        <v/>
      </c>
      <c r="I445" s="30" t="str">
        <f>IF(AND(Q445&lt;&gt;"",R445&lt;&gt;"",DATE(2026,6,0)&gt;=Q445,DATE(2026,5,1)&lt;=R445),"█","")</f>
        <v/>
      </c>
      <c r="J445" s="30" t="str">
        <f>IF(AND(Q445&lt;&gt;"",R445&lt;&gt;"",DATE(2026,7,0)&gt;=Q445,DATE(2026,6,1)&lt;=R445),"█","")</f>
        <v/>
      </c>
      <c r="K445" s="30" t="str">
        <f>IF(AND(Q445&lt;&gt;"",R445&lt;&gt;"",DATE(2026,8,0)&gt;=Q445,DATE(2026,7,1)&lt;=R445),"█","")</f>
        <v/>
      </c>
      <c r="L445" s="30" t="str">
        <f>IF(AND(Q445&lt;&gt;"",R445&lt;&gt;"",DATE(2026,9,0)&gt;=Q445,DATE(2026,8,1)&lt;=R445),"█","")</f>
        <v/>
      </c>
      <c r="M445" s="30" t="str">
        <f>IF(AND(Q445&lt;&gt;"",R445&lt;&gt;"",DATE(2026,10,0)&gt;=Q445,DATE(2026,9,1)&lt;=R445),"█","")</f>
        <v/>
      </c>
      <c r="N445" s="30" t="str">
        <f>IF(AND(Q445&lt;&gt;"",R445&lt;&gt;"",DATE(2026,11,0)&gt;=Q445,DATE(2026,10,1)&lt;=R445),"█","")</f>
        <v/>
      </c>
      <c r="O445" s="30" t="str">
        <f>IF(AND(Q445&lt;&gt;"",R445&lt;&gt;"",DATE(2026,12,0)&gt;=Q445,DATE(2026,11,1)&lt;=R445),"█","")</f>
        <v/>
      </c>
      <c r="P445" s="30" t="str">
        <f>IF(AND(Q445&lt;&gt;"",R445&lt;&gt;"",DATE(2026,12,31)&gt;=Q445,DATE(2026,12,1)&lt;=R445),"█","")</f>
        <v/>
      </c>
      <c r="Q445" s="7" t="str">
        <f>IF('Release Calendar'!I445&lt;&gt;"",'Release Calendar'!I445,"")</f>
        <v/>
      </c>
      <c r="R445" s="7" t="str">
        <f>IF('Release Calendar'!J445&lt;&gt;"",'Release Calendar'!J445,"")</f>
        <v/>
      </c>
    </row>
    <row r="446" spans="1:18" ht="20.100000000000001" customHeight="1">
      <c r="A446" s="31">
        <v>442</v>
      </c>
      <c r="B446" s="32" t="str">
        <f>IF('Release Calendar'!B446&lt;&gt;"",'Release Calendar'!B446,"")</f>
        <v/>
      </c>
      <c r="C446" s="33" t="str">
        <f>IF('Release Calendar'!K446&lt;&gt;"",'Release Calendar'!K446,"")</f>
        <v/>
      </c>
      <c r="D446" s="33" t="str">
        <f>IF('Release Calendar'!M446&lt;&gt;"",'Release Calendar'!M446,"")</f>
        <v/>
      </c>
      <c r="E446" s="34" t="str">
        <f>IF(AND(Q446&lt;&gt;"",R446&lt;&gt;"",DATE(2026,2,0)&gt;=Q446,DATE(2026,1,1)&lt;=R446),"█","")</f>
        <v/>
      </c>
      <c r="F446" s="34" t="str">
        <f>IF(AND(Q446&lt;&gt;"",R446&lt;&gt;"",DATE(2026,3,0)&gt;=Q446,DATE(2026,2,1)&lt;=R446),"█","")</f>
        <v/>
      </c>
      <c r="G446" s="34" t="str">
        <f>IF(AND(Q446&lt;&gt;"",R446&lt;&gt;"",DATE(2026,4,0)&gt;=Q446,DATE(2026,3,1)&lt;=R446),"█","")</f>
        <v/>
      </c>
      <c r="H446" s="34" t="str">
        <f>IF(AND(Q446&lt;&gt;"",R446&lt;&gt;"",DATE(2026,5,0)&gt;=Q446,DATE(2026,4,1)&lt;=R446),"█","")</f>
        <v/>
      </c>
      <c r="I446" s="34" t="str">
        <f>IF(AND(Q446&lt;&gt;"",R446&lt;&gt;"",DATE(2026,6,0)&gt;=Q446,DATE(2026,5,1)&lt;=R446),"█","")</f>
        <v/>
      </c>
      <c r="J446" s="34" t="str">
        <f>IF(AND(Q446&lt;&gt;"",R446&lt;&gt;"",DATE(2026,7,0)&gt;=Q446,DATE(2026,6,1)&lt;=R446),"█","")</f>
        <v/>
      </c>
      <c r="K446" s="34" t="str">
        <f>IF(AND(Q446&lt;&gt;"",R446&lt;&gt;"",DATE(2026,8,0)&gt;=Q446,DATE(2026,7,1)&lt;=R446),"█","")</f>
        <v/>
      </c>
      <c r="L446" s="34" t="str">
        <f>IF(AND(Q446&lt;&gt;"",R446&lt;&gt;"",DATE(2026,9,0)&gt;=Q446,DATE(2026,8,1)&lt;=R446),"█","")</f>
        <v/>
      </c>
      <c r="M446" s="34" t="str">
        <f>IF(AND(Q446&lt;&gt;"",R446&lt;&gt;"",DATE(2026,10,0)&gt;=Q446,DATE(2026,9,1)&lt;=R446),"█","")</f>
        <v/>
      </c>
      <c r="N446" s="34" t="str">
        <f>IF(AND(Q446&lt;&gt;"",R446&lt;&gt;"",DATE(2026,11,0)&gt;=Q446,DATE(2026,10,1)&lt;=R446),"█","")</f>
        <v/>
      </c>
      <c r="O446" s="34" t="str">
        <f>IF(AND(Q446&lt;&gt;"",R446&lt;&gt;"",DATE(2026,12,0)&gt;=Q446,DATE(2026,11,1)&lt;=R446),"█","")</f>
        <v/>
      </c>
      <c r="P446" s="34" t="str">
        <f>IF(AND(Q446&lt;&gt;"",R446&lt;&gt;"",DATE(2026,12,31)&gt;=Q446,DATE(2026,12,1)&lt;=R446),"█","")</f>
        <v/>
      </c>
      <c r="Q446" s="7" t="str">
        <f>IF('Release Calendar'!I446&lt;&gt;"",'Release Calendar'!I446,"")</f>
        <v/>
      </c>
      <c r="R446" s="7" t="str">
        <f>IF('Release Calendar'!J446&lt;&gt;"",'Release Calendar'!J446,"")</f>
        <v/>
      </c>
    </row>
    <row r="447" spans="1:18" ht="20.100000000000001" customHeight="1">
      <c r="A447" s="14">
        <v>443</v>
      </c>
      <c r="B447" s="28" t="str">
        <f>IF('Release Calendar'!B447&lt;&gt;"",'Release Calendar'!B447,"")</f>
        <v/>
      </c>
      <c r="C447" s="29" t="str">
        <f>IF('Release Calendar'!K447&lt;&gt;"",'Release Calendar'!K447,"")</f>
        <v/>
      </c>
      <c r="D447" s="29" t="str">
        <f>IF('Release Calendar'!M447&lt;&gt;"",'Release Calendar'!M447,"")</f>
        <v/>
      </c>
      <c r="E447" s="30" t="str">
        <f>IF(AND(Q447&lt;&gt;"",R447&lt;&gt;"",DATE(2026,2,0)&gt;=Q447,DATE(2026,1,1)&lt;=R447),"█","")</f>
        <v/>
      </c>
      <c r="F447" s="30" t="str">
        <f>IF(AND(Q447&lt;&gt;"",R447&lt;&gt;"",DATE(2026,3,0)&gt;=Q447,DATE(2026,2,1)&lt;=R447),"█","")</f>
        <v/>
      </c>
      <c r="G447" s="30" t="str">
        <f>IF(AND(Q447&lt;&gt;"",R447&lt;&gt;"",DATE(2026,4,0)&gt;=Q447,DATE(2026,3,1)&lt;=R447),"█","")</f>
        <v/>
      </c>
      <c r="H447" s="30" t="str">
        <f>IF(AND(Q447&lt;&gt;"",R447&lt;&gt;"",DATE(2026,5,0)&gt;=Q447,DATE(2026,4,1)&lt;=R447),"█","")</f>
        <v/>
      </c>
      <c r="I447" s="30" t="str">
        <f>IF(AND(Q447&lt;&gt;"",R447&lt;&gt;"",DATE(2026,6,0)&gt;=Q447,DATE(2026,5,1)&lt;=R447),"█","")</f>
        <v/>
      </c>
      <c r="J447" s="30" t="str">
        <f>IF(AND(Q447&lt;&gt;"",R447&lt;&gt;"",DATE(2026,7,0)&gt;=Q447,DATE(2026,6,1)&lt;=R447),"█","")</f>
        <v/>
      </c>
      <c r="K447" s="30" t="str">
        <f>IF(AND(Q447&lt;&gt;"",R447&lt;&gt;"",DATE(2026,8,0)&gt;=Q447,DATE(2026,7,1)&lt;=R447),"█","")</f>
        <v/>
      </c>
      <c r="L447" s="30" t="str">
        <f>IF(AND(Q447&lt;&gt;"",R447&lt;&gt;"",DATE(2026,9,0)&gt;=Q447,DATE(2026,8,1)&lt;=R447),"█","")</f>
        <v/>
      </c>
      <c r="M447" s="30" t="str">
        <f>IF(AND(Q447&lt;&gt;"",R447&lt;&gt;"",DATE(2026,10,0)&gt;=Q447,DATE(2026,9,1)&lt;=R447),"█","")</f>
        <v/>
      </c>
      <c r="N447" s="30" t="str">
        <f>IF(AND(Q447&lt;&gt;"",R447&lt;&gt;"",DATE(2026,11,0)&gt;=Q447,DATE(2026,10,1)&lt;=R447),"█","")</f>
        <v/>
      </c>
      <c r="O447" s="30" t="str">
        <f>IF(AND(Q447&lt;&gt;"",R447&lt;&gt;"",DATE(2026,12,0)&gt;=Q447,DATE(2026,11,1)&lt;=R447),"█","")</f>
        <v/>
      </c>
      <c r="P447" s="30" t="str">
        <f>IF(AND(Q447&lt;&gt;"",R447&lt;&gt;"",DATE(2026,12,31)&gt;=Q447,DATE(2026,12,1)&lt;=R447),"█","")</f>
        <v/>
      </c>
      <c r="Q447" s="7" t="str">
        <f>IF('Release Calendar'!I447&lt;&gt;"",'Release Calendar'!I447,"")</f>
        <v/>
      </c>
      <c r="R447" s="7" t="str">
        <f>IF('Release Calendar'!J447&lt;&gt;"",'Release Calendar'!J447,"")</f>
        <v/>
      </c>
    </row>
    <row r="448" spans="1:18" ht="20.100000000000001" customHeight="1">
      <c r="A448" s="31">
        <v>444</v>
      </c>
      <c r="B448" s="32" t="str">
        <f>IF('Release Calendar'!B448&lt;&gt;"",'Release Calendar'!B448,"")</f>
        <v/>
      </c>
      <c r="C448" s="33" t="str">
        <f>IF('Release Calendar'!K448&lt;&gt;"",'Release Calendar'!K448,"")</f>
        <v/>
      </c>
      <c r="D448" s="33" t="str">
        <f>IF('Release Calendar'!M448&lt;&gt;"",'Release Calendar'!M448,"")</f>
        <v/>
      </c>
      <c r="E448" s="34" t="str">
        <f>IF(AND(Q448&lt;&gt;"",R448&lt;&gt;"",DATE(2026,2,0)&gt;=Q448,DATE(2026,1,1)&lt;=R448),"█","")</f>
        <v/>
      </c>
      <c r="F448" s="34" t="str">
        <f>IF(AND(Q448&lt;&gt;"",R448&lt;&gt;"",DATE(2026,3,0)&gt;=Q448,DATE(2026,2,1)&lt;=R448),"█","")</f>
        <v/>
      </c>
      <c r="G448" s="34" t="str">
        <f>IF(AND(Q448&lt;&gt;"",R448&lt;&gt;"",DATE(2026,4,0)&gt;=Q448,DATE(2026,3,1)&lt;=R448),"█","")</f>
        <v/>
      </c>
      <c r="H448" s="34" t="str">
        <f>IF(AND(Q448&lt;&gt;"",R448&lt;&gt;"",DATE(2026,5,0)&gt;=Q448,DATE(2026,4,1)&lt;=R448),"█","")</f>
        <v/>
      </c>
      <c r="I448" s="34" t="str">
        <f>IF(AND(Q448&lt;&gt;"",R448&lt;&gt;"",DATE(2026,6,0)&gt;=Q448,DATE(2026,5,1)&lt;=R448),"█","")</f>
        <v/>
      </c>
      <c r="J448" s="34" t="str">
        <f>IF(AND(Q448&lt;&gt;"",R448&lt;&gt;"",DATE(2026,7,0)&gt;=Q448,DATE(2026,6,1)&lt;=R448),"█","")</f>
        <v/>
      </c>
      <c r="K448" s="34" t="str">
        <f>IF(AND(Q448&lt;&gt;"",R448&lt;&gt;"",DATE(2026,8,0)&gt;=Q448,DATE(2026,7,1)&lt;=R448),"█","")</f>
        <v/>
      </c>
      <c r="L448" s="34" t="str">
        <f>IF(AND(Q448&lt;&gt;"",R448&lt;&gt;"",DATE(2026,9,0)&gt;=Q448,DATE(2026,8,1)&lt;=R448),"█","")</f>
        <v/>
      </c>
      <c r="M448" s="34" t="str">
        <f>IF(AND(Q448&lt;&gt;"",R448&lt;&gt;"",DATE(2026,10,0)&gt;=Q448,DATE(2026,9,1)&lt;=R448),"█","")</f>
        <v/>
      </c>
      <c r="N448" s="34" t="str">
        <f>IF(AND(Q448&lt;&gt;"",R448&lt;&gt;"",DATE(2026,11,0)&gt;=Q448,DATE(2026,10,1)&lt;=R448),"█","")</f>
        <v/>
      </c>
      <c r="O448" s="34" t="str">
        <f>IF(AND(Q448&lt;&gt;"",R448&lt;&gt;"",DATE(2026,12,0)&gt;=Q448,DATE(2026,11,1)&lt;=R448),"█","")</f>
        <v/>
      </c>
      <c r="P448" s="34" t="str">
        <f>IF(AND(Q448&lt;&gt;"",R448&lt;&gt;"",DATE(2026,12,31)&gt;=Q448,DATE(2026,12,1)&lt;=R448),"█","")</f>
        <v/>
      </c>
      <c r="Q448" s="7" t="str">
        <f>IF('Release Calendar'!I448&lt;&gt;"",'Release Calendar'!I448,"")</f>
        <v/>
      </c>
      <c r="R448" s="7" t="str">
        <f>IF('Release Calendar'!J448&lt;&gt;"",'Release Calendar'!J448,"")</f>
        <v/>
      </c>
    </row>
    <row r="449" spans="1:18" ht="20.100000000000001" customHeight="1">
      <c r="A449" s="14">
        <v>445</v>
      </c>
      <c r="B449" s="28" t="str">
        <f>IF('Release Calendar'!B449&lt;&gt;"",'Release Calendar'!B449,"")</f>
        <v/>
      </c>
      <c r="C449" s="29" t="str">
        <f>IF('Release Calendar'!K449&lt;&gt;"",'Release Calendar'!K449,"")</f>
        <v/>
      </c>
      <c r="D449" s="29" t="str">
        <f>IF('Release Calendar'!M449&lt;&gt;"",'Release Calendar'!M449,"")</f>
        <v/>
      </c>
      <c r="E449" s="30" t="str">
        <f>IF(AND(Q449&lt;&gt;"",R449&lt;&gt;"",DATE(2026,2,0)&gt;=Q449,DATE(2026,1,1)&lt;=R449),"█","")</f>
        <v/>
      </c>
      <c r="F449" s="30" t="str">
        <f>IF(AND(Q449&lt;&gt;"",R449&lt;&gt;"",DATE(2026,3,0)&gt;=Q449,DATE(2026,2,1)&lt;=R449),"█","")</f>
        <v/>
      </c>
      <c r="G449" s="30" t="str">
        <f>IF(AND(Q449&lt;&gt;"",R449&lt;&gt;"",DATE(2026,4,0)&gt;=Q449,DATE(2026,3,1)&lt;=R449),"█","")</f>
        <v/>
      </c>
      <c r="H449" s="30" t="str">
        <f>IF(AND(Q449&lt;&gt;"",R449&lt;&gt;"",DATE(2026,5,0)&gt;=Q449,DATE(2026,4,1)&lt;=R449),"█","")</f>
        <v/>
      </c>
      <c r="I449" s="30" t="str">
        <f>IF(AND(Q449&lt;&gt;"",R449&lt;&gt;"",DATE(2026,6,0)&gt;=Q449,DATE(2026,5,1)&lt;=R449),"█","")</f>
        <v/>
      </c>
      <c r="J449" s="30" t="str">
        <f>IF(AND(Q449&lt;&gt;"",R449&lt;&gt;"",DATE(2026,7,0)&gt;=Q449,DATE(2026,6,1)&lt;=R449),"█","")</f>
        <v/>
      </c>
      <c r="K449" s="30" t="str">
        <f>IF(AND(Q449&lt;&gt;"",R449&lt;&gt;"",DATE(2026,8,0)&gt;=Q449,DATE(2026,7,1)&lt;=R449),"█","")</f>
        <v/>
      </c>
      <c r="L449" s="30" t="str">
        <f>IF(AND(Q449&lt;&gt;"",R449&lt;&gt;"",DATE(2026,9,0)&gt;=Q449,DATE(2026,8,1)&lt;=R449),"█","")</f>
        <v/>
      </c>
      <c r="M449" s="30" t="str">
        <f>IF(AND(Q449&lt;&gt;"",R449&lt;&gt;"",DATE(2026,10,0)&gt;=Q449,DATE(2026,9,1)&lt;=R449),"█","")</f>
        <v/>
      </c>
      <c r="N449" s="30" t="str">
        <f>IF(AND(Q449&lt;&gt;"",R449&lt;&gt;"",DATE(2026,11,0)&gt;=Q449,DATE(2026,10,1)&lt;=R449),"█","")</f>
        <v/>
      </c>
      <c r="O449" s="30" t="str">
        <f>IF(AND(Q449&lt;&gt;"",R449&lt;&gt;"",DATE(2026,12,0)&gt;=Q449,DATE(2026,11,1)&lt;=R449),"█","")</f>
        <v/>
      </c>
      <c r="P449" s="30" t="str">
        <f>IF(AND(Q449&lt;&gt;"",R449&lt;&gt;"",DATE(2026,12,31)&gt;=Q449,DATE(2026,12,1)&lt;=R449),"█","")</f>
        <v/>
      </c>
      <c r="Q449" s="7" t="str">
        <f>IF('Release Calendar'!I449&lt;&gt;"",'Release Calendar'!I449,"")</f>
        <v/>
      </c>
      <c r="R449" s="7" t="str">
        <f>IF('Release Calendar'!J449&lt;&gt;"",'Release Calendar'!J449,"")</f>
        <v/>
      </c>
    </row>
    <row r="450" spans="1:18" ht="20.100000000000001" customHeight="1">
      <c r="A450" s="31">
        <v>446</v>
      </c>
      <c r="B450" s="32" t="str">
        <f>IF('Release Calendar'!B450&lt;&gt;"",'Release Calendar'!B450,"")</f>
        <v/>
      </c>
      <c r="C450" s="33" t="str">
        <f>IF('Release Calendar'!K450&lt;&gt;"",'Release Calendar'!K450,"")</f>
        <v/>
      </c>
      <c r="D450" s="33" t="str">
        <f>IF('Release Calendar'!M450&lt;&gt;"",'Release Calendar'!M450,"")</f>
        <v/>
      </c>
      <c r="E450" s="34" t="str">
        <f>IF(AND(Q450&lt;&gt;"",R450&lt;&gt;"",DATE(2026,2,0)&gt;=Q450,DATE(2026,1,1)&lt;=R450),"█","")</f>
        <v/>
      </c>
      <c r="F450" s="34" t="str">
        <f>IF(AND(Q450&lt;&gt;"",R450&lt;&gt;"",DATE(2026,3,0)&gt;=Q450,DATE(2026,2,1)&lt;=R450),"█","")</f>
        <v/>
      </c>
      <c r="G450" s="34" t="str">
        <f>IF(AND(Q450&lt;&gt;"",R450&lt;&gt;"",DATE(2026,4,0)&gt;=Q450,DATE(2026,3,1)&lt;=R450),"█","")</f>
        <v/>
      </c>
      <c r="H450" s="34" t="str">
        <f>IF(AND(Q450&lt;&gt;"",R450&lt;&gt;"",DATE(2026,5,0)&gt;=Q450,DATE(2026,4,1)&lt;=R450),"█","")</f>
        <v/>
      </c>
      <c r="I450" s="34" t="str">
        <f>IF(AND(Q450&lt;&gt;"",R450&lt;&gt;"",DATE(2026,6,0)&gt;=Q450,DATE(2026,5,1)&lt;=R450),"█","")</f>
        <v/>
      </c>
      <c r="J450" s="34" t="str">
        <f>IF(AND(Q450&lt;&gt;"",R450&lt;&gt;"",DATE(2026,7,0)&gt;=Q450,DATE(2026,6,1)&lt;=R450),"█","")</f>
        <v/>
      </c>
      <c r="K450" s="34" t="str">
        <f>IF(AND(Q450&lt;&gt;"",R450&lt;&gt;"",DATE(2026,8,0)&gt;=Q450,DATE(2026,7,1)&lt;=R450),"█","")</f>
        <v/>
      </c>
      <c r="L450" s="34" t="str">
        <f>IF(AND(Q450&lt;&gt;"",R450&lt;&gt;"",DATE(2026,9,0)&gt;=Q450,DATE(2026,8,1)&lt;=R450),"█","")</f>
        <v/>
      </c>
      <c r="M450" s="34" t="str">
        <f>IF(AND(Q450&lt;&gt;"",R450&lt;&gt;"",DATE(2026,10,0)&gt;=Q450,DATE(2026,9,1)&lt;=R450),"█","")</f>
        <v/>
      </c>
      <c r="N450" s="34" t="str">
        <f>IF(AND(Q450&lt;&gt;"",R450&lt;&gt;"",DATE(2026,11,0)&gt;=Q450,DATE(2026,10,1)&lt;=R450),"█","")</f>
        <v/>
      </c>
      <c r="O450" s="34" t="str">
        <f>IF(AND(Q450&lt;&gt;"",R450&lt;&gt;"",DATE(2026,12,0)&gt;=Q450,DATE(2026,11,1)&lt;=R450),"█","")</f>
        <v/>
      </c>
      <c r="P450" s="34" t="str">
        <f>IF(AND(Q450&lt;&gt;"",R450&lt;&gt;"",DATE(2026,12,31)&gt;=Q450,DATE(2026,12,1)&lt;=R450),"█","")</f>
        <v/>
      </c>
      <c r="Q450" s="7" t="str">
        <f>IF('Release Calendar'!I450&lt;&gt;"",'Release Calendar'!I450,"")</f>
        <v/>
      </c>
      <c r="R450" s="7" t="str">
        <f>IF('Release Calendar'!J450&lt;&gt;"",'Release Calendar'!J450,"")</f>
        <v/>
      </c>
    </row>
    <row r="451" spans="1:18" ht="20.100000000000001" customHeight="1">
      <c r="A451" s="14">
        <v>447</v>
      </c>
      <c r="B451" s="28" t="str">
        <f>IF('Release Calendar'!B451&lt;&gt;"",'Release Calendar'!B451,"")</f>
        <v/>
      </c>
      <c r="C451" s="29" t="str">
        <f>IF('Release Calendar'!K451&lt;&gt;"",'Release Calendar'!K451,"")</f>
        <v/>
      </c>
      <c r="D451" s="29" t="str">
        <f>IF('Release Calendar'!M451&lt;&gt;"",'Release Calendar'!M451,"")</f>
        <v/>
      </c>
      <c r="E451" s="30" t="str">
        <f>IF(AND(Q451&lt;&gt;"",R451&lt;&gt;"",DATE(2026,2,0)&gt;=Q451,DATE(2026,1,1)&lt;=R451),"█","")</f>
        <v/>
      </c>
      <c r="F451" s="30" t="str">
        <f>IF(AND(Q451&lt;&gt;"",R451&lt;&gt;"",DATE(2026,3,0)&gt;=Q451,DATE(2026,2,1)&lt;=R451),"█","")</f>
        <v/>
      </c>
      <c r="G451" s="30" t="str">
        <f>IF(AND(Q451&lt;&gt;"",R451&lt;&gt;"",DATE(2026,4,0)&gt;=Q451,DATE(2026,3,1)&lt;=R451),"█","")</f>
        <v/>
      </c>
      <c r="H451" s="30" t="str">
        <f>IF(AND(Q451&lt;&gt;"",R451&lt;&gt;"",DATE(2026,5,0)&gt;=Q451,DATE(2026,4,1)&lt;=R451),"█","")</f>
        <v/>
      </c>
      <c r="I451" s="30" t="str">
        <f>IF(AND(Q451&lt;&gt;"",R451&lt;&gt;"",DATE(2026,6,0)&gt;=Q451,DATE(2026,5,1)&lt;=R451),"█","")</f>
        <v/>
      </c>
      <c r="J451" s="30" t="str">
        <f>IF(AND(Q451&lt;&gt;"",R451&lt;&gt;"",DATE(2026,7,0)&gt;=Q451,DATE(2026,6,1)&lt;=R451),"█","")</f>
        <v/>
      </c>
      <c r="K451" s="30" t="str">
        <f>IF(AND(Q451&lt;&gt;"",R451&lt;&gt;"",DATE(2026,8,0)&gt;=Q451,DATE(2026,7,1)&lt;=R451),"█","")</f>
        <v/>
      </c>
      <c r="L451" s="30" t="str">
        <f>IF(AND(Q451&lt;&gt;"",R451&lt;&gt;"",DATE(2026,9,0)&gt;=Q451,DATE(2026,8,1)&lt;=R451),"█","")</f>
        <v/>
      </c>
      <c r="M451" s="30" t="str">
        <f>IF(AND(Q451&lt;&gt;"",R451&lt;&gt;"",DATE(2026,10,0)&gt;=Q451,DATE(2026,9,1)&lt;=R451),"█","")</f>
        <v/>
      </c>
      <c r="N451" s="30" t="str">
        <f>IF(AND(Q451&lt;&gt;"",R451&lt;&gt;"",DATE(2026,11,0)&gt;=Q451,DATE(2026,10,1)&lt;=R451),"█","")</f>
        <v/>
      </c>
      <c r="O451" s="30" t="str">
        <f>IF(AND(Q451&lt;&gt;"",R451&lt;&gt;"",DATE(2026,12,0)&gt;=Q451,DATE(2026,11,1)&lt;=R451),"█","")</f>
        <v/>
      </c>
      <c r="P451" s="30" t="str">
        <f>IF(AND(Q451&lt;&gt;"",R451&lt;&gt;"",DATE(2026,12,31)&gt;=Q451,DATE(2026,12,1)&lt;=R451),"█","")</f>
        <v/>
      </c>
      <c r="Q451" s="7" t="str">
        <f>IF('Release Calendar'!I451&lt;&gt;"",'Release Calendar'!I451,"")</f>
        <v/>
      </c>
      <c r="R451" s="7" t="str">
        <f>IF('Release Calendar'!J451&lt;&gt;"",'Release Calendar'!J451,"")</f>
        <v/>
      </c>
    </row>
    <row r="452" spans="1:18" ht="20.100000000000001" customHeight="1">
      <c r="A452" s="31">
        <v>448</v>
      </c>
      <c r="B452" s="32" t="str">
        <f>IF('Release Calendar'!B452&lt;&gt;"",'Release Calendar'!B452,"")</f>
        <v/>
      </c>
      <c r="C452" s="33" t="str">
        <f>IF('Release Calendar'!K452&lt;&gt;"",'Release Calendar'!K452,"")</f>
        <v/>
      </c>
      <c r="D452" s="33" t="str">
        <f>IF('Release Calendar'!M452&lt;&gt;"",'Release Calendar'!M452,"")</f>
        <v/>
      </c>
      <c r="E452" s="34" t="str">
        <f>IF(AND(Q452&lt;&gt;"",R452&lt;&gt;"",DATE(2026,2,0)&gt;=Q452,DATE(2026,1,1)&lt;=R452),"█","")</f>
        <v/>
      </c>
      <c r="F452" s="34" t="str">
        <f>IF(AND(Q452&lt;&gt;"",R452&lt;&gt;"",DATE(2026,3,0)&gt;=Q452,DATE(2026,2,1)&lt;=R452),"█","")</f>
        <v/>
      </c>
      <c r="G452" s="34" t="str">
        <f>IF(AND(Q452&lt;&gt;"",R452&lt;&gt;"",DATE(2026,4,0)&gt;=Q452,DATE(2026,3,1)&lt;=R452),"█","")</f>
        <v/>
      </c>
      <c r="H452" s="34" t="str">
        <f>IF(AND(Q452&lt;&gt;"",R452&lt;&gt;"",DATE(2026,5,0)&gt;=Q452,DATE(2026,4,1)&lt;=R452),"█","")</f>
        <v/>
      </c>
      <c r="I452" s="34" t="str">
        <f>IF(AND(Q452&lt;&gt;"",R452&lt;&gt;"",DATE(2026,6,0)&gt;=Q452,DATE(2026,5,1)&lt;=R452),"█","")</f>
        <v/>
      </c>
      <c r="J452" s="34" t="str">
        <f>IF(AND(Q452&lt;&gt;"",R452&lt;&gt;"",DATE(2026,7,0)&gt;=Q452,DATE(2026,6,1)&lt;=R452),"█","")</f>
        <v/>
      </c>
      <c r="K452" s="34" t="str">
        <f>IF(AND(Q452&lt;&gt;"",R452&lt;&gt;"",DATE(2026,8,0)&gt;=Q452,DATE(2026,7,1)&lt;=R452),"█","")</f>
        <v/>
      </c>
      <c r="L452" s="34" t="str">
        <f>IF(AND(Q452&lt;&gt;"",R452&lt;&gt;"",DATE(2026,9,0)&gt;=Q452,DATE(2026,8,1)&lt;=R452),"█","")</f>
        <v/>
      </c>
      <c r="M452" s="34" t="str">
        <f>IF(AND(Q452&lt;&gt;"",R452&lt;&gt;"",DATE(2026,10,0)&gt;=Q452,DATE(2026,9,1)&lt;=R452),"█","")</f>
        <v/>
      </c>
      <c r="N452" s="34" t="str">
        <f>IF(AND(Q452&lt;&gt;"",R452&lt;&gt;"",DATE(2026,11,0)&gt;=Q452,DATE(2026,10,1)&lt;=R452),"█","")</f>
        <v/>
      </c>
      <c r="O452" s="34" t="str">
        <f>IF(AND(Q452&lt;&gt;"",R452&lt;&gt;"",DATE(2026,12,0)&gt;=Q452,DATE(2026,11,1)&lt;=R452),"█","")</f>
        <v/>
      </c>
      <c r="P452" s="34" t="str">
        <f>IF(AND(Q452&lt;&gt;"",R452&lt;&gt;"",DATE(2026,12,31)&gt;=Q452,DATE(2026,12,1)&lt;=R452),"█","")</f>
        <v/>
      </c>
      <c r="Q452" s="7" t="str">
        <f>IF('Release Calendar'!I452&lt;&gt;"",'Release Calendar'!I452,"")</f>
        <v/>
      </c>
      <c r="R452" s="7" t="str">
        <f>IF('Release Calendar'!J452&lt;&gt;"",'Release Calendar'!J452,"")</f>
        <v/>
      </c>
    </row>
    <row r="453" spans="1:18" ht="20.100000000000001" customHeight="1">
      <c r="A453" s="14">
        <v>449</v>
      </c>
      <c r="B453" s="28" t="str">
        <f>IF('Release Calendar'!B453&lt;&gt;"",'Release Calendar'!B453,"")</f>
        <v/>
      </c>
      <c r="C453" s="29" t="str">
        <f>IF('Release Calendar'!K453&lt;&gt;"",'Release Calendar'!K453,"")</f>
        <v/>
      </c>
      <c r="D453" s="29" t="str">
        <f>IF('Release Calendar'!M453&lt;&gt;"",'Release Calendar'!M453,"")</f>
        <v/>
      </c>
      <c r="E453" s="30" t="str">
        <f>IF(AND(Q453&lt;&gt;"",R453&lt;&gt;"",DATE(2026,2,0)&gt;=Q453,DATE(2026,1,1)&lt;=R453),"█","")</f>
        <v/>
      </c>
      <c r="F453" s="30" t="str">
        <f>IF(AND(Q453&lt;&gt;"",R453&lt;&gt;"",DATE(2026,3,0)&gt;=Q453,DATE(2026,2,1)&lt;=R453),"█","")</f>
        <v/>
      </c>
      <c r="G453" s="30" t="str">
        <f>IF(AND(Q453&lt;&gt;"",R453&lt;&gt;"",DATE(2026,4,0)&gt;=Q453,DATE(2026,3,1)&lt;=R453),"█","")</f>
        <v/>
      </c>
      <c r="H453" s="30" t="str">
        <f>IF(AND(Q453&lt;&gt;"",R453&lt;&gt;"",DATE(2026,5,0)&gt;=Q453,DATE(2026,4,1)&lt;=R453),"█","")</f>
        <v/>
      </c>
      <c r="I453" s="30" t="str">
        <f>IF(AND(Q453&lt;&gt;"",R453&lt;&gt;"",DATE(2026,6,0)&gt;=Q453,DATE(2026,5,1)&lt;=R453),"█","")</f>
        <v/>
      </c>
      <c r="J453" s="30" t="str">
        <f>IF(AND(Q453&lt;&gt;"",R453&lt;&gt;"",DATE(2026,7,0)&gt;=Q453,DATE(2026,6,1)&lt;=R453),"█","")</f>
        <v/>
      </c>
      <c r="K453" s="30" t="str">
        <f>IF(AND(Q453&lt;&gt;"",R453&lt;&gt;"",DATE(2026,8,0)&gt;=Q453,DATE(2026,7,1)&lt;=R453),"█","")</f>
        <v/>
      </c>
      <c r="L453" s="30" t="str">
        <f>IF(AND(Q453&lt;&gt;"",R453&lt;&gt;"",DATE(2026,9,0)&gt;=Q453,DATE(2026,8,1)&lt;=R453),"█","")</f>
        <v/>
      </c>
      <c r="M453" s="30" t="str">
        <f>IF(AND(Q453&lt;&gt;"",R453&lt;&gt;"",DATE(2026,10,0)&gt;=Q453,DATE(2026,9,1)&lt;=R453),"█","")</f>
        <v/>
      </c>
      <c r="N453" s="30" t="str">
        <f>IF(AND(Q453&lt;&gt;"",R453&lt;&gt;"",DATE(2026,11,0)&gt;=Q453,DATE(2026,10,1)&lt;=R453),"█","")</f>
        <v/>
      </c>
      <c r="O453" s="30" t="str">
        <f>IF(AND(Q453&lt;&gt;"",R453&lt;&gt;"",DATE(2026,12,0)&gt;=Q453,DATE(2026,11,1)&lt;=R453),"█","")</f>
        <v/>
      </c>
      <c r="P453" s="30" t="str">
        <f>IF(AND(Q453&lt;&gt;"",R453&lt;&gt;"",DATE(2026,12,31)&gt;=Q453,DATE(2026,12,1)&lt;=R453),"█","")</f>
        <v/>
      </c>
      <c r="Q453" s="7" t="str">
        <f>IF('Release Calendar'!I453&lt;&gt;"",'Release Calendar'!I453,"")</f>
        <v/>
      </c>
      <c r="R453" s="7" t="str">
        <f>IF('Release Calendar'!J453&lt;&gt;"",'Release Calendar'!J453,"")</f>
        <v/>
      </c>
    </row>
    <row r="454" spans="1:18" ht="20.100000000000001" customHeight="1">
      <c r="A454" s="31">
        <v>450</v>
      </c>
      <c r="B454" s="32" t="str">
        <f>IF('Release Calendar'!B454&lt;&gt;"",'Release Calendar'!B454,"")</f>
        <v/>
      </c>
      <c r="C454" s="33" t="str">
        <f>IF('Release Calendar'!K454&lt;&gt;"",'Release Calendar'!K454,"")</f>
        <v/>
      </c>
      <c r="D454" s="33" t="str">
        <f>IF('Release Calendar'!M454&lt;&gt;"",'Release Calendar'!M454,"")</f>
        <v/>
      </c>
      <c r="E454" s="34" t="str">
        <f>IF(AND(Q454&lt;&gt;"",R454&lt;&gt;"",DATE(2026,2,0)&gt;=Q454,DATE(2026,1,1)&lt;=R454),"█","")</f>
        <v/>
      </c>
      <c r="F454" s="34" t="str">
        <f>IF(AND(Q454&lt;&gt;"",R454&lt;&gt;"",DATE(2026,3,0)&gt;=Q454,DATE(2026,2,1)&lt;=R454),"█","")</f>
        <v/>
      </c>
      <c r="G454" s="34" t="str">
        <f>IF(AND(Q454&lt;&gt;"",R454&lt;&gt;"",DATE(2026,4,0)&gt;=Q454,DATE(2026,3,1)&lt;=R454),"█","")</f>
        <v/>
      </c>
      <c r="H454" s="34" t="str">
        <f>IF(AND(Q454&lt;&gt;"",R454&lt;&gt;"",DATE(2026,5,0)&gt;=Q454,DATE(2026,4,1)&lt;=R454),"█","")</f>
        <v/>
      </c>
      <c r="I454" s="34" t="str">
        <f>IF(AND(Q454&lt;&gt;"",R454&lt;&gt;"",DATE(2026,6,0)&gt;=Q454,DATE(2026,5,1)&lt;=R454),"█","")</f>
        <v/>
      </c>
      <c r="J454" s="34" t="str">
        <f>IF(AND(Q454&lt;&gt;"",R454&lt;&gt;"",DATE(2026,7,0)&gt;=Q454,DATE(2026,6,1)&lt;=R454),"█","")</f>
        <v/>
      </c>
      <c r="K454" s="34" t="str">
        <f>IF(AND(Q454&lt;&gt;"",R454&lt;&gt;"",DATE(2026,8,0)&gt;=Q454,DATE(2026,7,1)&lt;=R454),"█","")</f>
        <v/>
      </c>
      <c r="L454" s="34" t="str">
        <f>IF(AND(Q454&lt;&gt;"",R454&lt;&gt;"",DATE(2026,9,0)&gt;=Q454,DATE(2026,8,1)&lt;=R454),"█","")</f>
        <v/>
      </c>
      <c r="M454" s="34" t="str">
        <f>IF(AND(Q454&lt;&gt;"",R454&lt;&gt;"",DATE(2026,10,0)&gt;=Q454,DATE(2026,9,1)&lt;=R454),"█","")</f>
        <v/>
      </c>
      <c r="N454" s="34" t="str">
        <f>IF(AND(Q454&lt;&gt;"",R454&lt;&gt;"",DATE(2026,11,0)&gt;=Q454,DATE(2026,10,1)&lt;=R454),"█","")</f>
        <v/>
      </c>
      <c r="O454" s="34" t="str">
        <f>IF(AND(Q454&lt;&gt;"",R454&lt;&gt;"",DATE(2026,12,0)&gt;=Q454,DATE(2026,11,1)&lt;=R454),"█","")</f>
        <v/>
      </c>
      <c r="P454" s="34" t="str">
        <f>IF(AND(Q454&lt;&gt;"",R454&lt;&gt;"",DATE(2026,12,31)&gt;=Q454,DATE(2026,12,1)&lt;=R454),"█","")</f>
        <v/>
      </c>
      <c r="Q454" s="7" t="str">
        <f>IF('Release Calendar'!I454&lt;&gt;"",'Release Calendar'!I454,"")</f>
        <v/>
      </c>
      <c r="R454" s="7" t="str">
        <f>IF('Release Calendar'!J454&lt;&gt;"",'Release Calendar'!J454,"")</f>
        <v/>
      </c>
    </row>
    <row r="455" spans="1:18" ht="20.100000000000001" customHeight="1">
      <c r="A455" s="14">
        <v>451</v>
      </c>
      <c r="B455" s="28" t="str">
        <f>IF('Release Calendar'!B455&lt;&gt;"",'Release Calendar'!B455,"")</f>
        <v/>
      </c>
      <c r="C455" s="29" t="str">
        <f>IF('Release Calendar'!K455&lt;&gt;"",'Release Calendar'!K455,"")</f>
        <v/>
      </c>
      <c r="D455" s="29" t="str">
        <f>IF('Release Calendar'!M455&lt;&gt;"",'Release Calendar'!M455,"")</f>
        <v/>
      </c>
      <c r="E455" s="30" t="str">
        <f>IF(AND(Q455&lt;&gt;"",R455&lt;&gt;"",DATE(2026,2,0)&gt;=Q455,DATE(2026,1,1)&lt;=R455),"█","")</f>
        <v/>
      </c>
      <c r="F455" s="30" t="str">
        <f>IF(AND(Q455&lt;&gt;"",R455&lt;&gt;"",DATE(2026,3,0)&gt;=Q455,DATE(2026,2,1)&lt;=R455),"█","")</f>
        <v/>
      </c>
      <c r="G455" s="30" t="str">
        <f>IF(AND(Q455&lt;&gt;"",R455&lt;&gt;"",DATE(2026,4,0)&gt;=Q455,DATE(2026,3,1)&lt;=R455),"█","")</f>
        <v/>
      </c>
      <c r="H455" s="30" t="str">
        <f>IF(AND(Q455&lt;&gt;"",R455&lt;&gt;"",DATE(2026,5,0)&gt;=Q455,DATE(2026,4,1)&lt;=R455),"█","")</f>
        <v/>
      </c>
      <c r="I455" s="30" t="str">
        <f>IF(AND(Q455&lt;&gt;"",R455&lt;&gt;"",DATE(2026,6,0)&gt;=Q455,DATE(2026,5,1)&lt;=R455),"█","")</f>
        <v/>
      </c>
      <c r="J455" s="30" t="str">
        <f>IF(AND(Q455&lt;&gt;"",R455&lt;&gt;"",DATE(2026,7,0)&gt;=Q455,DATE(2026,6,1)&lt;=R455),"█","")</f>
        <v/>
      </c>
      <c r="K455" s="30" t="str">
        <f>IF(AND(Q455&lt;&gt;"",R455&lt;&gt;"",DATE(2026,8,0)&gt;=Q455,DATE(2026,7,1)&lt;=R455),"█","")</f>
        <v/>
      </c>
      <c r="L455" s="30" t="str">
        <f>IF(AND(Q455&lt;&gt;"",R455&lt;&gt;"",DATE(2026,9,0)&gt;=Q455,DATE(2026,8,1)&lt;=R455),"█","")</f>
        <v/>
      </c>
      <c r="M455" s="30" t="str">
        <f>IF(AND(Q455&lt;&gt;"",R455&lt;&gt;"",DATE(2026,10,0)&gt;=Q455,DATE(2026,9,1)&lt;=R455),"█","")</f>
        <v/>
      </c>
      <c r="N455" s="30" t="str">
        <f>IF(AND(Q455&lt;&gt;"",R455&lt;&gt;"",DATE(2026,11,0)&gt;=Q455,DATE(2026,10,1)&lt;=R455),"█","")</f>
        <v/>
      </c>
      <c r="O455" s="30" t="str">
        <f>IF(AND(Q455&lt;&gt;"",R455&lt;&gt;"",DATE(2026,12,0)&gt;=Q455,DATE(2026,11,1)&lt;=R455),"█","")</f>
        <v/>
      </c>
      <c r="P455" s="30" t="str">
        <f>IF(AND(Q455&lt;&gt;"",R455&lt;&gt;"",DATE(2026,12,31)&gt;=Q455,DATE(2026,12,1)&lt;=R455),"█","")</f>
        <v/>
      </c>
      <c r="Q455" s="7" t="str">
        <f>IF('Release Calendar'!I455&lt;&gt;"",'Release Calendar'!I455,"")</f>
        <v/>
      </c>
      <c r="R455" s="7" t="str">
        <f>IF('Release Calendar'!J455&lt;&gt;"",'Release Calendar'!J455,"")</f>
        <v/>
      </c>
    </row>
    <row r="456" spans="1:18" ht="20.100000000000001" customHeight="1">
      <c r="A456" s="31">
        <v>452</v>
      </c>
      <c r="B456" s="32" t="str">
        <f>IF('Release Calendar'!B456&lt;&gt;"",'Release Calendar'!B456,"")</f>
        <v/>
      </c>
      <c r="C456" s="33" t="str">
        <f>IF('Release Calendar'!K456&lt;&gt;"",'Release Calendar'!K456,"")</f>
        <v/>
      </c>
      <c r="D456" s="33" t="str">
        <f>IF('Release Calendar'!M456&lt;&gt;"",'Release Calendar'!M456,"")</f>
        <v/>
      </c>
      <c r="E456" s="34" t="str">
        <f>IF(AND(Q456&lt;&gt;"",R456&lt;&gt;"",DATE(2026,2,0)&gt;=Q456,DATE(2026,1,1)&lt;=R456),"█","")</f>
        <v/>
      </c>
      <c r="F456" s="34" t="str">
        <f>IF(AND(Q456&lt;&gt;"",R456&lt;&gt;"",DATE(2026,3,0)&gt;=Q456,DATE(2026,2,1)&lt;=R456),"█","")</f>
        <v/>
      </c>
      <c r="G456" s="34" t="str">
        <f>IF(AND(Q456&lt;&gt;"",R456&lt;&gt;"",DATE(2026,4,0)&gt;=Q456,DATE(2026,3,1)&lt;=R456),"█","")</f>
        <v/>
      </c>
      <c r="H456" s="34" t="str">
        <f>IF(AND(Q456&lt;&gt;"",R456&lt;&gt;"",DATE(2026,5,0)&gt;=Q456,DATE(2026,4,1)&lt;=R456),"█","")</f>
        <v/>
      </c>
      <c r="I456" s="34" t="str">
        <f>IF(AND(Q456&lt;&gt;"",R456&lt;&gt;"",DATE(2026,6,0)&gt;=Q456,DATE(2026,5,1)&lt;=R456),"█","")</f>
        <v/>
      </c>
      <c r="J456" s="34" t="str">
        <f>IF(AND(Q456&lt;&gt;"",R456&lt;&gt;"",DATE(2026,7,0)&gt;=Q456,DATE(2026,6,1)&lt;=R456),"█","")</f>
        <v/>
      </c>
      <c r="K456" s="34" t="str">
        <f>IF(AND(Q456&lt;&gt;"",R456&lt;&gt;"",DATE(2026,8,0)&gt;=Q456,DATE(2026,7,1)&lt;=R456),"█","")</f>
        <v/>
      </c>
      <c r="L456" s="34" t="str">
        <f>IF(AND(Q456&lt;&gt;"",R456&lt;&gt;"",DATE(2026,9,0)&gt;=Q456,DATE(2026,8,1)&lt;=R456),"█","")</f>
        <v/>
      </c>
      <c r="M456" s="34" t="str">
        <f>IF(AND(Q456&lt;&gt;"",R456&lt;&gt;"",DATE(2026,10,0)&gt;=Q456,DATE(2026,9,1)&lt;=R456),"█","")</f>
        <v/>
      </c>
      <c r="N456" s="34" t="str">
        <f>IF(AND(Q456&lt;&gt;"",R456&lt;&gt;"",DATE(2026,11,0)&gt;=Q456,DATE(2026,10,1)&lt;=R456),"█","")</f>
        <v/>
      </c>
      <c r="O456" s="34" t="str">
        <f>IF(AND(Q456&lt;&gt;"",R456&lt;&gt;"",DATE(2026,12,0)&gt;=Q456,DATE(2026,11,1)&lt;=R456),"█","")</f>
        <v/>
      </c>
      <c r="P456" s="34" t="str">
        <f>IF(AND(Q456&lt;&gt;"",R456&lt;&gt;"",DATE(2026,12,31)&gt;=Q456,DATE(2026,12,1)&lt;=R456),"█","")</f>
        <v/>
      </c>
      <c r="Q456" s="7" t="str">
        <f>IF('Release Calendar'!I456&lt;&gt;"",'Release Calendar'!I456,"")</f>
        <v/>
      </c>
      <c r="R456" s="7" t="str">
        <f>IF('Release Calendar'!J456&lt;&gt;"",'Release Calendar'!J456,"")</f>
        <v/>
      </c>
    </row>
    <row r="457" spans="1:18" ht="20.100000000000001" customHeight="1">
      <c r="A457" s="14">
        <v>453</v>
      </c>
      <c r="B457" s="28" t="str">
        <f>IF('Release Calendar'!B457&lt;&gt;"",'Release Calendar'!B457,"")</f>
        <v/>
      </c>
      <c r="C457" s="29" t="str">
        <f>IF('Release Calendar'!K457&lt;&gt;"",'Release Calendar'!K457,"")</f>
        <v/>
      </c>
      <c r="D457" s="29" t="str">
        <f>IF('Release Calendar'!M457&lt;&gt;"",'Release Calendar'!M457,"")</f>
        <v/>
      </c>
      <c r="E457" s="30" t="str">
        <f>IF(AND(Q457&lt;&gt;"",R457&lt;&gt;"",DATE(2026,2,0)&gt;=Q457,DATE(2026,1,1)&lt;=R457),"█","")</f>
        <v/>
      </c>
      <c r="F457" s="30" t="str">
        <f>IF(AND(Q457&lt;&gt;"",R457&lt;&gt;"",DATE(2026,3,0)&gt;=Q457,DATE(2026,2,1)&lt;=R457),"█","")</f>
        <v/>
      </c>
      <c r="G457" s="30" t="str">
        <f>IF(AND(Q457&lt;&gt;"",R457&lt;&gt;"",DATE(2026,4,0)&gt;=Q457,DATE(2026,3,1)&lt;=R457),"█","")</f>
        <v/>
      </c>
      <c r="H457" s="30" t="str">
        <f>IF(AND(Q457&lt;&gt;"",R457&lt;&gt;"",DATE(2026,5,0)&gt;=Q457,DATE(2026,4,1)&lt;=R457),"█","")</f>
        <v/>
      </c>
      <c r="I457" s="30" t="str">
        <f>IF(AND(Q457&lt;&gt;"",R457&lt;&gt;"",DATE(2026,6,0)&gt;=Q457,DATE(2026,5,1)&lt;=R457),"█","")</f>
        <v/>
      </c>
      <c r="J457" s="30" t="str">
        <f>IF(AND(Q457&lt;&gt;"",R457&lt;&gt;"",DATE(2026,7,0)&gt;=Q457,DATE(2026,6,1)&lt;=R457),"█","")</f>
        <v/>
      </c>
      <c r="K457" s="30" t="str">
        <f>IF(AND(Q457&lt;&gt;"",R457&lt;&gt;"",DATE(2026,8,0)&gt;=Q457,DATE(2026,7,1)&lt;=R457),"█","")</f>
        <v/>
      </c>
      <c r="L457" s="30" t="str">
        <f>IF(AND(Q457&lt;&gt;"",R457&lt;&gt;"",DATE(2026,9,0)&gt;=Q457,DATE(2026,8,1)&lt;=R457),"█","")</f>
        <v/>
      </c>
      <c r="M457" s="30" t="str">
        <f>IF(AND(Q457&lt;&gt;"",R457&lt;&gt;"",DATE(2026,10,0)&gt;=Q457,DATE(2026,9,1)&lt;=R457),"█","")</f>
        <v/>
      </c>
      <c r="N457" s="30" t="str">
        <f>IF(AND(Q457&lt;&gt;"",R457&lt;&gt;"",DATE(2026,11,0)&gt;=Q457,DATE(2026,10,1)&lt;=R457),"█","")</f>
        <v/>
      </c>
      <c r="O457" s="30" t="str">
        <f>IF(AND(Q457&lt;&gt;"",R457&lt;&gt;"",DATE(2026,12,0)&gt;=Q457,DATE(2026,11,1)&lt;=R457),"█","")</f>
        <v/>
      </c>
      <c r="P457" s="30" t="str">
        <f>IF(AND(Q457&lt;&gt;"",R457&lt;&gt;"",DATE(2026,12,31)&gt;=Q457,DATE(2026,12,1)&lt;=R457),"█","")</f>
        <v/>
      </c>
      <c r="Q457" s="7" t="str">
        <f>IF('Release Calendar'!I457&lt;&gt;"",'Release Calendar'!I457,"")</f>
        <v/>
      </c>
      <c r="R457" s="7" t="str">
        <f>IF('Release Calendar'!J457&lt;&gt;"",'Release Calendar'!J457,"")</f>
        <v/>
      </c>
    </row>
    <row r="458" spans="1:18" ht="20.100000000000001" customHeight="1">
      <c r="A458" s="31">
        <v>454</v>
      </c>
      <c r="B458" s="32" t="str">
        <f>IF('Release Calendar'!B458&lt;&gt;"",'Release Calendar'!B458,"")</f>
        <v/>
      </c>
      <c r="C458" s="33" t="str">
        <f>IF('Release Calendar'!K458&lt;&gt;"",'Release Calendar'!K458,"")</f>
        <v/>
      </c>
      <c r="D458" s="33" t="str">
        <f>IF('Release Calendar'!M458&lt;&gt;"",'Release Calendar'!M458,"")</f>
        <v/>
      </c>
      <c r="E458" s="34" t="str">
        <f>IF(AND(Q458&lt;&gt;"",R458&lt;&gt;"",DATE(2026,2,0)&gt;=Q458,DATE(2026,1,1)&lt;=R458),"█","")</f>
        <v/>
      </c>
      <c r="F458" s="34" t="str">
        <f>IF(AND(Q458&lt;&gt;"",R458&lt;&gt;"",DATE(2026,3,0)&gt;=Q458,DATE(2026,2,1)&lt;=R458),"█","")</f>
        <v/>
      </c>
      <c r="G458" s="34" t="str">
        <f>IF(AND(Q458&lt;&gt;"",R458&lt;&gt;"",DATE(2026,4,0)&gt;=Q458,DATE(2026,3,1)&lt;=R458),"█","")</f>
        <v/>
      </c>
      <c r="H458" s="34" t="str">
        <f>IF(AND(Q458&lt;&gt;"",R458&lt;&gt;"",DATE(2026,5,0)&gt;=Q458,DATE(2026,4,1)&lt;=R458),"█","")</f>
        <v/>
      </c>
      <c r="I458" s="34" t="str">
        <f>IF(AND(Q458&lt;&gt;"",R458&lt;&gt;"",DATE(2026,6,0)&gt;=Q458,DATE(2026,5,1)&lt;=R458),"█","")</f>
        <v/>
      </c>
      <c r="J458" s="34" t="str">
        <f>IF(AND(Q458&lt;&gt;"",R458&lt;&gt;"",DATE(2026,7,0)&gt;=Q458,DATE(2026,6,1)&lt;=R458),"█","")</f>
        <v/>
      </c>
      <c r="K458" s="34" t="str">
        <f>IF(AND(Q458&lt;&gt;"",R458&lt;&gt;"",DATE(2026,8,0)&gt;=Q458,DATE(2026,7,1)&lt;=R458),"█","")</f>
        <v/>
      </c>
      <c r="L458" s="34" t="str">
        <f>IF(AND(Q458&lt;&gt;"",R458&lt;&gt;"",DATE(2026,9,0)&gt;=Q458,DATE(2026,8,1)&lt;=R458),"█","")</f>
        <v/>
      </c>
      <c r="M458" s="34" t="str">
        <f>IF(AND(Q458&lt;&gt;"",R458&lt;&gt;"",DATE(2026,10,0)&gt;=Q458,DATE(2026,9,1)&lt;=R458),"█","")</f>
        <v/>
      </c>
      <c r="N458" s="34" t="str">
        <f>IF(AND(Q458&lt;&gt;"",R458&lt;&gt;"",DATE(2026,11,0)&gt;=Q458,DATE(2026,10,1)&lt;=R458),"█","")</f>
        <v/>
      </c>
      <c r="O458" s="34" t="str">
        <f>IF(AND(Q458&lt;&gt;"",R458&lt;&gt;"",DATE(2026,12,0)&gt;=Q458,DATE(2026,11,1)&lt;=R458),"█","")</f>
        <v/>
      </c>
      <c r="P458" s="34" t="str">
        <f>IF(AND(Q458&lt;&gt;"",R458&lt;&gt;"",DATE(2026,12,31)&gt;=Q458,DATE(2026,12,1)&lt;=R458),"█","")</f>
        <v/>
      </c>
      <c r="Q458" s="7" t="str">
        <f>IF('Release Calendar'!I458&lt;&gt;"",'Release Calendar'!I458,"")</f>
        <v/>
      </c>
      <c r="R458" s="7" t="str">
        <f>IF('Release Calendar'!J458&lt;&gt;"",'Release Calendar'!J458,"")</f>
        <v/>
      </c>
    </row>
    <row r="459" spans="1:18" ht="20.100000000000001" customHeight="1">
      <c r="A459" s="14">
        <v>455</v>
      </c>
      <c r="B459" s="28" t="str">
        <f>IF('Release Calendar'!B459&lt;&gt;"",'Release Calendar'!B459,"")</f>
        <v/>
      </c>
      <c r="C459" s="29" t="str">
        <f>IF('Release Calendar'!K459&lt;&gt;"",'Release Calendar'!K459,"")</f>
        <v/>
      </c>
      <c r="D459" s="29" t="str">
        <f>IF('Release Calendar'!M459&lt;&gt;"",'Release Calendar'!M459,"")</f>
        <v/>
      </c>
      <c r="E459" s="30" t="str">
        <f>IF(AND(Q459&lt;&gt;"",R459&lt;&gt;"",DATE(2026,2,0)&gt;=Q459,DATE(2026,1,1)&lt;=R459),"█","")</f>
        <v/>
      </c>
      <c r="F459" s="30" t="str">
        <f>IF(AND(Q459&lt;&gt;"",R459&lt;&gt;"",DATE(2026,3,0)&gt;=Q459,DATE(2026,2,1)&lt;=R459),"█","")</f>
        <v/>
      </c>
      <c r="G459" s="30" t="str">
        <f>IF(AND(Q459&lt;&gt;"",R459&lt;&gt;"",DATE(2026,4,0)&gt;=Q459,DATE(2026,3,1)&lt;=R459),"█","")</f>
        <v/>
      </c>
      <c r="H459" s="30" t="str">
        <f>IF(AND(Q459&lt;&gt;"",R459&lt;&gt;"",DATE(2026,5,0)&gt;=Q459,DATE(2026,4,1)&lt;=R459),"█","")</f>
        <v/>
      </c>
      <c r="I459" s="30" t="str">
        <f>IF(AND(Q459&lt;&gt;"",R459&lt;&gt;"",DATE(2026,6,0)&gt;=Q459,DATE(2026,5,1)&lt;=R459),"█","")</f>
        <v/>
      </c>
      <c r="J459" s="30" t="str">
        <f>IF(AND(Q459&lt;&gt;"",R459&lt;&gt;"",DATE(2026,7,0)&gt;=Q459,DATE(2026,6,1)&lt;=R459),"█","")</f>
        <v/>
      </c>
      <c r="K459" s="30" t="str">
        <f>IF(AND(Q459&lt;&gt;"",R459&lt;&gt;"",DATE(2026,8,0)&gt;=Q459,DATE(2026,7,1)&lt;=R459),"█","")</f>
        <v/>
      </c>
      <c r="L459" s="30" t="str">
        <f>IF(AND(Q459&lt;&gt;"",R459&lt;&gt;"",DATE(2026,9,0)&gt;=Q459,DATE(2026,8,1)&lt;=R459),"█","")</f>
        <v/>
      </c>
      <c r="M459" s="30" t="str">
        <f>IF(AND(Q459&lt;&gt;"",R459&lt;&gt;"",DATE(2026,10,0)&gt;=Q459,DATE(2026,9,1)&lt;=R459),"█","")</f>
        <v/>
      </c>
      <c r="N459" s="30" t="str">
        <f>IF(AND(Q459&lt;&gt;"",R459&lt;&gt;"",DATE(2026,11,0)&gt;=Q459,DATE(2026,10,1)&lt;=R459),"█","")</f>
        <v/>
      </c>
      <c r="O459" s="30" t="str">
        <f>IF(AND(Q459&lt;&gt;"",R459&lt;&gt;"",DATE(2026,12,0)&gt;=Q459,DATE(2026,11,1)&lt;=R459),"█","")</f>
        <v/>
      </c>
      <c r="P459" s="30" t="str">
        <f>IF(AND(Q459&lt;&gt;"",R459&lt;&gt;"",DATE(2026,12,31)&gt;=Q459,DATE(2026,12,1)&lt;=R459),"█","")</f>
        <v/>
      </c>
      <c r="Q459" s="7" t="str">
        <f>IF('Release Calendar'!I459&lt;&gt;"",'Release Calendar'!I459,"")</f>
        <v/>
      </c>
      <c r="R459" s="7" t="str">
        <f>IF('Release Calendar'!J459&lt;&gt;"",'Release Calendar'!J459,"")</f>
        <v/>
      </c>
    </row>
    <row r="460" spans="1:18" ht="20.100000000000001" customHeight="1">
      <c r="A460" s="31">
        <v>456</v>
      </c>
      <c r="B460" s="32" t="str">
        <f>IF('Release Calendar'!B460&lt;&gt;"",'Release Calendar'!B460,"")</f>
        <v/>
      </c>
      <c r="C460" s="33" t="str">
        <f>IF('Release Calendar'!K460&lt;&gt;"",'Release Calendar'!K460,"")</f>
        <v/>
      </c>
      <c r="D460" s="33" t="str">
        <f>IF('Release Calendar'!M460&lt;&gt;"",'Release Calendar'!M460,"")</f>
        <v/>
      </c>
      <c r="E460" s="34" t="str">
        <f>IF(AND(Q460&lt;&gt;"",R460&lt;&gt;"",DATE(2026,2,0)&gt;=Q460,DATE(2026,1,1)&lt;=R460),"█","")</f>
        <v/>
      </c>
      <c r="F460" s="34" t="str">
        <f>IF(AND(Q460&lt;&gt;"",R460&lt;&gt;"",DATE(2026,3,0)&gt;=Q460,DATE(2026,2,1)&lt;=R460),"█","")</f>
        <v/>
      </c>
      <c r="G460" s="34" t="str">
        <f>IF(AND(Q460&lt;&gt;"",R460&lt;&gt;"",DATE(2026,4,0)&gt;=Q460,DATE(2026,3,1)&lt;=R460),"█","")</f>
        <v/>
      </c>
      <c r="H460" s="34" t="str">
        <f>IF(AND(Q460&lt;&gt;"",R460&lt;&gt;"",DATE(2026,5,0)&gt;=Q460,DATE(2026,4,1)&lt;=R460),"█","")</f>
        <v/>
      </c>
      <c r="I460" s="34" t="str">
        <f>IF(AND(Q460&lt;&gt;"",R460&lt;&gt;"",DATE(2026,6,0)&gt;=Q460,DATE(2026,5,1)&lt;=R460),"█","")</f>
        <v/>
      </c>
      <c r="J460" s="34" t="str">
        <f>IF(AND(Q460&lt;&gt;"",R460&lt;&gt;"",DATE(2026,7,0)&gt;=Q460,DATE(2026,6,1)&lt;=R460),"█","")</f>
        <v/>
      </c>
      <c r="K460" s="34" t="str">
        <f>IF(AND(Q460&lt;&gt;"",R460&lt;&gt;"",DATE(2026,8,0)&gt;=Q460,DATE(2026,7,1)&lt;=R460),"█","")</f>
        <v/>
      </c>
      <c r="L460" s="34" t="str">
        <f>IF(AND(Q460&lt;&gt;"",R460&lt;&gt;"",DATE(2026,9,0)&gt;=Q460,DATE(2026,8,1)&lt;=R460),"█","")</f>
        <v/>
      </c>
      <c r="M460" s="34" t="str">
        <f>IF(AND(Q460&lt;&gt;"",R460&lt;&gt;"",DATE(2026,10,0)&gt;=Q460,DATE(2026,9,1)&lt;=R460),"█","")</f>
        <v/>
      </c>
      <c r="N460" s="34" t="str">
        <f>IF(AND(Q460&lt;&gt;"",R460&lt;&gt;"",DATE(2026,11,0)&gt;=Q460,DATE(2026,10,1)&lt;=R460),"█","")</f>
        <v/>
      </c>
      <c r="O460" s="34" t="str">
        <f>IF(AND(Q460&lt;&gt;"",R460&lt;&gt;"",DATE(2026,12,0)&gt;=Q460,DATE(2026,11,1)&lt;=R460),"█","")</f>
        <v/>
      </c>
      <c r="P460" s="34" t="str">
        <f>IF(AND(Q460&lt;&gt;"",R460&lt;&gt;"",DATE(2026,12,31)&gt;=Q460,DATE(2026,12,1)&lt;=R460),"█","")</f>
        <v/>
      </c>
      <c r="Q460" s="7" t="str">
        <f>IF('Release Calendar'!I460&lt;&gt;"",'Release Calendar'!I460,"")</f>
        <v/>
      </c>
      <c r="R460" s="7" t="str">
        <f>IF('Release Calendar'!J460&lt;&gt;"",'Release Calendar'!J460,"")</f>
        <v/>
      </c>
    </row>
    <row r="461" spans="1:18" ht="20.100000000000001" customHeight="1">
      <c r="A461" s="14">
        <v>457</v>
      </c>
      <c r="B461" s="28" t="str">
        <f>IF('Release Calendar'!B461&lt;&gt;"",'Release Calendar'!B461,"")</f>
        <v/>
      </c>
      <c r="C461" s="29" t="str">
        <f>IF('Release Calendar'!K461&lt;&gt;"",'Release Calendar'!K461,"")</f>
        <v/>
      </c>
      <c r="D461" s="29" t="str">
        <f>IF('Release Calendar'!M461&lt;&gt;"",'Release Calendar'!M461,"")</f>
        <v/>
      </c>
      <c r="E461" s="30" t="str">
        <f>IF(AND(Q461&lt;&gt;"",R461&lt;&gt;"",DATE(2026,2,0)&gt;=Q461,DATE(2026,1,1)&lt;=R461),"█","")</f>
        <v/>
      </c>
      <c r="F461" s="30" t="str">
        <f>IF(AND(Q461&lt;&gt;"",R461&lt;&gt;"",DATE(2026,3,0)&gt;=Q461,DATE(2026,2,1)&lt;=R461),"█","")</f>
        <v/>
      </c>
      <c r="G461" s="30" t="str">
        <f>IF(AND(Q461&lt;&gt;"",R461&lt;&gt;"",DATE(2026,4,0)&gt;=Q461,DATE(2026,3,1)&lt;=R461),"█","")</f>
        <v/>
      </c>
      <c r="H461" s="30" t="str">
        <f>IF(AND(Q461&lt;&gt;"",R461&lt;&gt;"",DATE(2026,5,0)&gt;=Q461,DATE(2026,4,1)&lt;=R461),"█","")</f>
        <v/>
      </c>
      <c r="I461" s="30" t="str">
        <f>IF(AND(Q461&lt;&gt;"",R461&lt;&gt;"",DATE(2026,6,0)&gt;=Q461,DATE(2026,5,1)&lt;=R461),"█","")</f>
        <v/>
      </c>
      <c r="J461" s="30" t="str">
        <f>IF(AND(Q461&lt;&gt;"",R461&lt;&gt;"",DATE(2026,7,0)&gt;=Q461,DATE(2026,6,1)&lt;=R461),"█","")</f>
        <v/>
      </c>
      <c r="K461" s="30" t="str">
        <f>IF(AND(Q461&lt;&gt;"",R461&lt;&gt;"",DATE(2026,8,0)&gt;=Q461,DATE(2026,7,1)&lt;=R461),"█","")</f>
        <v/>
      </c>
      <c r="L461" s="30" t="str">
        <f>IF(AND(Q461&lt;&gt;"",R461&lt;&gt;"",DATE(2026,9,0)&gt;=Q461,DATE(2026,8,1)&lt;=R461),"█","")</f>
        <v/>
      </c>
      <c r="M461" s="30" t="str">
        <f>IF(AND(Q461&lt;&gt;"",R461&lt;&gt;"",DATE(2026,10,0)&gt;=Q461,DATE(2026,9,1)&lt;=R461),"█","")</f>
        <v/>
      </c>
      <c r="N461" s="30" t="str">
        <f>IF(AND(Q461&lt;&gt;"",R461&lt;&gt;"",DATE(2026,11,0)&gt;=Q461,DATE(2026,10,1)&lt;=R461),"█","")</f>
        <v/>
      </c>
      <c r="O461" s="30" t="str">
        <f>IF(AND(Q461&lt;&gt;"",R461&lt;&gt;"",DATE(2026,12,0)&gt;=Q461,DATE(2026,11,1)&lt;=R461),"█","")</f>
        <v/>
      </c>
      <c r="P461" s="30" t="str">
        <f>IF(AND(Q461&lt;&gt;"",R461&lt;&gt;"",DATE(2026,12,31)&gt;=Q461,DATE(2026,12,1)&lt;=R461),"█","")</f>
        <v/>
      </c>
      <c r="Q461" s="7" t="str">
        <f>IF('Release Calendar'!I461&lt;&gt;"",'Release Calendar'!I461,"")</f>
        <v/>
      </c>
      <c r="R461" s="7" t="str">
        <f>IF('Release Calendar'!J461&lt;&gt;"",'Release Calendar'!J461,"")</f>
        <v/>
      </c>
    </row>
    <row r="462" spans="1:18" ht="20.100000000000001" customHeight="1">
      <c r="A462" s="31">
        <v>458</v>
      </c>
      <c r="B462" s="32" t="str">
        <f>IF('Release Calendar'!B462&lt;&gt;"",'Release Calendar'!B462,"")</f>
        <v/>
      </c>
      <c r="C462" s="33" t="str">
        <f>IF('Release Calendar'!K462&lt;&gt;"",'Release Calendar'!K462,"")</f>
        <v/>
      </c>
      <c r="D462" s="33" t="str">
        <f>IF('Release Calendar'!M462&lt;&gt;"",'Release Calendar'!M462,"")</f>
        <v/>
      </c>
      <c r="E462" s="34" t="str">
        <f>IF(AND(Q462&lt;&gt;"",R462&lt;&gt;"",DATE(2026,2,0)&gt;=Q462,DATE(2026,1,1)&lt;=R462),"█","")</f>
        <v/>
      </c>
      <c r="F462" s="34" t="str">
        <f>IF(AND(Q462&lt;&gt;"",R462&lt;&gt;"",DATE(2026,3,0)&gt;=Q462,DATE(2026,2,1)&lt;=R462),"█","")</f>
        <v/>
      </c>
      <c r="G462" s="34" t="str">
        <f>IF(AND(Q462&lt;&gt;"",R462&lt;&gt;"",DATE(2026,4,0)&gt;=Q462,DATE(2026,3,1)&lt;=R462),"█","")</f>
        <v/>
      </c>
      <c r="H462" s="34" t="str">
        <f>IF(AND(Q462&lt;&gt;"",R462&lt;&gt;"",DATE(2026,5,0)&gt;=Q462,DATE(2026,4,1)&lt;=R462),"█","")</f>
        <v/>
      </c>
      <c r="I462" s="34" t="str">
        <f>IF(AND(Q462&lt;&gt;"",R462&lt;&gt;"",DATE(2026,6,0)&gt;=Q462,DATE(2026,5,1)&lt;=R462),"█","")</f>
        <v/>
      </c>
      <c r="J462" s="34" t="str">
        <f>IF(AND(Q462&lt;&gt;"",R462&lt;&gt;"",DATE(2026,7,0)&gt;=Q462,DATE(2026,6,1)&lt;=R462),"█","")</f>
        <v/>
      </c>
      <c r="K462" s="34" t="str">
        <f>IF(AND(Q462&lt;&gt;"",R462&lt;&gt;"",DATE(2026,8,0)&gt;=Q462,DATE(2026,7,1)&lt;=R462),"█","")</f>
        <v/>
      </c>
      <c r="L462" s="34" t="str">
        <f>IF(AND(Q462&lt;&gt;"",R462&lt;&gt;"",DATE(2026,9,0)&gt;=Q462,DATE(2026,8,1)&lt;=R462),"█","")</f>
        <v/>
      </c>
      <c r="M462" s="34" t="str">
        <f>IF(AND(Q462&lt;&gt;"",R462&lt;&gt;"",DATE(2026,10,0)&gt;=Q462,DATE(2026,9,1)&lt;=R462),"█","")</f>
        <v/>
      </c>
      <c r="N462" s="34" t="str">
        <f>IF(AND(Q462&lt;&gt;"",R462&lt;&gt;"",DATE(2026,11,0)&gt;=Q462,DATE(2026,10,1)&lt;=R462),"█","")</f>
        <v/>
      </c>
      <c r="O462" s="34" t="str">
        <f>IF(AND(Q462&lt;&gt;"",R462&lt;&gt;"",DATE(2026,12,0)&gt;=Q462,DATE(2026,11,1)&lt;=R462),"█","")</f>
        <v/>
      </c>
      <c r="P462" s="34" t="str">
        <f>IF(AND(Q462&lt;&gt;"",R462&lt;&gt;"",DATE(2026,12,31)&gt;=Q462,DATE(2026,12,1)&lt;=R462),"█","")</f>
        <v/>
      </c>
      <c r="Q462" s="7" t="str">
        <f>IF('Release Calendar'!I462&lt;&gt;"",'Release Calendar'!I462,"")</f>
        <v/>
      </c>
      <c r="R462" s="7" t="str">
        <f>IF('Release Calendar'!J462&lt;&gt;"",'Release Calendar'!J462,"")</f>
        <v/>
      </c>
    </row>
    <row r="463" spans="1:18" ht="20.100000000000001" customHeight="1">
      <c r="A463" s="14">
        <v>459</v>
      </c>
      <c r="B463" s="28" t="str">
        <f>IF('Release Calendar'!B463&lt;&gt;"",'Release Calendar'!B463,"")</f>
        <v/>
      </c>
      <c r="C463" s="29" t="str">
        <f>IF('Release Calendar'!K463&lt;&gt;"",'Release Calendar'!K463,"")</f>
        <v/>
      </c>
      <c r="D463" s="29" t="str">
        <f>IF('Release Calendar'!M463&lt;&gt;"",'Release Calendar'!M463,"")</f>
        <v/>
      </c>
      <c r="E463" s="30" t="str">
        <f>IF(AND(Q463&lt;&gt;"",R463&lt;&gt;"",DATE(2026,2,0)&gt;=Q463,DATE(2026,1,1)&lt;=R463),"█","")</f>
        <v/>
      </c>
      <c r="F463" s="30" t="str">
        <f>IF(AND(Q463&lt;&gt;"",R463&lt;&gt;"",DATE(2026,3,0)&gt;=Q463,DATE(2026,2,1)&lt;=R463),"█","")</f>
        <v/>
      </c>
      <c r="G463" s="30" t="str">
        <f>IF(AND(Q463&lt;&gt;"",R463&lt;&gt;"",DATE(2026,4,0)&gt;=Q463,DATE(2026,3,1)&lt;=R463),"█","")</f>
        <v/>
      </c>
      <c r="H463" s="30" t="str">
        <f>IF(AND(Q463&lt;&gt;"",R463&lt;&gt;"",DATE(2026,5,0)&gt;=Q463,DATE(2026,4,1)&lt;=R463),"█","")</f>
        <v/>
      </c>
      <c r="I463" s="30" t="str">
        <f>IF(AND(Q463&lt;&gt;"",R463&lt;&gt;"",DATE(2026,6,0)&gt;=Q463,DATE(2026,5,1)&lt;=R463),"█","")</f>
        <v/>
      </c>
      <c r="J463" s="30" t="str">
        <f>IF(AND(Q463&lt;&gt;"",R463&lt;&gt;"",DATE(2026,7,0)&gt;=Q463,DATE(2026,6,1)&lt;=R463),"█","")</f>
        <v/>
      </c>
      <c r="K463" s="30" t="str">
        <f>IF(AND(Q463&lt;&gt;"",R463&lt;&gt;"",DATE(2026,8,0)&gt;=Q463,DATE(2026,7,1)&lt;=R463),"█","")</f>
        <v/>
      </c>
      <c r="L463" s="30" t="str">
        <f>IF(AND(Q463&lt;&gt;"",R463&lt;&gt;"",DATE(2026,9,0)&gt;=Q463,DATE(2026,8,1)&lt;=R463),"█","")</f>
        <v/>
      </c>
      <c r="M463" s="30" t="str">
        <f>IF(AND(Q463&lt;&gt;"",R463&lt;&gt;"",DATE(2026,10,0)&gt;=Q463,DATE(2026,9,1)&lt;=R463),"█","")</f>
        <v/>
      </c>
      <c r="N463" s="30" t="str">
        <f>IF(AND(Q463&lt;&gt;"",R463&lt;&gt;"",DATE(2026,11,0)&gt;=Q463,DATE(2026,10,1)&lt;=R463),"█","")</f>
        <v/>
      </c>
      <c r="O463" s="30" t="str">
        <f>IF(AND(Q463&lt;&gt;"",R463&lt;&gt;"",DATE(2026,12,0)&gt;=Q463,DATE(2026,11,1)&lt;=R463),"█","")</f>
        <v/>
      </c>
      <c r="P463" s="30" t="str">
        <f>IF(AND(Q463&lt;&gt;"",R463&lt;&gt;"",DATE(2026,12,31)&gt;=Q463,DATE(2026,12,1)&lt;=R463),"█","")</f>
        <v/>
      </c>
      <c r="Q463" s="7" t="str">
        <f>IF('Release Calendar'!I463&lt;&gt;"",'Release Calendar'!I463,"")</f>
        <v/>
      </c>
      <c r="R463" s="7" t="str">
        <f>IF('Release Calendar'!J463&lt;&gt;"",'Release Calendar'!J463,"")</f>
        <v/>
      </c>
    </row>
    <row r="464" spans="1:18" ht="20.100000000000001" customHeight="1">
      <c r="A464" s="31">
        <v>460</v>
      </c>
      <c r="B464" s="32" t="str">
        <f>IF('Release Calendar'!B464&lt;&gt;"",'Release Calendar'!B464,"")</f>
        <v/>
      </c>
      <c r="C464" s="33" t="str">
        <f>IF('Release Calendar'!K464&lt;&gt;"",'Release Calendar'!K464,"")</f>
        <v/>
      </c>
      <c r="D464" s="33" t="str">
        <f>IF('Release Calendar'!M464&lt;&gt;"",'Release Calendar'!M464,"")</f>
        <v/>
      </c>
      <c r="E464" s="34" t="str">
        <f>IF(AND(Q464&lt;&gt;"",R464&lt;&gt;"",DATE(2026,2,0)&gt;=Q464,DATE(2026,1,1)&lt;=R464),"█","")</f>
        <v/>
      </c>
      <c r="F464" s="34" t="str">
        <f>IF(AND(Q464&lt;&gt;"",R464&lt;&gt;"",DATE(2026,3,0)&gt;=Q464,DATE(2026,2,1)&lt;=R464),"█","")</f>
        <v/>
      </c>
      <c r="G464" s="34" t="str">
        <f>IF(AND(Q464&lt;&gt;"",R464&lt;&gt;"",DATE(2026,4,0)&gt;=Q464,DATE(2026,3,1)&lt;=R464),"█","")</f>
        <v/>
      </c>
      <c r="H464" s="34" t="str">
        <f>IF(AND(Q464&lt;&gt;"",R464&lt;&gt;"",DATE(2026,5,0)&gt;=Q464,DATE(2026,4,1)&lt;=R464),"█","")</f>
        <v/>
      </c>
      <c r="I464" s="34" t="str">
        <f>IF(AND(Q464&lt;&gt;"",R464&lt;&gt;"",DATE(2026,6,0)&gt;=Q464,DATE(2026,5,1)&lt;=R464),"█","")</f>
        <v/>
      </c>
      <c r="J464" s="34" t="str">
        <f>IF(AND(Q464&lt;&gt;"",R464&lt;&gt;"",DATE(2026,7,0)&gt;=Q464,DATE(2026,6,1)&lt;=R464),"█","")</f>
        <v/>
      </c>
      <c r="K464" s="34" t="str">
        <f>IF(AND(Q464&lt;&gt;"",R464&lt;&gt;"",DATE(2026,8,0)&gt;=Q464,DATE(2026,7,1)&lt;=R464),"█","")</f>
        <v/>
      </c>
      <c r="L464" s="34" t="str">
        <f>IF(AND(Q464&lt;&gt;"",R464&lt;&gt;"",DATE(2026,9,0)&gt;=Q464,DATE(2026,8,1)&lt;=R464),"█","")</f>
        <v/>
      </c>
      <c r="M464" s="34" t="str">
        <f>IF(AND(Q464&lt;&gt;"",R464&lt;&gt;"",DATE(2026,10,0)&gt;=Q464,DATE(2026,9,1)&lt;=R464),"█","")</f>
        <v/>
      </c>
      <c r="N464" s="34" t="str">
        <f>IF(AND(Q464&lt;&gt;"",R464&lt;&gt;"",DATE(2026,11,0)&gt;=Q464,DATE(2026,10,1)&lt;=R464),"█","")</f>
        <v/>
      </c>
      <c r="O464" s="34" t="str">
        <f>IF(AND(Q464&lt;&gt;"",R464&lt;&gt;"",DATE(2026,12,0)&gt;=Q464,DATE(2026,11,1)&lt;=R464),"█","")</f>
        <v/>
      </c>
      <c r="P464" s="34" t="str">
        <f>IF(AND(Q464&lt;&gt;"",R464&lt;&gt;"",DATE(2026,12,31)&gt;=Q464,DATE(2026,12,1)&lt;=R464),"█","")</f>
        <v/>
      </c>
      <c r="Q464" s="7" t="str">
        <f>IF('Release Calendar'!I464&lt;&gt;"",'Release Calendar'!I464,"")</f>
        <v/>
      </c>
      <c r="R464" s="7" t="str">
        <f>IF('Release Calendar'!J464&lt;&gt;"",'Release Calendar'!J464,"")</f>
        <v/>
      </c>
    </row>
    <row r="465" spans="1:18" ht="20.100000000000001" customHeight="1">
      <c r="A465" s="14">
        <v>461</v>
      </c>
      <c r="B465" s="28" t="str">
        <f>IF('Release Calendar'!B465&lt;&gt;"",'Release Calendar'!B465,"")</f>
        <v/>
      </c>
      <c r="C465" s="29" t="str">
        <f>IF('Release Calendar'!K465&lt;&gt;"",'Release Calendar'!K465,"")</f>
        <v/>
      </c>
      <c r="D465" s="29" t="str">
        <f>IF('Release Calendar'!M465&lt;&gt;"",'Release Calendar'!M465,"")</f>
        <v/>
      </c>
      <c r="E465" s="30" t="str">
        <f>IF(AND(Q465&lt;&gt;"",R465&lt;&gt;"",DATE(2026,2,0)&gt;=Q465,DATE(2026,1,1)&lt;=R465),"█","")</f>
        <v/>
      </c>
      <c r="F465" s="30" t="str">
        <f>IF(AND(Q465&lt;&gt;"",R465&lt;&gt;"",DATE(2026,3,0)&gt;=Q465,DATE(2026,2,1)&lt;=R465),"█","")</f>
        <v/>
      </c>
      <c r="G465" s="30" t="str">
        <f>IF(AND(Q465&lt;&gt;"",R465&lt;&gt;"",DATE(2026,4,0)&gt;=Q465,DATE(2026,3,1)&lt;=R465),"█","")</f>
        <v/>
      </c>
      <c r="H465" s="30" t="str">
        <f>IF(AND(Q465&lt;&gt;"",R465&lt;&gt;"",DATE(2026,5,0)&gt;=Q465,DATE(2026,4,1)&lt;=R465),"█","")</f>
        <v/>
      </c>
      <c r="I465" s="30" t="str">
        <f>IF(AND(Q465&lt;&gt;"",R465&lt;&gt;"",DATE(2026,6,0)&gt;=Q465,DATE(2026,5,1)&lt;=R465),"█","")</f>
        <v/>
      </c>
      <c r="J465" s="30" t="str">
        <f>IF(AND(Q465&lt;&gt;"",R465&lt;&gt;"",DATE(2026,7,0)&gt;=Q465,DATE(2026,6,1)&lt;=R465),"█","")</f>
        <v/>
      </c>
      <c r="K465" s="30" t="str">
        <f>IF(AND(Q465&lt;&gt;"",R465&lt;&gt;"",DATE(2026,8,0)&gt;=Q465,DATE(2026,7,1)&lt;=R465),"█","")</f>
        <v/>
      </c>
      <c r="L465" s="30" t="str">
        <f>IF(AND(Q465&lt;&gt;"",R465&lt;&gt;"",DATE(2026,9,0)&gt;=Q465,DATE(2026,8,1)&lt;=R465),"█","")</f>
        <v/>
      </c>
      <c r="M465" s="30" t="str">
        <f>IF(AND(Q465&lt;&gt;"",R465&lt;&gt;"",DATE(2026,10,0)&gt;=Q465,DATE(2026,9,1)&lt;=R465),"█","")</f>
        <v/>
      </c>
      <c r="N465" s="30" t="str">
        <f>IF(AND(Q465&lt;&gt;"",R465&lt;&gt;"",DATE(2026,11,0)&gt;=Q465,DATE(2026,10,1)&lt;=R465),"█","")</f>
        <v/>
      </c>
      <c r="O465" s="30" t="str">
        <f>IF(AND(Q465&lt;&gt;"",R465&lt;&gt;"",DATE(2026,12,0)&gt;=Q465,DATE(2026,11,1)&lt;=R465),"█","")</f>
        <v/>
      </c>
      <c r="P465" s="30" t="str">
        <f>IF(AND(Q465&lt;&gt;"",R465&lt;&gt;"",DATE(2026,12,31)&gt;=Q465,DATE(2026,12,1)&lt;=R465),"█","")</f>
        <v/>
      </c>
      <c r="Q465" s="7" t="str">
        <f>IF('Release Calendar'!I465&lt;&gt;"",'Release Calendar'!I465,"")</f>
        <v/>
      </c>
      <c r="R465" s="7" t="str">
        <f>IF('Release Calendar'!J465&lt;&gt;"",'Release Calendar'!J465,"")</f>
        <v/>
      </c>
    </row>
    <row r="466" spans="1:18" ht="20.100000000000001" customHeight="1">
      <c r="A466" s="31">
        <v>462</v>
      </c>
      <c r="B466" s="32" t="str">
        <f>IF('Release Calendar'!B466&lt;&gt;"",'Release Calendar'!B466,"")</f>
        <v/>
      </c>
      <c r="C466" s="33" t="str">
        <f>IF('Release Calendar'!K466&lt;&gt;"",'Release Calendar'!K466,"")</f>
        <v/>
      </c>
      <c r="D466" s="33" t="str">
        <f>IF('Release Calendar'!M466&lt;&gt;"",'Release Calendar'!M466,"")</f>
        <v/>
      </c>
      <c r="E466" s="34" t="str">
        <f>IF(AND(Q466&lt;&gt;"",R466&lt;&gt;"",DATE(2026,2,0)&gt;=Q466,DATE(2026,1,1)&lt;=R466),"█","")</f>
        <v/>
      </c>
      <c r="F466" s="34" t="str">
        <f>IF(AND(Q466&lt;&gt;"",R466&lt;&gt;"",DATE(2026,3,0)&gt;=Q466,DATE(2026,2,1)&lt;=R466),"█","")</f>
        <v/>
      </c>
      <c r="G466" s="34" t="str">
        <f>IF(AND(Q466&lt;&gt;"",R466&lt;&gt;"",DATE(2026,4,0)&gt;=Q466,DATE(2026,3,1)&lt;=R466),"█","")</f>
        <v/>
      </c>
      <c r="H466" s="34" t="str">
        <f>IF(AND(Q466&lt;&gt;"",R466&lt;&gt;"",DATE(2026,5,0)&gt;=Q466,DATE(2026,4,1)&lt;=R466),"█","")</f>
        <v/>
      </c>
      <c r="I466" s="34" t="str">
        <f>IF(AND(Q466&lt;&gt;"",R466&lt;&gt;"",DATE(2026,6,0)&gt;=Q466,DATE(2026,5,1)&lt;=R466),"█","")</f>
        <v/>
      </c>
      <c r="J466" s="34" t="str">
        <f>IF(AND(Q466&lt;&gt;"",R466&lt;&gt;"",DATE(2026,7,0)&gt;=Q466,DATE(2026,6,1)&lt;=R466),"█","")</f>
        <v/>
      </c>
      <c r="K466" s="34" t="str">
        <f>IF(AND(Q466&lt;&gt;"",R466&lt;&gt;"",DATE(2026,8,0)&gt;=Q466,DATE(2026,7,1)&lt;=R466),"█","")</f>
        <v/>
      </c>
      <c r="L466" s="34" t="str">
        <f>IF(AND(Q466&lt;&gt;"",R466&lt;&gt;"",DATE(2026,9,0)&gt;=Q466,DATE(2026,8,1)&lt;=R466),"█","")</f>
        <v/>
      </c>
      <c r="M466" s="34" t="str">
        <f>IF(AND(Q466&lt;&gt;"",R466&lt;&gt;"",DATE(2026,10,0)&gt;=Q466,DATE(2026,9,1)&lt;=R466),"█","")</f>
        <v/>
      </c>
      <c r="N466" s="34" t="str">
        <f>IF(AND(Q466&lt;&gt;"",R466&lt;&gt;"",DATE(2026,11,0)&gt;=Q466,DATE(2026,10,1)&lt;=R466),"█","")</f>
        <v/>
      </c>
      <c r="O466" s="34" t="str">
        <f>IF(AND(Q466&lt;&gt;"",R466&lt;&gt;"",DATE(2026,12,0)&gt;=Q466,DATE(2026,11,1)&lt;=R466),"█","")</f>
        <v/>
      </c>
      <c r="P466" s="34" t="str">
        <f>IF(AND(Q466&lt;&gt;"",R466&lt;&gt;"",DATE(2026,12,31)&gt;=Q466,DATE(2026,12,1)&lt;=R466),"█","")</f>
        <v/>
      </c>
      <c r="Q466" s="7" t="str">
        <f>IF('Release Calendar'!I466&lt;&gt;"",'Release Calendar'!I466,"")</f>
        <v/>
      </c>
      <c r="R466" s="7" t="str">
        <f>IF('Release Calendar'!J466&lt;&gt;"",'Release Calendar'!J466,"")</f>
        <v/>
      </c>
    </row>
    <row r="467" spans="1:18" ht="20.100000000000001" customHeight="1">
      <c r="A467" s="14">
        <v>463</v>
      </c>
      <c r="B467" s="28" t="str">
        <f>IF('Release Calendar'!B467&lt;&gt;"",'Release Calendar'!B467,"")</f>
        <v/>
      </c>
      <c r="C467" s="29" t="str">
        <f>IF('Release Calendar'!K467&lt;&gt;"",'Release Calendar'!K467,"")</f>
        <v/>
      </c>
      <c r="D467" s="29" t="str">
        <f>IF('Release Calendar'!M467&lt;&gt;"",'Release Calendar'!M467,"")</f>
        <v/>
      </c>
      <c r="E467" s="30" t="str">
        <f>IF(AND(Q467&lt;&gt;"",R467&lt;&gt;"",DATE(2026,2,0)&gt;=Q467,DATE(2026,1,1)&lt;=R467),"█","")</f>
        <v/>
      </c>
      <c r="F467" s="30" t="str">
        <f>IF(AND(Q467&lt;&gt;"",R467&lt;&gt;"",DATE(2026,3,0)&gt;=Q467,DATE(2026,2,1)&lt;=R467),"█","")</f>
        <v/>
      </c>
      <c r="G467" s="30" t="str">
        <f>IF(AND(Q467&lt;&gt;"",R467&lt;&gt;"",DATE(2026,4,0)&gt;=Q467,DATE(2026,3,1)&lt;=R467),"█","")</f>
        <v/>
      </c>
      <c r="H467" s="30" t="str">
        <f>IF(AND(Q467&lt;&gt;"",R467&lt;&gt;"",DATE(2026,5,0)&gt;=Q467,DATE(2026,4,1)&lt;=R467),"█","")</f>
        <v/>
      </c>
      <c r="I467" s="30" t="str">
        <f>IF(AND(Q467&lt;&gt;"",R467&lt;&gt;"",DATE(2026,6,0)&gt;=Q467,DATE(2026,5,1)&lt;=R467),"█","")</f>
        <v/>
      </c>
      <c r="J467" s="30" t="str">
        <f>IF(AND(Q467&lt;&gt;"",R467&lt;&gt;"",DATE(2026,7,0)&gt;=Q467,DATE(2026,6,1)&lt;=R467),"█","")</f>
        <v/>
      </c>
      <c r="K467" s="30" t="str">
        <f>IF(AND(Q467&lt;&gt;"",R467&lt;&gt;"",DATE(2026,8,0)&gt;=Q467,DATE(2026,7,1)&lt;=R467),"█","")</f>
        <v/>
      </c>
      <c r="L467" s="30" t="str">
        <f>IF(AND(Q467&lt;&gt;"",R467&lt;&gt;"",DATE(2026,9,0)&gt;=Q467,DATE(2026,8,1)&lt;=R467),"█","")</f>
        <v/>
      </c>
      <c r="M467" s="30" t="str">
        <f>IF(AND(Q467&lt;&gt;"",R467&lt;&gt;"",DATE(2026,10,0)&gt;=Q467,DATE(2026,9,1)&lt;=R467),"█","")</f>
        <v/>
      </c>
      <c r="N467" s="30" t="str">
        <f>IF(AND(Q467&lt;&gt;"",R467&lt;&gt;"",DATE(2026,11,0)&gt;=Q467,DATE(2026,10,1)&lt;=R467),"█","")</f>
        <v/>
      </c>
      <c r="O467" s="30" t="str">
        <f>IF(AND(Q467&lt;&gt;"",R467&lt;&gt;"",DATE(2026,12,0)&gt;=Q467,DATE(2026,11,1)&lt;=R467),"█","")</f>
        <v/>
      </c>
      <c r="P467" s="30" t="str">
        <f>IF(AND(Q467&lt;&gt;"",R467&lt;&gt;"",DATE(2026,12,31)&gt;=Q467,DATE(2026,12,1)&lt;=R467),"█","")</f>
        <v/>
      </c>
      <c r="Q467" s="7" t="str">
        <f>IF('Release Calendar'!I467&lt;&gt;"",'Release Calendar'!I467,"")</f>
        <v/>
      </c>
      <c r="R467" s="7" t="str">
        <f>IF('Release Calendar'!J467&lt;&gt;"",'Release Calendar'!J467,"")</f>
        <v/>
      </c>
    </row>
    <row r="468" spans="1:18" ht="20.100000000000001" customHeight="1">
      <c r="A468" s="31">
        <v>464</v>
      </c>
      <c r="B468" s="32" t="str">
        <f>IF('Release Calendar'!B468&lt;&gt;"",'Release Calendar'!B468,"")</f>
        <v/>
      </c>
      <c r="C468" s="33" t="str">
        <f>IF('Release Calendar'!K468&lt;&gt;"",'Release Calendar'!K468,"")</f>
        <v/>
      </c>
      <c r="D468" s="33" t="str">
        <f>IF('Release Calendar'!M468&lt;&gt;"",'Release Calendar'!M468,"")</f>
        <v/>
      </c>
      <c r="E468" s="34" t="str">
        <f>IF(AND(Q468&lt;&gt;"",R468&lt;&gt;"",DATE(2026,2,0)&gt;=Q468,DATE(2026,1,1)&lt;=R468),"█","")</f>
        <v/>
      </c>
      <c r="F468" s="34" t="str">
        <f>IF(AND(Q468&lt;&gt;"",R468&lt;&gt;"",DATE(2026,3,0)&gt;=Q468,DATE(2026,2,1)&lt;=R468),"█","")</f>
        <v/>
      </c>
      <c r="G468" s="34" t="str">
        <f>IF(AND(Q468&lt;&gt;"",R468&lt;&gt;"",DATE(2026,4,0)&gt;=Q468,DATE(2026,3,1)&lt;=R468),"█","")</f>
        <v/>
      </c>
      <c r="H468" s="34" t="str">
        <f>IF(AND(Q468&lt;&gt;"",R468&lt;&gt;"",DATE(2026,5,0)&gt;=Q468,DATE(2026,4,1)&lt;=R468),"█","")</f>
        <v/>
      </c>
      <c r="I468" s="34" t="str">
        <f>IF(AND(Q468&lt;&gt;"",R468&lt;&gt;"",DATE(2026,6,0)&gt;=Q468,DATE(2026,5,1)&lt;=R468),"█","")</f>
        <v/>
      </c>
      <c r="J468" s="34" t="str">
        <f>IF(AND(Q468&lt;&gt;"",R468&lt;&gt;"",DATE(2026,7,0)&gt;=Q468,DATE(2026,6,1)&lt;=R468),"█","")</f>
        <v/>
      </c>
      <c r="K468" s="34" t="str">
        <f>IF(AND(Q468&lt;&gt;"",R468&lt;&gt;"",DATE(2026,8,0)&gt;=Q468,DATE(2026,7,1)&lt;=R468),"█","")</f>
        <v/>
      </c>
      <c r="L468" s="34" t="str">
        <f>IF(AND(Q468&lt;&gt;"",R468&lt;&gt;"",DATE(2026,9,0)&gt;=Q468,DATE(2026,8,1)&lt;=R468),"█","")</f>
        <v/>
      </c>
      <c r="M468" s="34" t="str">
        <f>IF(AND(Q468&lt;&gt;"",R468&lt;&gt;"",DATE(2026,10,0)&gt;=Q468,DATE(2026,9,1)&lt;=R468),"█","")</f>
        <v/>
      </c>
      <c r="N468" s="34" t="str">
        <f>IF(AND(Q468&lt;&gt;"",R468&lt;&gt;"",DATE(2026,11,0)&gt;=Q468,DATE(2026,10,1)&lt;=R468),"█","")</f>
        <v/>
      </c>
      <c r="O468" s="34" t="str">
        <f>IF(AND(Q468&lt;&gt;"",R468&lt;&gt;"",DATE(2026,12,0)&gt;=Q468,DATE(2026,11,1)&lt;=R468),"█","")</f>
        <v/>
      </c>
      <c r="P468" s="34" t="str">
        <f>IF(AND(Q468&lt;&gt;"",R468&lt;&gt;"",DATE(2026,12,31)&gt;=Q468,DATE(2026,12,1)&lt;=R468),"█","")</f>
        <v/>
      </c>
      <c r="Q468" s="7" t="str">
        <f>IF('Release Calendar'!I468&lt;&gt;"",'Release Calendar'!I468,"")</f>
        <v/>
      </c>
      <c r="R468" s="7" t="str">
        <f>IF('Release Calendar'!J468&lt;&gt;"",'Release Calendar'!J468,"")</f>
        <v/>
      </c>
    </row>
    <row r="469" spans="1:18" ht="20.100000000000001" customHeight="1">
      <c r="A469" s="14">
        <v>465</v>
      </c>
      <c r="B469" s="28" t="str">
        <f>IF('Release Calendar'!B469&lt;&gt;"",'Release Calendar'!B469,"")</f>
        <v/>
      </c>
      <c r="C469" s="29" t="str">
        <f>IF('Release Calendar'!K469&lt;&gt;"",'Release Calendar'!K469,"")</f>
        <v/>
      </c>
      <c r="D469" s="29" t="str">
        <f>IF('Release Calendar'!M469&lt;&gt;"",'Release Calendar'!M469,"")</f>
        <v/>
      </c>
      <c r="E469" s="30" t="str">
        <f>IF(AND(Q469&lt;&gt;"",R469&lt;&gt;"",DATE(2026,2,0)&gt;=Q469,DATE(2026,1,1)&lt;=R469),"█","")</f>
        <v/>
      </c>
      <c r="F469" s="30" t="str">
        <f>IF(AND(Q469&lt;&gt;"",R469&lt;&gt;"",DATE(2026,3,0)&gt;=Q469,DATE(2026,2,1)&lt;=R469),"█","")</f>
        <v/>
      </c>
      <c r="G469" s="30" t="str">
        <f>IF(AND(Q469&lt;&gt;"",R469&lt;&gt;"",DATE(2026,4,0)&gt;=Q469,DATE(2026,3,1)&lt;=R469),"█","")</f>
        <v/>
      </c>
      <c r="H469" s="30" t="str">
        <f>IF(AND(Q469&lt;&gt;"",R469&lt;&gt;"",DATE(2026,5,0)&gt;=Q469,DATE(2026,4,1)&lt;=R469),"█","")</f>
        <v/>
      </c>
      <c r="I469" s="30" t="str">
        <f>IF(AND(Q469&lt;&gt;"",R469&lt;&gt;"",DATE(2026,6,0)&gt;=Q469,DATE(2026,5,1)&lt;=R469),"█","")</f>
        <v/>
      </c>
      <c r="J469" s="30" t="str">
        <f>IF(AND(Q469&lt;&gt;"",R469&lt;&gt;"",DATE(2026,7,0)&gt;=Q469,DATE(2026,6,1)&lt;=R469),"█","")</f>
        <v/>
      </c>
      <c r="K469" s="30" t="str">
        <f>IF(AND(Q469&lt;&gt;"",R469&lt;&gt;"",DATE(2026,8,0)&gt;=Q469,DATE(2026,7,1)&lt;=R469),"█","")</f>
        <v/>
      </c>
      <c r="L469" s="30" t="str">
        <f>IF(AND(Q469&lt;&gt;"",R469&lt;&gt;"",DATE(2026,9,0)&gt;=Q469,DATE(2026,8,1)&lt;=R469),"█","")</f>
        <v/>
      </c>
      <c r="M469" s="30" t="str">
        <f>IF(AND(Q469&lt;&gt;"",R469&lt;&gt;"",DATE(2026,10,0)&gt;=Q469,DATE(2026,9,1)&lt;=R469),"█","")</f>
        <v/>
      </c>
      <c r="N469" s="30" t="str">
        <f>IF(AND(Q469&lt;&gt;"",R469&lt;&gt;"",DATE(2026,11,0)&gt;=Q469,DATE(2026,10,1)&lt;=R469),"█","")</f>
        <v/>
      </c>
      <c r="O469" s="30" t="str">
        <f>IF(AND(Q469&lt;&gt;"",R469&lt;&gt;"",DATE(2026,12,0)&gt;=Q469,DATE(2026,11,1)&lt;=R469),"█","")</f>
        <v/>
      </c>
      <c r="P469" s="30" t="str">
        <f>IF(AND(Q469&lt;&gt;"",R469&lt;&gt;"",DATE(2026,12,31)&gt;=Q469,DATE(2026,12,1)&lt;=R469),"█","")</f>
        <v/>
      </c>
      <c r="Q469" s="7" t="str">
        <f>IF('Release Calendar'!I469&lt;&gt;"",'Release Calendar'!I469,"")</f>
        <v/>
      </c>
      <c r="R469" s="7" t="str">
        <f>IF('Release Calendar'!J469&lt;&gt;"",'Release Calendar'!J469,"")</f>
        <v/>
      </c>
    </row>
    <row r="470" spans="1:18" ht="20.100000000000001" customHeight="1">
      <c r="A470" s="31">
        <v>466</v>
      </c>
      <c r="B470" s="32" t="str">
        <f>IF('Release Calendar'!B470&lt;&gt;"",'Release Calendar'!B470,"")</f>
        <v/>
      </c>
      <c r="C470" s="33" t="str">
        <f>IF('Release Calendar'!K470&lt;&gt;"",'Release Calendar'!K470,"")</f>
        <v/>
      </c>
      <c r="D470" s="33" t="str">
        <f>IF('Release Calendar'!M470&lt;&gt;"",'Release Calendar'!M470,"")</f>
        <v/>
      </c>
      <c r="E470" s="34" t="str">
        <f>IF(AND(Q470&lt;&gt;"",R470&lt;&gt;"",DATE(2026,2,0)&gt;=Q470,DATE(2026,1,1)&lt;=R470),"█","")</f>
        <v/>
      </c>
      <c r="F470" s="34" t="str">
        <f>IF(AND(Q470&lt;&gt;"",R470&lt;&gt;"",DATE(2026,3,0)&gt;=Q470,DATE(2026,2,1)&lt;=R470),"█","")</f>
        <v/>
      </c>
      <c r="G470" s="34" t="str">
        <f>IF(AND(Q470&lt;&gt;"",R470&lt;&gt;"",DATE(2026,4,0)&gt;=Q470,DATE(2026,3,1)&lt;=R470),"█","")</f>
        <v/>
      </c>
      <c r="H470" s="34" t="str">
        <f>IF(AND(Q470&lt;&gt;"",R470&lt;&gt;"",DATE(2026,5,0)&gt;=Q470,DATE(2026,4,1)&lt;=R470),"█","")</f>
        <v/>
      </c>
      <c r="I470" s="34" t="str">
        <f>IF(AND(Q470&lt;&gt;"",R470&lt;&gt;"",DATE(2026,6,0)&gt;=Q470,DATE(2026,5,1)&lt;=R470),"█","")</f>
        <v/>
      </c>
      <c r="J470" s="34" t="str">
        <f>IF(AND(Q470&lt;&gt;"",R470&lt;&gt;"",DATE(2026,7,0)&gt;=Q470,DATE(2026,6,1)&lt;=R470),"█","")</f>
        <v/>
      </c>
      <c r="K470" s="34" t="str">
        <f>IF(AND(Q470&lt;&gt;"",R470&lt;&gt;"",DATE(2026,8,0)&gt;=Q470,DATE(2026,7,1)&lt;=R470),"█","")</f>
        <v/>
      </c>
      <c r="L470" s="34" t="str">
        <f>IF(AND(Q470&lt;&gt;"",R470&lt;&gt;"",DATE(2026,9,0)&gt;=Q470,DATE(2026,8,1)&lt;=R470),"█","")</f>
        <v/>
      </c>
      <c r="M470" s="34" t="str">
        <f>IF(AND(Q470&lt;&gt;"",R470&lt;&gt;"",DATE(2026,10,0)&gt;=Q470,DATE(2026,9,1)&lt;=R470),"█","")</f>
        <v/>
      </c>
      <c r="N470" s="34" t="str">
        <f>IF(AND(Q470&lt;&gt;"",R470&lt;&gt;"",DATE(2026,11,0)&gt;=Q470,DATE(2026,10,1)&lt;=R470),"█","")</f>
        <v/>
      </c>
      <c r="O470" s="34" t="str">
        <f>IF(AND(Q470&lt;&gt;"",R470&lt;&gt;"",DATE(2026,12,0)&gt;=Q470,DATE(2026,11,1)&lt;=R470),"█","")</f>
        <v/>
      </c>
      <c r="P470" s="34" t="str">
        <f>IF(AND(Q470&lt;&gt;"",R470&lt;&gt;"",DATE(2026,12,31)&gt;=Q470,DATE(2026,12,1)&lt;=R470),"█","")</f>
        <v/>
      </c>
      <c r="Q470" s="7" t="str">
        <f>IF('Release Calendar'!I470&lt;&gt;"",'Release Calendar'!I470,"")</f>
        <v/>
      </c>
      <c r="R470" s="7" t="str">
        <f>IF('Release Calendar'!J470&lt;&gt;"",'Release Calendar'!J470,"")</f>
        <v/>
      </c>
    </row>
    <row r="471" spans="1:18" ht="20.100000000000001" customHeight="1">
      <c r="A471" s="14">
        <v>467</v>
      </c>
      <c r="B471" s="28" t="str">
        <f>IF('Release Calendar'!B471&lt;&gt;"",'Release Calendar'!B471,"")</f>
        <v/>
      </c>
      <c r="C471" s="29" t="str">
        <f>IF('Release Calendar'!K471&lt;&gt;"",'Release Calendar'!K471,"")</f>
        <v/>
      </c>
      <c r="D471" s="29" t="str">
        <f>IF('Release Calendar'!M471&lt;&gt;"",'Release Calendar'!M471,"")</f>
        <v/>
      </c>
      <c r="E471" s="30" t="str">
        <f>IF(AND(Q471&lt;&gt;"",R471&lt;&gt;"",DATE(2026,2,0)&gt;=Q471,DATE(2026,1,1)&lt;=R471),"█","")</f>
        <v/>
      </c>
      <c r="F471" s="30" t="str">
        <f>IF(AND(Q471&lt;&gt;"",R471&lt;&gt;"",DATE(2026,3,0)&gt;=Q471,DATE(2026,2,1)&lt;=R471),"█","")</f>
        <v/>
      </c>
      <c r="G471" s="30" t="str">
        <f>IF(AND(Q471&lt;&gt;"",R471&lt;&gt;"",DATE(2026,4,0)&gt;=Q471,DATE(2026,3,1)&lt;=R471),"█","")</f>
        <v/>
      </c>
      <c r="H471" s="30" t="str">
        <f>IF(AND(Q471&lt;&gt;"",R471&lt;&gt;"",DATE(2026,5,0)&gt;=Q471,DATE(2026,4,1)&lt;=R471),"█","")</f>
        <v/>
      </c>
      <c r="I471" s="30" t="str">
        <f>IF(AND(Q471&lt;&gt;"",R471&lt;&gt;"",DATE(2026,6,0)&gt;=Q471,DATE(2026,5,1)&lt;=R471),"█","")</f>
        <v/>
      </c>
      <c r="J471" s="30" t="str">
        <f>IF(AND(Q471&lt;&gt;"",R471&lt;&gt;"",DATE(2026,7,0)&gt;=Q471,DATE(2026,6,1)&lt;=R471),"█","")</f>
        <v/>
      </c>
      <c r="K471" s="30" t="str">
        <f>IF(AND(Q471&lt;&gt;"",R471&lt;&gt;"",DATE(2026,8,0)&gt;=Q471,DATE(2026,7,1)&lt;=R471),"█","")</f>
        <v/>
      </c>
      <c r="L471" s="30" t="str">
        <f>IF(AND(Q471&lt;&gt;"",R471&lt;&gt;"",DATE(2026,9,0)&gt;=Q471,DATE(2026,8,1)&lt;=R471),"█","")</f>
        <v/>
      </c>
      <c r="M471" s="30" t="str">
        <f>IF(AND(Q471&lt;&gt;"",R471&lt;&gt;"",DATE(2026,10,0)&gt;=Q471,DATE(2026,9,1)&lt;=R471),"█","")</f>
        <v/>
      </c>
      <c r="N471" s="30" t="str">
        <f>IF(AND(Q471&lt;&gt;"",R471&lt;&gt;"",DATE(2026,11,0)&gt;=Q471,DATE(2026,10,1)&lt;=R471),"█","")</f>
        <v/>
      </c>
      <c r="O471" s="30" t="str">
        <f>IF(AND(Q471&lt;&gt;"",R471&lt;&gt;"",DATE(2026,12,0)&gt;=Q471,DATE(2026,11,1)&lt;=R471),"█","")</f>
        <v/>
      </c>
      <c r="P471" s="30" t="str">
        <f>IF(AND(Q471&lt;&gt;"",R471&lt;&gt;"",DATE(2026,12,31)&gt;=Q471,DATE(2026,12,1)&lt;=R471),"█","")</f>
        <v/>
      </c>
      <c r="Q471" s="7" t="str">
        <f>IF('Release Calendar'!I471&lt;&gt;"",'Release Calendar'!I471,"")</f>
        <v/>
      </c>
      <c r="R471" s="7" t="str">
        <f>IF('Release Calendar'!J471&lt;&gt;"",'Release Calendar'!J471,"")</f>
        <v/>
      </c>
    </row>
    <row r="472" spans="1:18" ht="20.100000000000001" customHeight="1">
      <c r="A472" s="31">
        <v>468</v>
      </c>
      <c r="B472" s="32" t="str">
        <f>IF('Release Calendar'!B472&lt;&gt;"",'Release Calendar'!B472,"")</f>
        <v/>
      </c>
      <c r="C472" s="33" t="str">
        <f>IF('Release Calendar'!K472&lt;&gt;"",'Release Calendar'!K472,"")</f>
        <v/>
      </c>
      <c r="D472" s="33" t="str">
        <f>IF('Release Calendar'!M472&lt;&gt;"",'Release Calendar'!M472,"")</f>
        <v/>
      </c>
      <c r="E472" s="34" t="str">
        <f>IF(AND(Q472&lt;&gt;"",R472&lt;&gt;"",DATE(2026,2,0)&gt;=Q472,DATE(2026,1,1)&lt;=R472),"█","")</f>
        <v/>
      </c>
      <c r="F472" s="34" t="str">
        <f>IF(AND(Q472&lt;&gt;"",R472&lt;&gt;"",DATE(2026,3,0)&gt;=Q472,DATE(2026,2,1)&lt;=R472),"█","")</f>
        <v/>
      </c>
      <c r="G472" s="34" t="str">
        <f>IF(AND(Q472&lt;&gt;"",R472&lt;&gt;"",DATE(2026,4,0)&gt;=Q472,DATE(2026,3,1)&lt;=R472),"█","")</f>
        <v/>
      </c>
      <c r="H472" s="34" t="str">
        <f>IF(AND(Q472&lt;&gt;"",R472&lt;&gt;"",DATE(2026,5,0)&gt;=Q472,DATE(2026,4,1)&lt;=R472),"█","")</f>
        <v/>
      </c>
      <c r="I472" s="34" t="str">
        <f>IF(AND(Q472&lt;&gt;"",R472&lt;&gt;"",DATE(2026,6,0)&gt;=Q472,DATE(2026,5,1)&lt;=R472),"█","")</f>
        <v/>
      </c>
      <c r="J472" s="34" t="str">
        <f>IF(AND(Q472&lt;&gt;"",R472&lt;&gt;"",DATE(2026,7,0)&gt;=Q472,DATE(2026,6,1)&lt;=R472),"█","")</f>
        <v/>
      </c>
      <c r="K472" s="34" t="str">
        <f>IF(AND(Q472&lt;&gt;"",R472&lt;&gt;"",DATE(2026,8,0)&gt;=Q472,DATE(2026,7,1)&lt;=R472),"█","")</f>
        <v/>
      </c>
      <c r="L472" s="34" t="str">
        <f>IF(AND(Q472&lt;&gt;"",R472&lt;&gt;"",DATE(2026,9,0)&gt;=Q472,DATE(2026,8,1)&lt;=R472),"█","")</f>
        <v/>
      </c>
      <c r="M472" s="34" t="str">
        <f>IF(AND(Q472&lt;&gt;"",R472&lt;&gt;"",DATE(2026,10,0)&gt;=Q472,DATE(2026,9,1)&lt;=R472),"█","")</f>
        <v/>
      </c>
      <c r="N472" s="34" t="str">
        <f>IF(AND(Q472&lt;&gt;"",R472&lt;&gt;"",DATE(2026,11,0)&gt;=Q472,DATE(2026,10,1)&lt;=R472),"█","")</f>
        <v/>
      </c>
      <c r="O472" s="34" t="str">
        <f>IF(AND(Q472&lt;&gt;"",R472&lt;&gt;"",DATE(2026,12,0)&gt;=Q472,DATE(2026,11,1)&lt;=R472),"█","")</f>
        <v/>
      </c>
      <c r="P472" s="34" t="str">
        <f>IF(AND(Q472&lt;&gt;"",R472&lt;&gt;"",DATE(2026,12,31)&gt;=Q472,DATE(2026,12,1)&lt;=R472),"█","")</f>
        <v/>
      </c>
      <c r="Q472" s="7" t="str">
        <f>IF('Release Calendar'!I472&lt;&gt;"",'Release Calendar'!I472,"")</f>
        <v/>
      </c>
      <c r="R472" s="7" t="str">
        <f>IF('Release Calendar'!J472&lt;&gt;"",'Release Calendar'!J472,"")</f>
        <v/>
      </c>
    </row>
    <row r="473" spans="1:18" ht="20.100000000000001" customHeight="1">
      <c r="A473" s="14">
        <v>469</v>
      </c>
      <c r="B473" s="28" t="str">
        <f>IF('Release Calendar'!B473&lt;&gt;"",'Release Calendar'!B473,"")</f>
        <v/>
      </c>
      <c r="C473" s="29" t="str">
        <f>IF('Release Calendar'!K473&lt;&gt;"",'Release Calendar'!K473,"")</f>
        <v/>
      </c>
      <c r="D473" s="29" t="str">
        <f>IF('Release Calendar'!M473&lt;&gt;"",'Release Calendar'!M473,"")</f>
        <v/>
      </c>
      <c r="E473" s="30" t="str">
        <f>IF(AND(Q473&lt;&gt;"",R473&lt;&gt;"",DATE(2026,2,0)&gt;=Q473,DATE(2026,1,1)&lt;=R473),"█","")</f>
        <v/>
      </c>
      <c r="F473" s="30" t="str">
        <f>IF(AND(Q473&lt;&gt;"",R473&lt;&gt;"",DATE(2026,3,0)&gt;=Q473,DATE(2026,2,1)&lt;=R473),"█","")</f>
        <v/>
      </c>
      <c r="G473" s="30" t="str">
        <f>IF(AND(Q473&lt;&gt;"",R473&lt;&gt;"",DATE(2026,4,0)&gt;=Q473,DATE(2026,3,1)&lt;=R473),"█","")</f>
        <v/>
      </c>
      <c r="H473" s="30" t="str">
        <f>IF(AND(Q473&lt;&gt;"",R473&lt;&gt;"",DATE(2026,5,0)&gt;=Q473,DATE(2026,4,1)&lt;=R473),"█","")</f>
        <v/>
      </c>
      <c r="I473" s="30" t="str">
        <f>IF(AND(Q473&lt;&gt;"",R473&lt;&gt;"",DATE(2026,6,0)&gt;=Q473,DATE(2026,5,1)&lt;=R473),"█","")</f>
        <v/>
      </c>
      <c r="J473" s="30" t="str">
        <f>IF(AND(Q473&lt;&gt;"",R473&lt;&gt;"",DATE(2026,7,0)&gt;=Q473,DATE(2026,6,1)&lt;=R473),"█","")</f>
        <v/>
      </c>
      <c r="K473" s="30" t="str">
        <f>IF(AND(Q473&lt;&gt;"",R473&lt;&gt;"",DATE(2026,8,0)&gt;=Q473,DATE(2026,7,1)&lt;=R473),"█","")</f>
        <v/>
      </c>
      <c r="L473" s="30" t="str">
        <f>IF(AND(Q473&lt;&gt;"",R473&lt;&gt;"",DATE(2026,9,0)&gt;=Q473,DATE(2026,8,1)&lt;=R473),"█","")</f>
        <v/>
      </c>
      <c r="M473" s="30" t="str">
        <f>IF(AND(Q473&lt;&gt;"",R473&lt;&gt;"",DATE(2026,10,0)&gt;=Q473,DATE(2026,9,1)&lt;=R473),"█","")</f>
        <v/>
      </c>
      <c r="N473" s="30" t="str">
        <f>IF(AND(Q473&lt;&gt;"",R473&lt;&gt;"",DATE(2026,11,0)&gt;=Q473,DATE(2026,10,1)&lt;=R473),"█","")</f>
        <v/>
      </c>
      <c r="O473" s="30" t="str">
        <f>IF(AND(Q473&lt;&gt;"",R473&lt;&gt;"",DATE(2026,12,0)&gt;=Q473,DATE(2026,11,1)&lt;=R473),"█","")</f>
        <v/>
      </c>
      <c r="P473" s="30" t="str">
        <f>IF(AND(Q473&lt;&gt;"",R473&lt;&gt;"",DATE(2026,12,31)&gt;=Q473,DATE(2026,12,1)&lt;=R473),"█","")</f>
        <v/>
      </c>
      <c r="Q473" s="7" t="str">
        <f>IF('Release Calendar'!I473&lt;&gt;"",'Release Calendar'!I473,"")</f>
        <v/>
      </c>
      <c r="R473" s="7" t="str">
        <f>IF('Release Calendar'!J473&lt;&gt;"",'Release Calendar'!J473,"")</f>
        <v/>
      </c>
    </row>
    <row r="474" spans="1:18" ht="20.100000000000001" customHeight="1">
      <c r="A474" s="31">
        <v>470</v>
      </c>
      <c r="B474" s="32" t="str">
        <f>IF('Release Calendar'!B474&lt;&gt;"",'Release Calendar'!B474,"")</f>
        <v/>
      </c>
      <c r="C474" s="33" t="str">
        <f>IF('Release Calendar'!K474&lt;&gt;"",'Release Calendar'!K474,"")</f>
        <v/>
      </c>
      <c r="D474" s="33" t="str">
        <f>IF('Release Calendar'!M474&lt;&gt;"",'Release Calendar'!M474,"")</f>
        <v/>
      </c>
      <c r="E474" s="34" t="str">
        <f>IF(AND(Q474&lt;&gt;"",R474&lt;&gt;"",DATE(2026,2,0)&gt;=Q474,DATE(2026,1,1)&lt;=R474),"█","")</f>
        <v/>
      </c>
      <c r="F474" s="34" t="str">
        <f>IF(AND(Q474&lt;&gt;"",R474&lt;&gt;"",DATE(2026,3,0)&gt;=Q474,DATE(2026,2,1)&lt;=R474),"█","")</f>
        <v/>
      </c>
      <c r="G474" s="34" t="str">
        <f>IF(AND(Q474&lt;&gt;"",R474&lt;&gt;"",DATE(2026,4,0)&gt;=Q474,DATE(2026,3,1)&lt;=R474),"█","")</f>
        <v/>
      </c>
      <c r="H474" s="34" t="str">
        <f>IF(AND(Q474&lt;&gt;"",R474&lt;&gt;"",DATE(2026,5,0)&gt;=Q474,DATE(2026,4,1)&lt;=R474),"█","")</f>
        <v/>
      </c>
      <c r="I474" s="34" t="str">
        <f>IF(AND(Q474&lt;&gt;"",R474&lt;&gt;"",DATE(2026,6,0)&gt;=Q474,DATE(2026,5,1)&lt;=R474),"█","")</f>
        <v/>
      </c>
      <c r="J474" s="34" t="str">
        <f>IF(AND(Q474&lt;&gt;"",R474&lt;&gt;"",DATE(2026,7,0)&gt;=Q474,DATE(2026,6,1)&lt;=R474),"█","")</f>
        <v/>
      </c>
      <c r="K474" s="34" t="str">
        <f>IF(AND(Q474&lt;&gt;"",R474&lt;&gt;"",DATE(2026,8,0)&gt;=Q474,DATE(2026,7,1)&lt;=R474),"█","")</f>
        <v/>
      </c>
      <c r="L474" s="34" t="str">
        <f>IF(AND(Q474&lt;&gt;"",R474&lt;&gt;"",DATE(2026,9,0)&gt;=Q474,DATE(2026,8,1)&lt;=R474),"█","")</f>
        <v/>
      </c>
      <c r="M474" s="34" t="str">
        <f>IF(AND(Q474&lt;&gt;"",R474&lt;&gt;"",DATE(2026,10,0)&gt;=Q474,DATE(2026,9,1)&lt;=R474),"█","")</f>
        <v/>
      </c>
      <c r="N474" s="34" t="str">
        <f>IF(AND(Q474&lt;&gt;"",R474&lt;&gt;"",DATE(2026,11,0)&gt;=Q474,DATE(2026,10,1)&lt;=R474),"█","")</f>
        <v/>
      </c>
      <c r="O474" s="34" t="str">
        <f>IF(AND(Q474&lt;&gt;"",R474&lt;&gt;"",DATE(2026,12,0)&gt;=Q474,DATE(2026,11,1)&lt;=R474),"█","")</f>
        <v/>
      </c>
      <c r="P474" s="34" t="str">
        <f>IF(AND(Q474&lt;&gt;"",R474&lt;&gt;"",DATE(2026,12,31)&gt;=Q474,DATE(2026,12,1)&lt;=R474),"█","")</f>
        <v/>
      </c>
      <c r="Q474" s="7" t="str">
        <f>IF('Release Calendar'!I474&lt;&gt;"",'Release Calendar'!I474,"")</f>
        <v/>
      </c>
      <c r="R474" s="7" t="str">
        <f>IF('Release Calendar'!J474&lt;&gt;"",'Release Calendar'!J474,"")</f>
        <v/>
      </c>
    </row>
    <row r="475" spans="1:18" ht="20.100000000000001" customHeight="1">
      <c r="A475" s="14">
        <v>471</v>
      </c>
      <c r="B475" s="28" t="str">
        <f>IF('Release Calendar'!B475&lt;&gt;"",'Release Calendar'!B475,"")</f>
        <v/>
      </c>
      <c r="C475" s="29" t="str">
        <f>IF('Release Calendar'!K475&lt;&gt;"",'Release Calendar'!K475,"")</f>
        <v/>
      </c>
      <c r="D475" s="29" t="str">
        <f>IF('Release Calendar'!M475&lt;&gt;"",'Release Calendar'!M475,"")</f>
        <v/>
      </c>
      <c r="E475" s="30" t="str">
        <f>IF(AND(Q475&lt;&gt;"",R475&lt;&gt;"",DATE(2026,2,0)&gt;=Q475,DATE(2026,1,1)&lt;=R475),"█","")</f>
        <v/>
      </c>
      <c r="F475" s="30" t="str">
        <f>IF(AND(Q475&lt;&gt;"",R475&lt;&gt;"",DATE(2026,3,0)&gt;=Q475,DATE(2026,2,1)&lt;=R475),"█","")</f>
        <v/>
      </c>
      <c r="G475" s="30" t="str">
        <f>IF(AND(Q475&lt;&gt;"",R475&lt;&gt;"",DATE(2026,4,0)&gt;=Q475,DATE(2026,3,1)&lt;=R475),"█","")</f>
        <v/>
      </c>
      <c r="H475" s="30" t="str">
        <f>IF(AND(Q475&lt;&gt;"",R475&lt;&gt;"",DATE(2026,5,0)&gt;=Q475,DATE(2026,4,1)&lt;=R475),"█","")</f>
        <v/>
      </c>
      <c r="I475" s="30" t="str">
        <f>IF(AND(Q475&lt;&gt;"",R475&lt;&gt;"",DATE(2026,6,0)&gt;=Q475,DATE(2026,5,1)&lt;=R475),"█","")</f>
        <v/>
      </c>
      <c r="J475" s="30" t="str">
        <f>IF(AND(Q475&lt;&gt;"",R475&lt;&gt;"",DATE(2026,7,0)&gt;=Q475,DATE(2026,6,1)&lt;=R475),"█","")</f>
        <v/>
      </c>
      <c r="K475" s="30" t="str">
        <f>IF(AND(Q475&lt;&gt;"",R475&lt;&gt;"",DATE(2026,8,0)&gt;=Q475,DATE(2026,7,1)&lt;=R475),"█","")</f>
        <v/>
      </c>
      <c r="L475" s="30" t="str">
        <f>IF(AND(Q475&lt;&gt;"",R475&lt;&gt;"",DATE(2026,9,0)&gt;=Q475,DATE(2026,8,1)&lt;=R475),"█","")</f>
        <v/>
      </c>
      <c r="M475" s="30" t="str">
        <f>IF(AND(Q475&lt;&gt;"",R475&lt;&gt;"",DATE(2026,10,0)&gt;=Q475,DATE(2026,9,1)&lt;=R475),"█","")</f>
        <v/>
      </c>
      <c r="N475" s="30" t="str">
        <f>IF(AND(Q475&lt;&gt;"",R475&lt;&gt;"",DATE(2026,11,0)&gt;=Q475,DATE(2026,10,1)&lt;=R475),"█","")</f>
        <v/>
      </c>
      <c r="O475" s="30" t="str">
        <f>IF(AND(Q475&lt;&gt;"",R475&lt;&gt;"",DATE(2026,12,0)&gt;=Q475,DATE(2026,11,1)&lt;=R475),"█","")</f>
        <v/>
      </c>
      <c r="P475" s="30" t="str">
        <f>IF(AND(Q475&lt;&gt;"",R475&lt;&gt;"",DATE(2026,12,31)&gt;=Q475,DATE(2026,12,1)&lt;=R475),"█","")</f>
        <v/>
      </c>
      <c r="Q475" s="7" t="str">
        <f>IF('Release Calendar'!I475&lt;&gt;"",'Release Calendar'!I475,"")</f>
        <v/>
      </c>
      <c r="R475" s="7" t="str">
        <f>IF('Release Calendar'!J475&lt;&gt;"",'Release Calendar'!J475,"")</f>
        <v/>
      </c>
    </row>
    <row r="476" spans="1:18" ht="20.100000000000001" customHeight="1">
      <c r="A476" s="31">
        <v>472</v>
      </c>
      <c r="B476" s="32" t="str">
        <f>IF('Release Calendar'!B476&lt;&gt;"",'Release Calendar'!B476,"")</f>
        <v/>
      </c>
      <c r="C476" s="33" t="str">
        <f>IF('Release Calendar'!K476&lt;&gt;"",'Release Calendar'!K476,"")</f>
        <v/>
      </c>
      <c r="D476" s="33" t="str">
        <f>IF('Release Calendar'!M476&lt;&gt;"",'Release Calendar'!M476,"")</f>
        <v/>
      </c>
      <c r="E476" s="34" t="str">
        <f>IF(AND(Q476&lt;&gt;"",R476&lt;&gt;"",DATE(2026,2,0)&gt;=Q476,DATE(2026,1,1)&lt;=R476),"█","")</f>
        <v/>
      </c>
      <c r="F476" s="34" t="str">
        <f>IF(AND(Q476&lt;&gt;"",R476&lt;&gt;"",DATE(2026,3,0)&gt;=Q476,DATE(2026,2,1)&lt;=R476),"█","")</f>
        <v/>
      </c>
      <c r="G476" s="34" t="str">
        <f>IF(AND(Q476&lt;&gt;"",R476&lt;&gt;"",DATE(2026,4,0)&gt;=Q476,DATE(2026,3,1)&lt;=R476),"█","")</f>
        <v/>
      </c>
      <c r="H476" s="34" t="str">
        <f>IF(AND(Q476&lt;&gt;"",R476&lt;&gt;"",DATE(2026,5,0)&gt;=Q476,DATE(2026,4,1)&lt;=R476),"█","")</f>
        <v/>
      </c>
      <c r="I476" s="34" t="str">
        <f>IF(AND(Q476&lt;&gt;"",R476&lt;&gt;"",DATE(2026,6,0)&gt;=Q476,DATE(2026,5,1)&lt;=R476),"█","")</f>
        <v/>
      </c>
      <c r="J476" s="34" t="str">
        <f>IF(AND(Q476&lt;&gt;"",R476&lt;&gt;"",DATE(2026,7,0)&gt;=Q476,DATE(2026,6,1)&lt;=R476),"█","")</f>
        <v/>
      </c>
      <c r="K476" s="34" t="str">
        <f>IF(AND(Q476&lt;&gt;"",R476&lt;&gt;"",DATE(2026,8,0)&gt;=Q476,DATE(2026,7,1)&lt;=R476),"█","")</f>
        <v/>
      </c>
      <c r="L476" s="34" t="str">
        <f>IF(AND(Q476&lt;&gt;"",R476&lt;&gt;"",DATE(2026,9,0)&gt;=Q476,DATE(2026,8,1)&lt;=R476),"█","")</f>
        <v/>
      </c>
      <c r="M476" s="34" t="str">
        <f>IF(AND(Q476&lt;&gt;"",R476&lt;&gt;"",DATE(2026,10,0)&gt;=Q476,DATE(2026,9,1)&lt;=R476),"█","")</f>
        <v/>
      </c>
      <c r="N476" s="34" t="str">
        <f>IF(AND(Q476&lt;&gt;"",R476&lt;&gt;"",DATE(2026,11,0)&gt;=Q476,DATE(2026,10,1)&lt;=R476),"█","")</f>
        <v/>
      </c>
      <c r="O476" s="34" t="str">
        <f>IF(AND(Q476&lt;&gt;"",R476&lt;&gt;"",DATE(2026,12,0)&gt;=Q476,DATE(2026,11,1)&lt;=R476),"█","")</f>
        <v/>
      </c>
      <c r="P476" s="34" t="str">
        <f>IF(AND(Q476&lt;&gt;"",R476&lt;&gt;"",DATE(2026,12,31)&gt;=Q476,DATE(2026,12,1)&lt;=R476),"█","")</f>
        <v/>
      </c>
      <c r="Q476" s="7" t="str">
        <f>IF('Release Calendar'!I476&lt;&gt;"",'Release Calendar'!I476,"")</f>
        <v/>
      </c>
      <c r="R476" s="7" t="str">
        <f>IF('Release Calendar'!J476&lt;&gt;"",'Release Calendar'!J476,"")</f>
        <v/>
      </c>
    </row>
    <row r="477" spans="1:18" ht="20.100000000000001" customHeight="1">
      <c r="A477" s="14">
        <v>473</v>
      </c>
      <c r="B477" s="28" t="str">
        <f>IF('Release Calendar'!B477&lt;&gt;"",'Release Calendar'!B477,"")</f>
        <v/>
      </c>
      <c r="C477" s="29" t="str">
        <f>IF('Release Calendar'!K477&lt;&gt;"",'Release Calendar'!K477,"")</f>
        <v/>
      </c>
      <c r="D477" s="29" t="str">
        <f>IF('Release Calendar'!M477&lt;&gt;"",'Release Calendar'!M477,"")</f>
        <v/>
      </c>
      <c r="E477" s="30" t="str">
        <f>IF(AND(Q477&lt;&gt;"",R477&lt;&gt;"",DATE(2026,2,0)&gt;=Q477,DATE(2026,1,1)&lt;=R477),"█","")</f>
        <v/>
      </c>
      <c r="F477" s="30" t="str">
        <f>IF(AND(Q477&lt;&gt;"",R477&lt;&gt;"",DATE(2026,3,0)&gt;=Q477,DATE(2026,2,1)&lt;=R477),"█","")</f>
        <v/>
      </c>
      <c r="G477" s="30" t="str">
        <f>IF(AND(Q477&lt;&gt;"",R477&lt;&gt;"",DATE(2026,4,0)&gt;=Q477,DATE(2026,3,1)&lt;=R477),"█","")</f>
        <v/>
      </c>
      <c r="H477" s="30" t="str">
        <f>IF(AND(Q477&lt;&gt;"",R477&lt;&gt;"",DATE(2026,5,0)&gt;=Q477,DATE(2026,4,1)&lt;=R477),"█","")</f>
        <v/>
      </c>
      <c r="I477" s="30" t="str">
        <f>IF(AND(Q477&lt;&gt;"",R477&lt;&gt;"",DATE(2026,6,0)&gt;=Q477,DATE(2026,5,1)&lt;=R477),"█","")</f>
        <v/>
      </c>
      <c r="J477" s="30" t="str">
        <f>IF(AND(Q477&lt;&gt;"",R477&lt;&gt;"",DATE(2026,7,0)&gt;=Q477,DATE(2026,6,1)&lt;=R477),"█","")</f>
        <v/>
      </c>
      <c r="K477" s="30" t="str">
        <f>IF(AND(Q477&lt;&gt;"",R477&lt;&gt;"",DATE(2026,8,0)&gt;=Q477,DATE(2026,7,1)&lt;=R477),"█","")</f>
        <v/>
      </c>
      <c r="L477" s="30" t="str">
        <f>IF(AND(Q477&lt;&gt;"",R477&lt;&gt;"",DATE(2026,9,0)&gt;=Q477,DATE(2026,8,1)&lt;=R477),"█","")</f>
        <v/>
      </c>
      <c r="M477" s="30" t="str">
        <f>IF(AND(Q477&lt;&gt;"",R477&lt;&gt;"",DATE(2026,10,0)&gt;=Q477,DATE(2026,9,1)&lt;=R477),"█","")</f>
        <v/>
      </c>
      <c r="N477" s="30" t="str">
        <f>IF(AND(Q477&lt;&gt;"",R477&lt;&gt;"",DATE(2026,11,0)&gt;=Q477,DATE(2026,10,1)&lt;=R477),"█","")</f>
        <v/>
      </c>
      <c r="O477" s="30" t="str">
        <f>IF(AND(Q477&lt;&gt;"",R477&lt;&gt;"",DATE(2026,12,0)&gt;=Q477,DATE(2026,11,1)&lt;=R477),"█","")</f>
        <v/>
      </c>
      <c r="P477" s="30" t="str">
        <f>IF(AND(Q477&lt;&gt;"",R477&lt;&gt;"",DATE(2026,12,31)&gt;=Q477,DATE(2026,12,1)&lt;=R477),"█","")</f>
        <v/>
      </c>
      <c r="Q477" s="7" t="str">
        <f>IF('Release Calendar'!I477&lt;&gt;"",'Release Calendar'!I477,"")</f>
        <v/>
      </c>
      <c r="R477" s="7" t="str">
        <f>IF('Release Calendar'!J477&lt;&gt;"",'Release Calendar'!J477,"")</f>
        <v/>
      </c>
    </row>
    <row r="478" spans="1:18" ht="20.100000000000001" customHeight="1">
      <c r="A478" s="31">
        <v>474</v>
      </c>
      <c r="B478" s="32" t="str">
        <f>IF('Release Calendar'!B478&lt;&gt;"",'Release Calendar'!B478,"")</f>
        <v/>
      </c>
      <c r="C478" s="33" t="str">
        <f>IF('Release Calendar'!K478&lt;&gt;"",'Release Calendar'!K478,"")</f>
        <v/>
      </c>
      <c r="D478" s="33" t="str">
        <f>IF('Release Calendar'!M478&lt;&gt;"",'Release Calendar'!M478,"")</f>
        <v/>
      </c>
      <c r="E478" s="34" t="str">
        <f>IF(AND(Q478&lt;&gt;"",R478&lt;&gt;"",DATE(2026,2,0)&gt;=Q478,DATE(2026,1,1)&lt;=R478),"█","")</f>
        <v/>
      </c>
      <c r="F478" s="34" t="str">
        <f>IF(AND(Q478&lt;&gt;"",R478&lt;&gt;"",DATE(2026,3,0)&gt;=Q478,DATE(2026,2,1)&lt;=R478),"█","")</f>
        <v/>
      </c>
      <c r="G478" s="34" t="str">
        <f>IF(AND(Q478&lt;&gt;"",R478&lt;&gt;"",DATE(2026,4,0)&gt;=Q478,DATE(2026,3,1)&lt;=R478),"█","")</f>
        <v/>
      </c>
      <c r="H478" s="34" t="str">
        <f>IF(AND(Q478&lt;&gt;"",R478&lt;&gt;"",DATE(2026,5,0)&gt;=Q478,DATE(2026,4,1)&lt;=R478),"█","")</f>
        <v/>
      </c>
      <c r="I478" s="34" t="str">
        <f>IF(AND(Q478&lt;&gt;"",R478&lt;&gt;"",DATE(2026,6,0)&gt;=Q478,DATE(2026,5,1)&lt;=R478),"█","")</f>
        <v/>
      </c>
      <c r="J478" s="34" t="str">
        <f>IF(AND(Q478&lt;&gt;"",R478&lt;&gt;"",DATE(2026,7,0)&gt;=Q478,DATE(2026,6,1)&lt;=R478),"█","")</f>
        <v/>
      </c>
      <c r="K478" s="34" t="str">
        <f>IF(AND(Q478&lt;&gt;"",R478&lt;&gt;"",DATE(2026,8,0)&gt;=Q478,DATE(2026,7,1)&lt;=R478),"█","")</f>
        <v/>
      </c>
      <c r="L478" s="34" t="str">
        <f>IF(AND(Q478&lt;&gt;"",R478&lt;&gt;"",DATE(2026,9,0)&gt;=Q478,DATE(2026,8,1)&lt;=R478),"█","")</f>
        <v/>
      </c>
      <c r="M478" s="34" t="str">
        <f>IF(AND(Q478&lt;&gt;"",R478&lt;&gt;"",DATE(2026,10,0)&gt;=Q478,DATE(2026,9,1)&lt;=R478),"█","")</f>
        <v/>
      </c>
      <c r="N478" s="34" t="str">
        <f>IF(AND(Q478&lt;&gt;"",R478&lt;&gt;"",DATE(2026,11,0)&gt;=Q478,DATE(2026,10,1)&lt;=R478),"█","")</f>
        <v/>
      </c>
      <c r="O478" s="34" t="str">
        <f>IF(AND(Q478&lt;&gt;"",R478&lt;&gt;"",DATE(2026,12,0)&gt;=Q478,DATE(2026,11,1)&lt;=R478),"█","")</f>
        <v/>
      </c>
      <c r="P478" s="34" t="str">
        <f>IF(AND(Q478&lt;&gt;"",R478&lt;&gt;"",DATE(2026,12,31)&gt;=Q478,DATE(2026,12,1)&lt;=R478),"█","")</f>
        <v/>
      </c>
      <c r="Q478" s="7" t="str">
        <f>IF('Release Calendar'!I478&lt;&gt;"",'Release Calendar'!I478,"")</f>
        <v/>
      </c>
      <c r="R478" s="7" t="str">
        <f>IF('Release Calendar'!J478&lt;&gt;"",'Release Calendar'!J478,"")</f>
        <v/>
      </c>
    </row>
    <row r="479" spans="1:18" ht="20.100000000000001" customHeight="1">
      <c r="A479" s="14">
        <v>475</v>
      </c>
      <c r="B479" s="28" t="str">
        <f>IF('Release Calendar'!B479&lt;&gt;"",'Release Calendar'!B479,"")</f>
        <v/>
      </c>
      <c r="C479" s="29" t="str">
        <f>IF('Release Calendar'!K479&lt;&gt;"",'Release Calendar'!K479,"")</f>
        <v/>
      </c>
      <c r="D479" s="29" t="str">
        <f>IF('Release Calendar'!M479&lt;&gt;"",'Release Calendar'!M479,"")</f>
        <v/>
      </c>
      <c r="E479" s="30" t="str">
        <f>IF(AND(Q479&lt;&gt;"",R479&lt;&gt;"",DATE(2026,2,0)&gt;=Q479,DATE(2026,1,1)&lt;=R479),"█","")</f>
        <v/>
      </c>
      <c r="F479" s="30" t="str">
        <f>IF(AND(Q479&lt;&gt;"",R479&lt;&gt;"",DATE(2026,3,0)&gt;=Q479,DATE(2026,2,1)&lt;=R479),"█","")</f>
        <v/>
      </c>
      <c r="G479" s="30" t="str">
        <f>IF(AND(Q479&lt;&gt;"",R479&lt;&gt;"",DATE(2026,4,0)&gt;=Q479,DATE(2026,3,1)&lt;=R479),"█","")</f>
        <v/>
      </c>
      <c r="H479" s="30" t="str">
        <f>IF(AND(Q479&lt;&gt;"",R479&lt;&gt;"",DATE(2026,5,0)&gt;=Q479,DATE(2026,4,1)&lt;=R479),"█","")</f>
        <v/>
      </c>
      <c r="I479" s="30" t="str">
        <f>IF(AND(Q479&lt;&gt;"",R479&lt;&gt;"",DATE(2026,6,0)&gt;=Q479,DATE(2026,5,1)&lt;=R479),"█","")</f>
        <v/>
      </c>
      <c r="J479" s="30" t="str">
        <f>IF(AND(Q479&lt;&gt;"",R479&lt;&gt;"",DATE(2026,7,0)&gt;=Q479,DATE(2026,6,1)&lt;=R479),"█","")</f>
        <v/>
      </c>
      <c r="K479" s="30" t="str">
        <f>IF(AND(Q479&lt;&gt;"",R479&lt;&gt;"",DATE(2026,8,0)&gt;=Q479,DATE(2026,7,1)&lt;=R479),"█","")</f>
        <v/>
      </c>
      <c r="L479" s="30" t="str">
        <f>IF(AND(Q479&lt;&gt;"",R479&lt;&gt;"",DATE(2026,9,0)&gt;=Q479,DATE(2026,8,1)&lt;=R479),"█","")</f>
        <v/>
      </c>
      <c r="M479" s="30" t="str">
        <f>IF(AND(Q479&lt;&gt;"",R479&lt;&gt;"",DATE(2026,10,0)&gt;=Q479,DATE(2026,9,1)&lt;=R479),"█","")</f>
        <v/>
      </c>
      <c r="N479" s="30" t="str">
        <f>IF(AND(Q479&lt;&gt;"",R479&lt;&gt;"",DATE(2026,11,0)&gt;=Q479,DATE(2026,10,1)&lt;=R479),"█","")</f>
        <v/>
      </c>
      <c r="O479" s="30" t="str">
        <f>IF(AND(Q479&lt;&gt;"",R479&lt;&gt;"",DATE(2026,12,0)&gt;=Q479,DATE(2026,11,1)&lt;=R479),"█","")</f>
        <v/>
      </c>
      <c r="P479" s="30" t="str">
        <f>IF(AND(Q479&lt;&gt;"",R479&lt;&gt;"",DATE(2026,12,31)&gt;=Q479,DATE(2026,12,1)&lt;=R479),"█","")</f>
        <v/>
      </c>
      <c r="Q479" s="7" t="str">
        <f>IF('Release Calendar'!I479&lt;&gt;"",'Release Calendar'!I479,"")</f>
        <v/>
      </c>
      <c r="R479" s="7" t="str">
        <f>IF('Release Calendar'!J479&lt;&gt;"",'Release Calendar'!J479,"")</f>
        <v/>
      </c>
    </row>
    <row r="480" spans="1:18" ht="20.100000000000001" customHeight="1">
      <c r="A480" s="31">
        <v>476</v>
      </c>
      <c r="B480" s="32" t="str">
        <f>IF('Release Calendar'!B480&lt;&gt;"",'Release Calendar'!B480,"")</f>
        <v/>
      </c>
      <c r="C480" s="33" t="str">
        <f>IF('Release Calendar'!K480&lt;&gt;"",'Release Calendar'!K480,"")</f>
        <v/>
      </c>
      <c r="D480" s="33" t="str">
        <f>IF('Release Calendar'!M480&lt;&gt;"",'Release Calendar'!M480,"")</f>
        <v/>
      </c>
      <c r="E480" s="34" t="str">
        <f>IF(AND(Q480&lt;&gt;"",R480&lt;&gt;"",DATE(2026,2,0)&gt;=Q480,DATE(2026,1,1)&lt;=R480),"█","")</f>
        <v/>
      </c>
      <c r="F480" s="34" t="str">
        <f>IF(AND(Q480&lt;&gt;"",R480&lt;&gt;"",DATE(2026,3,0)&gt;=Q480,DATE(2026,2,1)&lt;=R480),"█","")</f>
        <v/>
      </c>
      <c r="G480" s="34" t="str">
        <f>IF(AND(Q480&lt;&gt;"",R480&lt;&gt;"",DATE(2026,4,0)&gt;=Q480,DATE(2026,3,1)&lt;=R480),"█","")</f>
        <v/>
      </c>
      <c r="H480" s="34" t="str">
        <f>IF(AND(Q480&lt;&gt;"",R480&lt;&gt;"",DATE(2026,5,0)&gt;=Q480,DATE(2026,4,1)&lt;=R480),"█","")</f>
        <v/>
      </c>
      <c r="I480" s="34" t="str">
        <f>IF(AND(Q480&lt;&gt;"",R480&lt;&gt;"",DATE(2026,6,0)&gt;=Q480,DATE(2026,5,1)&lt;=R480),"█","")</f>
        <v/>
      </c>
      <c r="J480" s="34" t="str">
        <f>IF(AND(Q480&lt;&gt;"",R480&lt;&gt;"",DATE(2026,7,0)&gt;=Q480,DATE(2026,6,1)&lt;=R480),"█","")</f>
        <v/>
      </c>
      <c r="K480" s="34" t="str">
        <f>IF(AND(Q480&lt;&gt;"",R480&lt;&gt;"",DATE(2026,8,0)&gt;=Q480,DATE(2026,7,1)&lt;=R480),"█","")</f>
        <v/>
      </c>
      <c r="L480" s="34" t="str">
        <f>IF(AND(Q480&lt;&gt;"",R480&lt;&gt;"",DATE(2026,9,0)&gt;=Q480,DATE(2026,8,1)&lt;=R480),"█","")</f>
        <v/>
      </c>
      <c r="M480" s="34" t="str">
        <f>IF(AND(Q480&lt;&gt;"",R480&lt;&gt;"",DATE(2026,10,0)&gt;=Q480,DATE(2026,9,1)&lt;=R480),"█","")</f>
        <v/>
      </c>
      <c r="N480" s="34" t="str">
        <f>IF(AND(Q480&lt;&gt;"",R480&lt;&gt;"",DATE(2026,11,0)&gt;=Q480,DATE(2026,10,1)&lt;=R480),"█","")</f>
        <v/>
      </c>
      <c r="O480" s="34" t="str">
        <f>IF(AND(Q480&lt;&gt;"",R480&lt;&gt;"",DATE(2026,12,0)&gt;=Q480,DATE(2026,11,1)&lt;=R480),"█","")</f>
        <v/>
      </c>
      <c r="P480" s="34" t="str">
        <f>IF(AND(Q480&lt;&gt;"",R480&lt;&gt;"",DATE(2026,12,31)&gt;=Q480,DATE(2026,12,1)&lt;=R480),"█","")</f>
        <v/>
      </c>
      <c r="Q480" s="7" t="str">
        <f>IF('Release Calendar'!I480&lt;&gt;"",'Release Calendar'!I480,"")</f>
        <v/>
      </c>
      <c r="R480" s="7" t="str">
        <f>IF('Release Calendar'!J480&lt;&gt;"",'Release Calendar'!J480,"")</f>
        <v/>
      </c>
    </row>
    <row r="481" spans="1:18" ht="20.100000000000001" customHeight="1">
      <c r="A481" s="14">
        <v>477</v>
      </c>
      <c r="B481" s="28" t="str">
        <f>IF('Release Calendar'!B481&lt;&gt;"",'Release Calendar'!B481,"")</f>
        <v/>
      </c>
      <c r="C481" s="29" t="str">
        <f>IF('Release Calendar'!K481&lt;&gt;"",'Release Calendar'!K481,"")</f>
        <v/>
      </c>
      <c r="D481" s="29" t="str">
        <f>IF('Release Calendar'!M481&lt;&gt;"",'Release Calendar'!M481,"")</f>
        <v/>
      </c>
      <c r="E481" s="30" t="str">
        <f>IF(AND(Q481&lt;&gt;"",R481&lt;&gt;"",DATE(2026,2,0)&gt;=Q481,DATE(2026,1,1)&lt;=R481),"█","")</f>
        <v/>
      </c>
      <c r="F481" s="30" t="str">
        <f>IF(AND(Q481&lt;&gt;"",R481&lt;&gt;"",DATE(2026,3,0)&gt;=Q481,DATE(2026,2,1)&lt;=R481),"█","")</f>
        <v/>
      </c>
      <c r="G481" s="30" t="str">
        <f>IF(AND(Q481&lt;&gt;"",R481&lt;&gt;"",DATE(2026,4,0)&gt;=Q481,DATE(2026,3,1)&lt;=R481),"█","")</f>
        <v/>
      </c>
      <c r="H481" s="30" t="str">
        <f>IF(AND(Q481&lt;&gt;"",R481&lt;&gt;"",DATE(2026,5,0)&gt;=Q481,DATE(2026,4,1)&lt;=R481),"█","")</f>
        <v/>
      </c>
      <c r="I481" s="30" t="str">
        <f>IF(AND(Q481&lt;&gt;"",R481&lt;&gt;"",DATE(2026,6,0)&gt;=Q481,DATE(2026,5,1)&lt;=R481),"█","")</f>
        <v/>
      </c>
      <c r="J481" s="30" t="str">
        <f>IF(AND(Q481&lt;&gt;"",R481&lt;&gt;"",DATE(2026,7,0)&gt;=Q481,DATE(2026,6,1)&lt;=R481),"█","")</f>
        <v/>
      </c>
      <c r="K481" s="30" t="str">
        <f>IF(AND(Q481&lt;&gt;"",R481&lt;&gt;"",DATE(2026,8,0)&gt;=Q481,DATE(2026,7,1)&lt;=R481),"█","")</f>
        <v/>
      </c>
      <c r="L481" s="30" t="str">
        <f>IF(AND(Q481&lt;&gt;"",R481&lt;&gt;"",DATE(2026,9,0)&gt;=Q481,DATE(2026,8,1)&lt;=R481),"█","")</f>
        <v/>
      </c>
      <c r="M481" s="30" t="str">
        <f>IF(AND(Q481&lt;&gt;"",R481&lt;&gt;"",DATE(2026,10,0)&gt;=Q481,DATE(2026,9,1)&lt;=R481),"█","")</f>
        <v/>
      </c>
      <c r="N481" s="30" t="str">
        <f>IF(AND(Q481&lt;&gt;"",R481&lt;&gt;"",DATE(2026,11,0)&gt;=Q481,DATE(2026,10,1)&lt;=R481),"█","")</f>
        <v/>
      </c>
      <c r="O481" s="30" t="str">
        <f>IF(AND(Q481&lt;&gt;"",R481&lt;&gt;"",DATE(2026,12,0)&gt;=Q481,DATE(2026,11,1)&lt;=R481),"█","")</f>
        <v/>
      </c>
      <c r="P481" s="30" t="str">
        <f>IF(AND(Q481&lt;&gt;"",R481&lt;&gt;"",DATE(2026,12,31)&gt;=Q481,DATE(2026,12,1)&lt;=R481),"█","")</f>
        <v/>
      </c>
      <c r="Q481" s="7" t="str">
        <f>IF('Release Calendar'!I481&lt;&gt;"",'Release Calendar'!I481,"")</f>
        <v/>
      </c>
      <c r="R481" s="7" t="str">
        <f>IF('Release Calendar'!J481&lt;&gt;"",'Release Calendar'!J481,"")</f>
        <v/>
      </c>
    </row>
    <row r="482" spans="1:18" ht="20.100000000000001" customHeight="1">
      <c r="A482" s="31">
        <v>478</v>
      </c>
      <c r="B482" s="32" t="str">
        <f>IF('Release Calendar'!B482&lt;&gt;"",'Release Calendar'!B482,"")</f>
        <v/>
      </c>
      <c r="C482" s="33" t="str">
        <f>IF('Release Calendar'!K482&lt;&gt;"",'Release Calendar'!K482,"")</f>
        <v/>
      </c>
      <c r="D482" s="33" t="str">
        <f>IF('Release Calendar'!M482&lt;&gt;"",'Release Calendar'!M482,"")</f>
        <v/>
      </c>
      <c r="E482" s="34" t="str">
        <f>IF(AND(Q482&lt;&gt;"",R482&lt;&gt;"",DATE(2026,2,0)&gt;=Q482,DATE(2026,1,1)&lt;=R482),"█","")</f>
        <v/>
      </c>
      <c r="F482" s="34" t="str">
        <f>IF(AND(Q482&lt;&gt;"",R482&lt;&gt;"",DATE(2026,3,0)&gt;=Q482,DATE(2026,2,1)&lt;=R482),"█","")</f>
        <v/>
      </c>
      <c r="G482" s="34" t="str">
        <f>IF(AND(Q482&lt;&gt;"",R482&lt;&gt;"",DATE(2026,4,0)&gt;=Q482,DATE(2026,3,1)&lt;=R482),"█","")</f>
        <v/>
      </c>
      <c r="H482" s="34" t="str">
        <f>IF(AND(Q482&lt;&gt;"",R482&lt;&gt;"",DATE(2026,5,0)&gt;=Q482,DATE(2026,4,1)&lt;=R482),"█","")</f>
        <v/>
      </c>
      <c r="I482" s="34" t="str">
        <f>IF(AND(Q482&lt;&gt;"",R482&lt;&gt;"",DATE(2026,6,0)&gt;=Q482,DATE(2026,5,1)&lt;=R482),"█","")</f>
        <v/>
      </c>
      <c r="J482" s="34" t="str">
        <f>IF(AND(Q482&lt;&gt;"",R482&lt;&gt;"",DATE(2026,7,0)&gt;=Q482,DATE(2026,6,1)&lt;=R482),"█","")</f>
        <v/>
      </c>
      <c r="K482" s="34" t="str">
        <f>IF(AND(Q482&lt;&gt;"",R482&lt;&gt;"",DATE(2026,8,0)&gt;=Q482,DATE(2026,7,1)&lt;=R482),"█","")</f>
        <v/>
      </c>
      <c r="L482" s="34" t="str">
        <f>IF(AND(Q482&lt;&gt;"",R482&lt;&gt;"",DATE(2026,9,0)&gt;=Q482,DATE(2026,8,1)&lt;=R482),"█","")</f>
        <v/>
      </c>
      <c r="M482" s="34" t="str">
        <f>IF(AND(Q482&lt;&gt;"",R482&lt;&gt;"",DATE(2026,10,0)&gt;=Q482,DATE(2026,9,1)&lt;=R482),"█","")</f>
        <v/>
      </c>
      <c r="N482" s="34" t="str">
        <f>IF(AND(Q482&lt;&gt;"",R482&lt;&gt;"",DATE(2026,11,0)&gt;=Q482,DATE(2026,10,1)&lt;=R482),"█","")</f>
        <v/>
      </c>
      <c r="O482" s="34" t="str">
        <f>IF(AND(Q482&lt;&gt;"",R482&lt;&gt;"",DATE(2026,12,0)&gt;=Q482,DATE(2026,11,1)&lt;=R482),"█","")</f>
        <v/>
      </c>
      <c r="P482" s="34" t="str">
        <f>IF(AND(Q482&lt;&gt;"",R482&lt;&gt;"",DATE(2026,12,31)&gt;=Q482,DATE(2026,12,1)&lt;=R482),"█","")</f>
        <v/>
      </c>
      <c r="Q482" s="7" t="str">
        <f>IF('Release Calendar'!I482&lt;&gt;"",'Release Calendar'!I482,"")</f>
        <v/>
      </c>
      <c r="R482" s="7" t="str">
        <f>IF('Release Calendar'!J482&lt;&gt;"",'Release Calendar'!J482,"")</f>
        <v/>
      </c>
    </row>
    <row r="483" spans="1:18" ht="20.100000000000001" customHeight="1">
      <c r="A483" s="14">
        <v>479</v>
      </c>
      <c r="B483" s="28" t="str">
        <f>IF('Release Calendar'!B483&lt;&gt;"",'Release Calendar'!B483,"")</f>
        <v/>
      </c>
      <c r="C483" s="29" t="str">
        <f>IF('Release Calendar'!K483&lt;&gt;"",'Release Calendar'!K483,"")</f>
        <v/>
      </c>
      <c r="D483" s="29" t="str">
        <f>IF('Release Calendar'!M483&lt;&gt;"",'Release Calendar'!M483,"")</f>
        <v/>
      </c>
      <c r="E483" s="30" t="str">
        <f>IF(AND(Q483&lt;&gt;"",R483&lt;&gt;"",DATE(2026,2,0)&gt;=Q483,DATE(2026,1,1)&lt;=R483),"█","")</f>
        <v/>
      </c>
      <c r="F483" s="30" t="str">
        <f>IF(AND(Q483&lt;&gt;"",R483&lt;&gt;"",DATE(2026,3,0)&gt;=Q483,DATE(2026,2,1)&lt;=R483),"█","")</f>
        <v/>
      </c>
      <c r="G483" s="30" t="str">
        <f>IF(AND(Q483&lt;&gt;"",R483&lt;&gt;"",DATE(2026,4,0)&gt;=Q483,DATE(2026,3,1)&lt;=R483),"█","")</f>
        <v/>
      </c>
      <c r="H483" s="30" t="str">
        <f>IF(AND(Q483&lt;&gt;"",R483&lt;&gt;"",DATE(2026,5,0)&gt;=Q483,DATE(2026,4,1)&lt;=R483),"█","")</f>
        <v/>
      </c>
      <c r="I483" s="30" t="str">
        <f>IF(AND(Q483&lt;&gt;"",R483&lt;&gt;"",DATE(2026,6,0)&gt;=Q483,DATE(2026,5,1)&lt;=R483),"█","")</f>
        <v/>
      </c>
      <c r="J483" s="30" t="str">
        <f>IF(AND(Q483&lt;&gt;"",R483&lt;&gt;"",DATE(2026,7,0)&gt;=Q483,DATE(2026,6,1)&lt;=R483),"█","")</f>
        <v/>
      </c>
      <c r="K483" s="30" t="str">
        <f>IF(AND(Q483&lt;&gt;"",R483&lt;&gt;"",DATE(2026,8,0)&gt;=Q483,DATE(2026,7,1)&lt;=R483),"█","")</f>
        <v/>
      </c>
      <c r="L483" s="30" t="str">
        <f>IF(AND(Q483&lt;&gt;"",R483&lt;&gt;"",DATE(2026,9,0)&gt;=Q483,DATE(2026,8,1)&lt;=R483),"█","")</f>
        <v/>
      </c>
      <c r="M483" s="30" t="str">
        <f>IF(AND(Q483&lt;&gt;"",R483&lt;&gt;"",DATE(2026,10,0)&gt;=Q483,DATE(2026,9,1)&lt;=R483),"█","")</f>
        <v/>
      </c>
      <c r="N483" s="30" t="str">
        <f>IF(AND(Q483&lt;&gt;"",R483&lt;&gt;"",DATE(2026,11,0)&gt;=Q483,DATE(2026,10,1)&lt;=R483),"█","")</f>
        <v/>
      </c>
      <c r="O483" s="30" t="str">
        <f>IF(AND(Q483&lt;&gt;"",R483&lt;&gt;"",DATE(2026,12,0)&gt;=Q483,DATE(2026,11,1)&lt;=R483),"█","")</f>
        <v/>
      </c>
      <c r="P483" s="30" t="str">
        <f>IF(AND(Q483&lt;&gt;"",R483&lt;&gt;"",DATE(2026,12,31)&gt;=Q483,DATE(2026,12,1)&lt;=R483),"█","")</f>
        <v/>
      </c>
      <c r="Q483" s="7" t="str">
        <f>IF('Release Calendar'!I483&lt;&gt;"",'Release Calendar'!I483,"")</f>
        <v/>
      </c>
      <c r="R483" s="7" t="str">
        <f>IF('Release Calendar'!J483&lt;&gt;"",'Release Calendar'!J483,"")</f>
        <v/>
      </c>
    </row>
    <row r="484" spans="1:18" ht="20.100000000000001" customHeight="1">
      <c r="A484" s="31">
        <v>480</v>
      </c>
      <c r="B484" s="32" t="str">
        <f>IF('Release Calendar'!B484&lt;&gt;"",'Release Calendar'!B484,"")</f>
        <v/>
      </c>
      <c r="C484" s="33" t="str">
        <f>IF('Release Calendar'!K484&lt;&gt;"",'Release Calendar'!K484,"")</f>
        <v/>
      </c>
      <c r="D484" s="33" t="str">
        <f>IF('Release Calendar'!M484&lt;&gt;"",'Release Calendar'!M484,"")</f>
        <v/>
      </c>
      <c r="E484" s="34" t="str">
        <f>IF(AND(Q484&lt;&gt;"",R484&lt;&gt;"",DATE(2026,2,0)&gt;=Q484,DATE(2026,1,1)&lt;=R484),"█","")</f>
        <v/>
      </c>
      <c r="F484" s="34" t="str">
        <f>IF(AND(Q484&lt;&gt;"",R484&lt;&gt;"",DATE(2026,3,0)&gt;=Q484,DATE(2026,2,1)&lt;=R484),"█","")</f>
        <v/>
      </c>
      <c r="G484" s="34" t="str">
        <f>IF(AND(Q484&lt;&gt;"",R484&lt;&gt;"",DATE(2026,4,0)&gt;=Q484,DATE(2026,3,1)&lt;=R484),"█","")</f>
        <v/>
      </c>
      <c r="H484" s="34" t="str">
        <f>IF(AND(Q484&lt;&gt;"",R484&lt;&gt;"",DATE(2026,5,0)&gt;=Q484,DATE(2026,4,1)&lt;=R484),"█","")</f>
        <v/>
      </c>
      <c r="I484" s="34" t="str">
        <f>IF(AND(Q484&lt;&gt;"",R484&lt;&gt;"",DATE(2026,6,0)&gt;=Q484,DATE(2026,5,1)&lt;=R484),"█","")</f>
        <v/>
      </c>
      <c r="J484" s="34" t="str">
        <f>IF(AND(Q484&lt;&gt;"",R484&lt;&gt;"",DATE(2026,7,0)&gt;=Q484,DATE(2026,6,1)&lt;=R484),"█","")</f>
        <v/>
      </c>
      <c r="K484" s="34" t="str">
        <f>IF(AND(Q484&lt;&gt;"",R484&lt;&gt;"",DATE(2026,8,0)&gt;=Q484,DATE(2026,7,1)&lt;=R484),"█","")</f>
        <v/>
      </c>
      <c r="L484" s="34" t="str">
        <f>IF(AND(Q484&lt;&gt;"",R484&lt;&gt;"",DATE(2026,9,0)&gt;=Q484,DATE(2026,8,1)&lt;=R484),"█","")</f>
        <v/>
      </c>
      <c r="M484" s="34" t="str">
        <f>IF(AND(Q484&lt;&gt;"",R484&lt;&gt;"",DATE(2026,10,0)&gt;=Q484,DATE(2026,9,1)&lt;=R484),"█","")</f>
        <v/>
      </c>
      <c r="N484" s="34" t="str">
        <f>IF(AND(Q484&lt;&gt;"",R484&lt;&gt;"",DATE(2026,11,0)&gt;=Q484,DATE(2026,10,1)&lt;=R484),"█","")</f>
        <v/>
      </c>
      <c r="O484" s="34" t="str">
        <f>IF(AND(Q484&lt;&gt;"",R484&lt;&gt;"",DATE(2026,12,0)&gt;=Q484,DATE(2026,11,1)&lt;=R484),"█","")</f>
        <v/>
      </c>
      <c r="P484" s="34" t="str">
        <f>IF(AND(Q484&lt;&gt;"",R484&lt;&gt;"",DATE(2026,12,31)&gt;=Q484,DATE(2026,12,1)&lt;=R484),"█","")</f>
        <v/>
      </c>
      <c r="Q484" s="7" t="str">
        <f>IF('Release Calendar'!I484&lt;&gt;"",'Release Calendar'!I484,"")</f>
        <v/>
      </c>
      <c r="R484" s="7" t="str">
        <f>IF('Release Calendar'!J484&lt;&gt;"",'Release Calendar'!J484,"")</f>
        <v/>
      </c>
    </row>
    <row r="485" spans="1:18" ht="20.100000000000001" customHeight="1">
      <c r="A485" s="14">
        <v>481</v>
      </c>
      <c r="B485" s="28" t="str">
        <f>IF('Release Calendar'!B485&lt;&gt;"",'Release Calendar'!B485,"")</f>
        <v/>
      </c>
      <c r="C485" s="29" t="str">
        <f>IF('Release Calendar'!K485&lt;&gt;"",'Release Calendar'!K485,"")</f>
        <v/>
      </c>
      <c r="D485" s="29" t="str">
        <f>IF('Release Calendar'!M485&lt;&gt;"",'Release Calendar'!M485,"")</f>
        <v/>
      </c>
      <c r="E485" s="30" t="str">
        <f>IF(AND(Q485&lt;&gt;"",R485&lt;&gt;"",DATE(2026,2,0)&gt;=Q485,DATE(2026,1,1)&lt;=R485),"█","")</f>
        <v/>
      </c>
      <c r="F485" s="30" t="str">
        <f>IF(AND(Q485&lt;&gt;"",R485&lt;&gt;"",DATE(2026,3,0)&gt;=Q485,DATE(2026,2,1)&lt;=R485),"█","")</f>
        <v/>
      </c>
      <c r="G485" s="30" t="str">
        <f>IF(AND(Q485&lt;&gt;"",R485&lt;&gt;"",DATE(2026,4,0)&gt;=Q485,DATE(2026,3,1)&lt;=R485),"█","")</f>
        <v/>
      </c>
      <c r="H485" s="30" t="str">
        <f>IF(AND(Q485&lt;&gt;"",R485&lt;&gt;"",DATE(2026,5,0)&gt;=Q485,DATE(2026,4,1)&lt;=R485),"█","")</f>
        <v/>
      </c>
      <c r="I485" s="30" t="str">
        <f>IF(AND(Q485&lt;&gt;"",R485&lt;&gt;"",DATE(2026,6,0)&gt;=Q485,DATE(2026,5,1)&lt;=R485),"█","")</f>
        <v/>
      </c>
      <c r="J485" s="30" t="str">
        <f>IF(AND(Q485&lt;&gt;"",R485&lt;&gt;"",DATE(2026,7,0)&gt;=Q485,DATE(2026,6,1)&lt;=R485),"█","")</f>
        <v/>
      </c>
      <c r="K485" s="30" t="str">
        <f>IF(AND(Q485&lt;&gt;"",R485&lt;&gt;"",DATE(2026,8,0)&gt;=Q485,DATE(2026,7,1)&lt;=R485),"█","")</f>
        <v/>
      </c>
      <c r="L485" s="30" t="str">
        <f>IF(AND(Q485&lt;&gt;"",R485&lt;&gt;"",DATE(2026,9,0)&gt;=Q485,DATE(2026,8,1)&lt;=R485),"█","")</f>
        <v/>
      </c>
      <c r="M485" s="30" t="str">
        <f>IF(AND(Q485&lt;&gt;"",R485&lt;&gt;"",DATE(2026,10,0)&gt;=Q485,DATE(2026,9,1)&lt;=R485),"█","")</f>
        <v/>
      </c>
      <c r="N485" s="30" t="str">
        <f>IF(AND(Q485&lt;&gt;"",R485&lt;&gt;"",DATE(2026,11,0)&gt;=Q485,DATE(2026,10,1)&lt;=R485),"█","")</f>
        <v/>
      </c>
      <c r="O485" s="30" t="str">
        <f>IF(AND(Q485&lt;&gt;"",R485&lt;&gt;"",DATE(2026,12,0)&gt;=Q485,DATE(2026,11,1)&lt;=R485),"█","")</f>
        <v/>
      </c>
      <c r="P485" s="30" t="str">
        <f>IF(AND(Q485&lt;&gt;"",R485&lt;&gt;"",DATE(2026,12,31)&gt;=Q485,DATE(2026,12,1)&lt;=R485),"█","")</f>
        <v/>
      </c>
      <c r="Q485" s="7" t="str">
        <f>IF('Release Calendar'!I485&lt;&gt;"",'Release Calendar'!I485,"")</f>
        <v/>
      </c>
      <c r="R485" s="7" t="str">
        <f>IF('Release Calendar'!J485&lt;&gt;"",'Release Calendar'!J485,"")</f>
        <v/>
      </c>
    </row>
    <row r="486" spans="1:18" ht="20.100000000000001" customHeight="1">
      <c r="A486" s="31">
        <v>482</v>
      </c>
      <c r="B486" s="32" t="str">
        <f>IF('Release Calendar'!B486&lt;&gt;"",'Release Calendar'!B486,"")</f>
        <v/>
      </c>
      <c r="C486" s="33" t="str">
        <f>IF('Release Calendar'!K486&lt;&gt;"",'Release Calendar'!K486,"")</f>
        <v/>
      </c>
      <c r="D486" s="33" t="str">
        <f>IF('Release Calendar'!M486&lt;&gt;"",'Release Calendar'!M486,"")</f>
        <v/>
      </c>
      <c r="E486" s="34" t="str">
        <f>IF(AND(Q486&lt;&gt;"",R486&lt;&gt;"",DATE(2026,2,0)&gt;=Q486,DATE(2026,1,1)&lt;=R486),"█","")</f>
        <v/>
      </c>
      <c r="F486" s="34" t="str">
        <f>IF(AND(Q486&lt;&gt;"",R486&lt;&gt;"",DATE(2026,3,0)&gt;=Q486,DATE(2026,2,1)&lt;=R486),"█","")</f>
        <v/>
      </c>
      <c r="G486" s="34" t="str">
        <f>IF(AND(Q486&lt;&gt;"",R486&lt;&gt;"",DATE(2026,4,0)&gt;=Q486,DATE(2026,3,1)&lt;=R486),"█","")</f>
        <v/>
      </c>
      <c r="H486" s="34" t="str">
        <f>IF(AND(Q486&lt;&gt;"",R486&lt;&gt;"",DATE(2026,5,0)&gt;=Q486,DATE(2026,4,1)&lt;=R486),"█","")</f>
        <v/>
      </c>
      <c r="I486" s="34" t="str">
        <f>IF(AND(Q486&lt;&gt;"",R486&lt;&gt;"",DATE(2026,6,0)&gt;=Q486,DATE(2026,5,1)&lt;=R486),"█","")</f>
        <v/>
      </c>
      <c r="J486" s="34" t="str">
        <f>IF(AND(Q486&lt;&gt;"",R486&lt;&gt;"",DATE(2026,7,0)&gt;=Q486,DATE(2026,6,1)&lt;=R486),"█","")</f>
        <v/>
      </c>
      <c r="K486" s="34" t="str">
        <f>IF(AND(Q486&lt;&gt;"",R486&lt;&gt;"",DATE(2026,8,0)&gt;=Q486,DATE(2026,7,1)&lt;=R486),"█","")</f>
        <v/>
      </c>
      <c r="L486" s="34" t="str">
        <f>IF(AND(Q486&lt;&gt;"",R486&lt;&gt;"",DATE(2026,9,0)&gt;=Q486,DATE(2026,8,1)&lt;=R486),"█","")</f>
        <v/>
      </c>
      <c r="M486" s="34" t="str">
        <f>IF(AND(Q486&lt;&gt;"",R486&lt;&gt;"",DATE(2026,10,0)&gt;=Q486,DATE(2026,9,1)&lt;=R486),"█","")</f>
        <v/>
      </c>
      <c r="N486" s="34" t="str">
        <f>IF(AND(Q486&lt;&gt;"",R486&lt;&gt;"",DATE(2026,11,0)&gt;=Q486,DATE(2026,10,1)&lt;=R486),"█","")</f>
        <v/>
      </c>
      <c r="O486" s="34" t="str">
        <f>IF(AND(Q486&lt;&gt;"",R486&lt;&gt;"",DATE(2026,12,0)&gt;=Q486,DATE(2026,11,1)&lt;=R486),"█","")</f>
        <v/>
      </c>
      <c r="P486" s="34" t="str">
        <f>IF(AND(Q486&lt;&gt;"",R486&lt;&gt;"",DATE(2026,12,31)&gt;=Q486,DATE(2026,12,1)&lt;=R486),"█","")</f>
        <v/>
      </c>
      <c r="Q486" s="7" t="str">
        <f>IF('Release Calendar'!I486&lt;&gt;"",'Release Calendar'!I486,"")</f>
        <v/>
      </c>
      <c r="R486" s="7" t="str">
        <f>IF('Release Calendar'!J486&lt;&gt;"",'Release Calendar'!J486,"")</f>
        <v/>
      </c>
    </row>
    <row r="487" spans="1:18" ht="20.100000000000001" customHeight="1">
      <c r="A487" s="14">
        <v>483</v>
      </c>
      <c r="B487" s="28" t="str">
        <f>IF('Release Calendar'!B487&lt;&gt;"",'Release Calendar'!B487,"")</f>
        <v/>
      </c>
      <c r="C487" s="29" t="str">
        <f>IF('Release Calendar'!K487&lt;&gt;"",'Release Calendar'!K487,"")</f>
        <v/>
      </c>
      <c r="D487" s="29" t="str">
        <f>IF('Release Calendar'!M487&lt;&gt;"",'Release Calendar'!M487,"")</f>
        <v/>
      </c>
      <c r="E487" s="30" t="str">
        <f>IF(AND(Q487&lt;&gt;"",R487&lt;&gt;"",DATE(2026,2,0)&gt;=Q487,DATE(2026,1,1)&lt;=R487),"█","")</f>
        <v/>
      </c>
      <c r="F487" s="30" t="str">
        <f>IF(AND(Q487&lt;&gt;"",R487&lt;&gt;"",DATE(2026,3,0)&gt;=Q487,DATE(2026,2,1)&lt;=R487),"█","")</f>
        <v/>
      </c>
      <c r="G487" s="30" t="str">
        <f>IF(AND(Q487&lt;&gt;"",R487&lt;&gt;"",DATE(2026,4,0)&gt;=Q487,DATE(2026,3,1)&lt;=R487),"█","")</f>
        <v/>
      </c>
      <c r="H487" s="30" t="str">
        <f>IF(AND(Q487&lt;&gt;"",R487&lt;&gt;"",DATE(2026,5,0)&gt;=Q487,DATE(2026,4,1)&lt;=R487),"█","")</f>
        <v/>
      </c>
      <c r="I487" s="30" t="str">
        <f>IF(AND(Q487&lt;&gt;"",R487&lt;&gt;"",DATE(2026,6,0)&gt;=Q487,DATE(2026,5,1)&lt;=R487),"█","")</f>
        <v/>
      </c>
      <c r="J487" s="30" t="str">
        <f>IF(AND(Q487&lt;&gt;"",R487&lt;&gt;"",DATE(2026,7,0)&gt;=Q487,DATE(2026,6,1)&lt;=R487),"█","")</f>
        <v/>
      </c>
      <c r="K487" s="30" t="str">
        <f>IF(AND(Q487&lt;&gt;"",R487&lt;&gt;"",DATE(2026,8,0)&gt;=Q487,DATE(2026,7,1)&lt;=R487),"█","")</f>
        <v/>
      </c>
      <c r="L487" s="30" t="str">
        <f>IF(AND(Q487&lt;&gt;"",R487&lt;&gt;"",DATE(2026,9,0)&gt;=Q487,DATE(2026,8,1)&lt;=R487),"█","")</f>
        <v/>
      </c>
      <c r="M487" s="30" t="str">
        <f>IF(AND(Q487&lt;&gt;"",R487&lt;&gt;"",DATE(2026,10,0)&gt;=Q487,DATE(2026,9,1)&lt;=R487),"█","")</f>
        <v/>
      </c>
      <c r="N487" s="30" t="str">
        <f>IF(AND(Q487&lt;&gt;"",R487&lt;&gt;"",DATE(2026,11,0)&gt;=Q487,DATE(2026,10,1)&lt;=R487),"█","")</f>
        <v/>
      </c>
      <c r="O487" s="30" t="str">
        <f>IF(AND(Q487&lt;&gt;"",R487&lt;&gt;"",DATE(2026,12,0)&gt;=Q487,DATE(2026,11,1)&lt;=R487),"█","")</f>
        <v/>
      </c>
      <c r="P487" s="30" t="str">
        <f>IF(AND(Q487&lt;&gt;"",R487&lt;&gt;"",DATE(2026,12,31)&gt;=Q487,DATE(2026,12,1)&lt;=R487),"█","")</f>
        <v/>
      </c>
      <c r="Q487" s="7" t="str">
        <f>IF('Release Calendar'!I487&lt;&gt;"",'Release Calendar'!I487,"")</f>
        <v/>
      </c>
      <c r="R487" s="7" t="str">
        <f>IF('Release Calendar'!J487&lt;&gt;"",'Release Calendar'!J487,"")</f>
        <v/>
      </c>
    </row>
    <row r="488" spans="1:18" ht="20.100000000000001" customHeight="1">
      <c r="A488" s="31">
        <v>484</v>
      </c>
      <c r="B488" s="32" t="str">
        <f>IF('Release Calendar'!B488&lt;&gt;"",'Release Calendar'!B488,"")</f>
        <v/>
      </c>
      <c r="C488" s="33" t="str">
        <f>IF('Release Calendar'!K488&lt;&gt;"",'Release Calendar'!K488,"")</f>
        <v/>
      </c>
      <c r="D488" s="33" t="str">
        <f>IF('Release Calendar'!M488&lt;&gt;"",'Release Calendar'!M488,"")</f>
        <v/>
      </c>
      <c r="E488" s="34" t="str">
        <f>IF(AND(Q488&lt;&gt;"",R488&lt;&gt;"",DATE(2026,2,0)&gt;=Q488,DATE(2026,1,1)&lt;=R488),"█","")</f>
        <v/>
      </c>
      <c r="F488" s="34" t="str">
        <f>IF(AND(Q488&lt;&gt;"",R488&lt;&gt;"",DATE(2026,3,0)&gt;=Q488,DATE(2026,2,1)&lt;=R488),"█","")</f>
        <v/>
      </c>
      <c r="G488" s="34" t="str">
        <f>IF(AND(Q488&lt;&gt;"",R488&lt;&gt;"",DATE(2026,4,0)&gt;=Q488,DATE(2026,3,1)&lt;=R488),"█","")</f>
        <v/>
      </c>
      <c r="H488" s="34" t="str">
        <f>IF(AND(Q488&lt;&gt;"",R488&lt;&gt;"",DATE(2026,5,0)&gt;=Q488,DATE(2026,4,1)&lt;=R488),"█","")</f>
        <v/>
      </c>
      <c r="I488" s="34" t="str">
        <f>IF(AND(Q488&lt;&gt;"",R488&lt;&gt;"",DATE(2026,6,0)&gt;=Q488,DATE(2026,5,1)&lt;=R488),"█","")</f>
        <v/>
      </c>
      <c r="J488" s="34" t="str">
        <f>IF(AND(Q488&lt;&gt;"",R488&lt;&gt;"",DATE(2026,7,0)&gt;=Q488,DATE(2026,6,1)&lt;=R488),"█","")</f>
        <v/>
      </c>
      <c r="K488" s="34" t="str">
        <f>IF(AND(Q488&lt;&gt;"",R488&lt;&gt;"",DATE(2026,8,0)&gt;=Q488,DATE(2026,7,1)&lt;=R488),"█","")</f>
        <v/>
      </c>
      <c r="L488" s="34" t="str">
        <f>IF(AND(Q488&lt;&gt;"",R488&lt;&gt;"",DATE(2026,9,0)&gt;=Q488,DATE(2026,8,1)&lt;=R488),"█","")</f>
        <v/>
      </c>
      <c r="M488" s="34" t="str">
        <f>IF(AND(Q488&lt;&gt;"",R488&lt;&gt;"",DATE(2026,10,0)&gt;=Q488,DATE(2026,9,1)&lt;=R488),"█","")</f>
        <v/>
      </c>
      <c r="N488" s="34" t="str">
        <f>IF(AND(Q488&lt;&gt;"",R488&lt;&gt;"",DATE(2026,11,0)&gt;=Q488,DATE(2026,10,1)&lt;=R488),"█","")</f>
        <v/>
      </c>
      <c r="O488" s="34" t="str">
        <f>IF(AND(Q488&lt;&gt;"",R488&lt;&gt;"",DATE(2026,12,0)&gt;=Q488,DATE(2026,11,1)&lt;=R488),"█","")</f>
        <v/>
      </c>
      <c r="P488" s="34" t="str">
        <f>IF(AND(Q488&lt;&gt;"",R488&lt;&gt;"",DATE(2026,12,31)&gt;=Q488,DATE(2026,12,1)&lt;=R488),"█","")</f>
        <v/>
      </c>
      <c r="Q488" s="7" t="str">
        <f>IF('Release Calendar'!I488&lt;&gt;"",'Release Calendar'!I488,"")</f>
        <v/>
      </c>
      <c r="R488" s="7" t="str">
        <f>IF('Release Calendar'!J488&lt;&gt;"",'Release Calendar'!J488,"")</f>
        <v/>
      </c>
    </row>
    <row r="489" spans="1:18" ht="20.100000000000001" customHeight="1">
      <c r="A489" s="14">
        <v>485</v>
      </c>
      <c r="B489" s="28" t="str">
        <f>IF('Release Calendar'!B489&lt;&gt;"",'Release Calendar'!B489,"")</f>
        <v/>
      </c>
      <c r="C489" s="29" t="str">
        <f>IF('Release Calendar'!K489&lt;&gt;"",'Release Calendar'!K489,"")</f>
        <v/>
      </c>
      <c r="D489" s="29" t="str">
        <f>IF('Release Calendar'!M489&lt;&gt;"",'Release Calendar'!M489,"")</f>
        <v/>
      </c>
      <c r="E489" s="30" t="str">
        <f>IF(AND(Q489&lt;&gt;"",R489&lt;&gt;"",DATE(2026,2,0)&gt;=Q489,DATE(2026,1,1)&lt;=R489),"█","")</f>
        <v/>
      </c>
      <c r="F489" s="30" t="str">
        <f>IF(AND(Q489&lt;&gt;"",R489&lt;&gt;"",DATE(2026,3,0)&gt;=Q489,DATE(2026,2,1)&lt;=R489),"█","")</f>
        <v/>
      </c>
      <c r="G489" s="30" t="str">
        <f>IF(AND(Q489&lt;&gt;"",R489&lt;&gt;"",DATE(2026,4,0)&gt;=Q489,DATE(2026,3,1)&lt;=R489),"█","")</f>
        <v/>
      </c>
      <c r="H489" s="30" t="str">
        <f>IF(AND(Q489&lt;&gt;"",R489&lt;&gt;"",DATE(2026,5,0)&gt;=Q489,DATE(2026,4,1)&lt;=R489),"█","")</f>
        <v/>
      </c>
      <c r="I489" s="30" t="str">
        <f>IF(AND(Q489&lt;&gt;"",R489&lt;&gt;"",DATE(2026,6,0)&gt;=Q489,DATE(2026,5,1)&lt;=R489),"█","")</f>
        <v/>
      </c>
      <c r="J489" s="30" t="str">
        <f>IF(AND(Q489&lt;&gt;"",R489&lt;&gt;"",DATE(2026,7,0)&gt;=Q489,DATE(2026,6,1)&lt;=R489),"█","")</f>
        <v/>
      </c>
      <c r="K489" s="30" t="str">
        <f>IF(AND(Q489&lt;&gt;"",R489&lt;&gt;"",DATE(2026,8,0)&gt;=Q489,DATE(2026,7,1)&lt;=R489),"█","")</f>
        <v/>
      </c>
      <c r="L489" s="30" t="str">
        <f>IF(AND(Q489&lt;&gt;"",R489&lt;&gt;"",DATE(2026,9,0)&gt;=Q489,DATE(2026,8,1)&lt;=R489),"█","")</f>
        <v/>
      </c>
      <c r="M489" s="30" t="str">
        <f>IF(AND(Q489&lt;&gt;"",R489&lt;&gt;"",DATE(2026,10,0)&gt;=Q489,DATE(2026,9,1)&lt;=R489),"█","")</f>
        <v/>
      </c>
      <c r="N489" s="30" t="str">
        <f>IF(AND(Q489&lt;&gt;"",R489&lt;&gt;"",DATE(2026,11,0)&gt;=Q489,DATE(2026,10,1)&lt;=R489),"█","")</f>
        <v/>
      </c>
      <c r="O489" s="30" t="str">
        <f>IF(AND(Q489&lt;&gt;"",R489&lt;&gt;"",DATE(2026,12,0)&gt;=Q489,DATE(2026,11,1)&lt;=R489),"█","")</f>
        <v/>
      </c>
      <c r="P489" s="30" t="str">
        <f>IF(AND(Q489&lt;&gt;"",R489&lt;&gt;"",DATE(2026,12,31)&gt;=Q489,DATE(2026,12,1)&lt;=R489),"█","")</f>
        <v/>
      </c>
      <c r="Q489" s="7" t="str">
        <f>IF('Release Calendar'!I489&lt;&gt;"",'Release Calendar'!I489,"")</f>
        <v/>
      </c>
      <c r="R489" s="7" t="str">
        <f>IF('Release Calendar'!J489&lt;&gt;"",'Release Calendar'!J489,"")</f>
        <v/>
      </c>
    </row>
    <row r="490" spans="1:18" ht="20.100000000000001" customHeight="1">
      <c r="A490" s="31">
        <v>486</v>
      </c>
      <c r="B490" s="32" t="str">
        <f>IF('Release Calendar'!B490&lt;&gt;"",'Release Calendar'!B490,"")</f>
        <v/>
      </c>
      <c r="C490" s="33" t="str">
        <f>IF('Release Calendar'!K490&lt;&gt;"",'Release Calendar'!K490,"")</f>
        <v/>
      </c>
      <c r="D490" s="33" t="str">
        <f>IF('Release Calendar'!M490&lt;&gt;"",'Release Calendar'!M490,"")</f>
        <v/>
      </c>
      <c r="E490" s="34" t="str">
        <f>IF(AND(Q490&lt;&gt;"",R490&lt;&gt;"",DATE(2026,2,0)&gt;=Q490,DATE(2026,1,1)&lt;=R490),"█","")</f>
        <v/>
      </c>
      <c r="F490" s="34" t="str">
        <f>IF(AND(Q490&lt;&gt;"",R490&lt;&gt;"",DATE(2026,3,0)&gt;=Q490,DATE(2026,2,1)&lt;=R490),"█","")</f>
        <v/>
      </c>
      <c r="G490" s="34" t="str">
        <f>IF(AND(Q490&lt;&gt;"",R490&lt;&gt;"",DATE(2026,4,0)&gt;=Q490,DATE(2026,3,1)&lt;=R490),"█","")</f>
        <v/>
      </c>
      <c r="H490" s="34" t="str">
        <f>IF(AND(Q490&lt;&gt;"",R490&lt;&gt;"",DATE(2026,5,0)&gt;=Q490,DATE(2026,4,1)&lt;=R490),"█","")</f>
        <v/>
      </c>
      <c r="I490" s="34" t="str">
        <f>IF(AND(Q490&lt;&gt;"",R490&lt;&gt;"",DATE(2026,6,0)&gt;=Q490,DATE(2026,5,1)&lt;=R490),"█","")</f>
        <v/>
      </c>
      <c r="J490" s="34" t="str">
        <f>IF(AND(Q490&lt;&gt;"",R490&lt;&gt;"",DATE(2026,7,0)&gt;=Q490,DATE(2026,6,1)&lt;=R490),"█","")</f>
        <v/>
      </c>
      <c r="K490" s="34" t="str">
        <f>IF(AND(Q490&lt;&gt;"",R490&lt;&gt;"",DATE(2026,8,0)&gt;=Q490,DATE(2026,7,1)&lt;=R490),"█","")</f>
        <v/>
      </c>
      <c r="L490" s="34" t="str">
        <f>IF(AND(Q490&lt;&gt;"",R490&lt;&gt;"",DATE(2026,9,0)&gt;=Q490,DATE(2026,8,1)&lt;=R490),"█","")</f>
        <v/>
      </c>
      <c r="M490" s="34" t="str">
        <f>IF(AND(Q490&lt;&gt;"",R490&lt;&gt;"",DATE(2026,10,0)&gt;=Q490,DATE(2026,9,1)&lt;=R490),"█","")</f>
        <v/>
      </c>
      <c r="N490" s="34" t="str">
        <f>IF(AND(Q490&lt;&gt;"",R490&lt;&gt;"",DATE(2026,11,0)&gt;=Q490,DATE(2026,10,1)&lt;=R490),"█","")</f>
        <v/>
      </c>
      <c r="O490" s="34" t="str">
        <f>IF(AND(Q490&lt;&gt;"",R490&lt;&gt;"",DATE(2026,12,0)&gt;=Q490,DATE(2026,11,1)&lt;=R490),"█","")</f>
        <v/>
      </c>
      <c r="P490" s="34" t="str">
        <f>IF(AND(Q490&lt;&gt;"",R490&lt;&gt;"",DATE(2026,12,31)&gt;=Q490,DATE(2026,12,1)&lt;=R490),"█","")</f>
        <v/>
      </c>
      <c r="Q490" s="7" t="str">
        <f>IF('Release Calendar'!I490&lt;&gt;"",'Release Calendar'!I490,"")</f>
        <v/>
      </c>
      <c r="R490" s="7" t="str">
        <f>IF('Release Calendar'!J490&lt;&gt;"",'Release Calendar'!J490,"")</f>
        <v/>
      </c>
    </row>
    <row r="491" spans="1:18" ht="20.100000000000001" customHeight="1">
      <c r="A491" s="14">
        <v>487</v>
      </c>
      <c r="B491" s="28" t="str">
        <f>IF('Release Calendar'!B491&lt;&gt;"",'Release Calendar'!B491,"")</f>
        <v/>
      </c>
      <c r="C491" s="29" t="str">
        <f>IF('Release Calendar'!K491&lt;&gt;"",'Release Calendar'!K491,"")</f>
        <v/>
      </c>
      <c r="D491" s="29" t="str">
        <f>IF('Release Calendar'!M491&lt;&gt;"",'Release Calendar'!M491,"")</f>
        <v/>
      </c>
      <c r="E491" s="30" t="str">
        <f>IF(AND(Q491&lt;&gt;"",R491&lt;&gt;"",DATE(2026,2,0)&gt;=Q491,DATE(2026,1,1)&lt;=R491),"█","")</f>
        <v/>
      </c>
      <c r="F491" s="30" t="str">
        <f>IF(AND(Q491&lt;&gt;"",R491&lt;&gt;"",DATE(2026,3,0)&gt;=Q491,DATE(2026,2,1)&lt;=R491),"█","")</f>
        <v/>
      </c>
      <c r="G491" s="30" t="str">
        <f>IF(AND(Q491&lt;&gt;"",R491&lt;&gt;"",DATE(2026,4,0)&gt;=Q491,DATE(2026,3,1)&lt;=R491),"█","")</f>
        <v/>
      </c>
      <c r="H491" s="30" t="str">
        <f>IF(AND(Q491&lt;&gt;"",R491&lt;&gt;"",DATE(2026,5,0)&gt;=Q491,DATE(2026,4,1)&lt;=R491),"█","")</f>
        <v/>
      </c>
      <c r="I491" s="30" t="str">
        <f>IF(AND(Q491&lt;&gt;"",R491&lt;&gt;"",DATE(2026,6,0)&gt;=Q491,DATE(2026,5,1)&lt;=R491),"█","")</f>
        <v/>
      </c>
      <c r="J491" s="30" t="str">
        <f>IF(AND(Q491&lt;&gt;"",R491&lt;&gt;"",DATE(2026,7,0)&gt;=Q491,DATE(2026,6,1)&lt;=R491),"█","")</f>
        <v/>
      </c>
      <c r="K491" s="30" t="str">
        <f>IF(AND(Q491&lt;&gt;"",R491&lt;&gt;"",DATE(2026,8,0)&gt;=Q491,DATE(2026,7,1)&lt;=R491),"█","")</f>
        <v/>
      </c>
      <c r="L491" s="30" t="str">
        <f>IF(AND(Q491&lt;&gt;"",R491&lt;&gt;"",DATE(2026,9,0)&gt;=Q491,DATE(2026,8,1)&lt;=R491),"█","")</f>
        <v/>
      </c>
      <c r="M491" s="30" t="str">
        <f>IF(AND(Q491&lt;&gt;"",R491&lt;&gt;"",DATE(2026,10,0)&gt;=Q491,DATE(2026,9,1)&lt;=R491),"█","")</f>
        <v/>
      </c>
      <c r="N491" s="30" t="str">
        <f>IF(AND(Q491&lt;&gt;"",R491&lt;&gt;"",DATE(2026,11,0)&gt;=Q491,DATE(2026,10,1)&lt;=R491),"█","")</f>
        <v/>
      </c>
      <c r="O491" s="30" t="str">
        <f>IF(AND(Q491&lt;&gt;"",R491&lt;&gt;"",DATE(2026,12,0)&gt;=Q491,DATE(2026,11,1)&lt;=R491),"█","")</f>
        <v/>
      </c>
      <c r="P491" s="30" t="str">
        <f>IF(AND(Q491&lt;&gt;"",R491&lt;&gt;"",DATE(2026,12,31)&gt;=Q491,DATE(2026,12,1)&lt;=R491),"█","")</f>
        <v/>
      </c>
      <c r="Q491" s="7" t="str">
        <f>IF('Release Calendar'!I491&lt;&gt;"",'Release Calendar'!I491,"")</f>
        <v/>
      </c>
      <c r="R491" s="7" t="str">
        <f>IF('Release Calendar'!J491&lt;&gt;"",'Release Calendar'!J491,"")</f>
        <v/>
      </c>
    </row>
    <row r="492" spans="1:18" ht="20.100000000000001" customHeight="1">
      <c r="A492" s="31">
        <v>488</v>
      </c>
      <c r="B492" s="32" t="str">
        <f>IF('Release Calendar'!B492&lt;&gt;"",'Release Calendar'!B492,"")</f>
        <v/>
      </c>
      <c r="C492" s="33" t="str">
        <f>IF('Release Calendar'!K492&lt;&gt;"",'Release Calendar'!K492,"")</f>
        <v/>
      </c>
      <c r="D492" s="33" t="str">
        <f>IF('Release Calendar'!M492&lt;&gt;"",'Release Calendar'!M492,"")</f>
        <v/>
      </c>
      <c r="E492" s="34" t="str">
        <f>IF(AND(Q492&lt;&gt;"",R492&lt;&gt;"",DATE(2026,2,0)&gt;=Q492,DATE(2026,1,1)&lt;=R492),"█","")</f>
        <v/>
      </c>
      <c r="F492" s="34" t="str">
        <f>IF(AND(Q492&lt;&gt;"",R492&lt;&gt;"",DATE(2026,3,0)&gt;=Q492,DATE(2026,2,1)&lt;=R492),"█","")</f>
        <v/>
      </c>
      <c r="G492" s="34" t="str">
        <f>IF(AND(Q492&lt;&gt;"",R492&lt;&gt;"",DATE(2026,4,0)&gt;=Q492,DATE(2026,3,1)&lt;=R492),"█","")</f>
        <v/>
      </c>
      <c r="H492" s="34" t="str">
        <f>IF(AND(Q492&lt;&gt;"",R492&lt;&gt;"",DATE(2026,5,0)&gt;=Q492,DATE(2026,4,1)&lt;=R492),"█","")</f>
        <v/>
      </c>
      <c r="I492" s="34" t="str">
        <f>IF(AND(Q492&lt;&gt;"",R492&lt;&gt;"",DATE(2026,6,0)&gt;=Q492,DATE(2026,5,1)&lt;=R492),"█","")</f>
        <v/>
      </c>
      <c r="J492" s="34" t="str">
        <f>IF(AND(Q492&lt;&gt;"",R492&lt;&gt;"",DATE(2026,7,0)&gt;=Q492,DATE(2026,6,1)&lt;=R492),"█","")</f>
        <v/>
      </c>
      <c r="K492" s="34" t="str">
        <f>IF(AND(Q492&lt;&gt;"",R492&lt;&gt;"",DATE(2026,8,0)&gt;=Q492,DATE(2026,7,1)&lt;=R492),"█","")</f>
        <v/>
      </c>
      <c r="L492" s="34" t="str">
        <f>IF(AND(Q492&lt;&gt;"",R492&lt;&gt;"",DATE(2026,9,0)&gt;=Q492,DATE(2026,8,1)&lt;=R492),"█","")</f>
        <v/>
      </c>
      <c r="M492" s="34" t="str">
        <f>IF(AND(Q492&lt;&gt;"",R492&lt;&gt;"",DATE(2026,10,0)&gt;=Q492,DATE(2026,9,1)&lt;=R492),"█","")</f>
        <v/>
      </c>
      <c r="N492" s="34" t="str">
        <f>IF(AND(Q492&lt;&gt;"",R492&lt;&gt;"",DATE(2026,11,0)&gt;=Q492,DATE(2026,10,1)&lt;=R492),"█","")</f>
        <v/>
      </c>
      <c r="O492" s="34" t="str">
        <f>IF(AND(Q492&lt;&gt;"",R492&lt;&gt;"",DATE(2026,12,0)&gt;=Q492,DATE(2026,11,1)&lt;=R492),"█","")</f>
        <v/>
      </c>
      <c r="P492" s="34" t="str">
        <f>IF(AND(Q492&lt;&gt;"",R492&lt;&gt;"",DATE(2026,12,31)&gt;=Q492,DATE(2026,12,1)&lt;=R492),"█","")</f>
        <v/>
      </c>
      <c r="Q492" s="7" t="str">
        <f>IF('Release Calendar'!I492&lt;&gt;"",'Release Calendar'!I492,"")</f>
        <v/>
      </c>
      <c r="R492" s="7" t="str">
        <f>IF('Release Calendar'!J492&lt;&gt;"",'Release Calendar'!J492,"")</f>
        <v/>
      </c>
    </row>
    <row r="493" spans="1:18" ht="20.100000000000001" customHeight="1">
      <c r="A493" s="14">
        <v>489</v>
      </c>
      <c r="B493" s="28" t="str">
        <f>IF('Release Calendar'!B493&lt;&gt;"",'Release Calendar'!B493,"")</f>
        <v/>
      </c>
      <c r="C493" s="29" t="str">
        <f>IF('Release Calendar'!K493&lt;&gt;"",'Release Calendar'!K493,"")</f>
        <v/>
      </c>
      <c r="D493" s="29" t="str">
        <f>IF('Release Calendar'!M493&lt;&gt;"",'Release Calendar'!M493,"")</f>
        <v/>
      </c>
      <c r="E493" s="30" t="str">
        <f>IF(AND(Q493&lt;&gt;"",R493&lt;&gt;"",DATE(2026,2,0)&gt;=Q493,DATE(2026,1,1)&lt;=R493),"█","")</f>
        <v/>
      </c>
      <c r="F493" s="30" t="str">
        <f>IF(AND(Q493&lt;&gt;"",R493&lt;&gt;"",DATE(2026,3,0)&gt;=Q493,DATE(2026,2,1)&lt;=R493),"█","")</f>
        <v/>
      </c>
      <c r="G493" s="30" t="str">
        <f>IF(AND(Q493&lt;&gt;"",R493&lt;&gt;"",DATE(2026,4,0)&gt;=Q493,DATE(2026,3,1)&lt;=R493),"█","")</f>
        <v/>
      </c>
      <c r="H493" s="30" t="str">
        <f>IF(AND(Q493&lt;&gt;"",R493&lt;&gt;"",DATE(2026,5,0)&gt;=Q493,DATE(2026,4,1)&lt;=R493),"█","")</f>
        <v/>
      </c>
      <c r="I493" s="30" t="str">
        <f>IF(AND(Q493&lt;&gt;"",R493&lt;&gt;"",DATE(2026,6,0)&gt;=Q493,DATE(2026,5,1)&lt;=R493),"█","")</f>
        <v/>
      </c>
      <c r="J493" s="30" t="str">
        <f>IF(AND(Q493&lt;&gt;"",R493&lt;&gt;"",DATE(2026,7,0)&gt;=Q493,DATE(2026,6,1)&lt;=R493),"█","")</f>
        <v/>
      </c>
      <c r="K493" s="30" t="str">
        <f>IF(AND(Q493&lt;&gt;"",R493&lt;&gt;"",DATE(2026,8,0)&gt;=Q493,DATE(2026,7,1)&lt;=R493),"█","")</f>
        <v/>
      </c>
      <c r="L493" s="30" t="str">
        <f>IF(AND(Q493&lt;&gt;"",R493&lt;&gt;"",DATE(2026,9,0)&gt;=Q493,DATE(2026,8,1)&lt;=R493),"█","")</f>
        <v/>
      </c>
      <c r="M493" s="30" t="str">
        <f>IF(AND(Q493&lt;&gt;"",R493&lt;&gt;"",DATE(2026,10,0)&gt;=Q493,DATE(2026,9,1)&lt;=R493),"█","")</f>
        <v/>
      </c>
      <c r="N493" s="30" t="str">
        <f>IF(AND(Q493&lt;&gt;"",R493&lt;&gt;"",DATE(2026,11,0)&gt;=Q493,DATE(2026,10,1)&lt;=R493),"█","")</f>
        <v/>
      </c>
      <c r="O493" s="30" t="str">
        <f>IF(AND(Q493&lt;&gt;"",R493&lt;&gt;"",DATE(2026,12,0)&gt;=Q493,DATE(2026,11,1)&lt;=R493),"█","")</f>
        <v/>
      </c>
      <c r="P493" s="30" t="str">
        <f>IF(AND(Q493&lt;&gt;"",R493&lt;&gt;"",DATE(2026,12,31)&gt;=Q493,DATE(2026,12,1)&lt;=R493),"█","")</f>
        <v/>
      </c>
      <c r="Q493" s="7" t="str">
        <f>IF('Release Calendar'!I493&lt;&gt;"",'Release Calendar'!I493,"")</f>
        <v/>
      </c>
      <c r="R493" s="7" t="str">
        <f>IF('Release Calendar'!J493&lt;&gt;"",'Release Calendar'!J493,"")</f>
        <v/>
      </c>
    </row>
    <row r="494" spans="1:18" ht="20.100000000000001" customHeight="1">
      <c r="A494" s="31">
        <v>490</v>
      </c>
      <c r="B494" s="32" t="str">
        <f>IF('Release Calendar'!B494&lt;&gt;"",'Release Calendar'!B494,"")</f>
        <v/>
      </c>
      <c r="C494" s="33" t="str">
        <f>IF('Release Calendar'!K494&lt;&gt;"",'Release Calendar'!K494,"")</f>
        <v/>
      </c>
      <c r="D494" s="33" t="str">
        <f>IF('Release Calendar'!M494&lt;&gt;"",'Release Calendar'!M494,"")</f>
        <v/>
      </c>
      <c r="E494" s="34" t="str">
        <f>IF(AND(Q494&lt;&gt;"",R494&lt;&gt;"",DATE(2026,2,0)&gt;=Q494,DATE(2026,1,1)&lt;=R494),"█","")</f>
        <v/>
      </c>
      <c r="F494" s="34" t="str">
        <f>IF(AND(Q494&lt;&gt;"",R494&lt;&gt;"",DATE(2026,3,0)&gt;=Q494,DATE(2026,2,1)&lt;=R494),"█","")</f>
        <v/>
      </c>
      <c r="G494" s="34" t="str">
        <f>IF(AND(Q494&lt;&gt;"",R494&lt;&gt;"",DATE(2026,4,0)&gt;=Q494,DATE(2026,3,1)&lt;=R494),"█","")</f>
        <v/>
      </c>
      <c r="H494" s="34" t="str">
        <f>IF(AND(Q494&lt;&gt;"",R494&lt;&gt;"",DATE(2026,5,0)&gt;=Q494,DATE(2026,4,1)&lt;=R494),"█","")</f>
        <v/>
      </c>
      <c r="I494" s="34" t="str">
        <f>IF(AND(Q494&lt;&gt;"",R494&lt;&gt;"",DATE(2026,6,0)&gt;=Q494,DATE(2026,5,1)&lt;=R494),"█","")</f>
        <v/>
      </c>
      <c r="J494" s="34" t="str">
        <f>IF(AND(Q494&lt;&gt;"",R494&lt;&gt;"",DATE(2026,7,0)&gt;=Q494,DATE(2026,6,1)&lt;=R494),"█","")</f>
        <v/>
      </c>
      <c r="K494" s="34" t="str">
        <f>IF(AND(Q494&lt;&gt;"",R494&lt;&gt;"",DATE(2026,8,0)&gt;=Q494,DATE(2026,7,1)&lt;=R494),"█","")</f>
        <v/>
      </c>
      <c r="L494" s="34" t="str">
        <f>IF(AND(Q494&lt;&gt;"",R494&lt;&gt;"",DATE(2026,9,0)&gt;=Q494,DATE(2026,8,1)&lt;=R494),"█","")</f>
        <v/>
      </c>
      <c r="M494" s="34" t="str">
        <f>IF(AND(Q494&lt;&gt;"",R494&lt;&gt;"",DATE(2026,10,0)&gt;=Q494,DATE(2026,9,1)&lt;=R494),"█","")</f>
        <v/>
      </c>
      <c r="N494" s="34" t="str">
        <f>IF(AND(Q494&lt;&gt;"",R494&lt;&gt;"",DATE(2026,11,0)&gt;=Q494,DATE(2026,10,1)&lt;=R494),"█","")</f>
        <v/>
      </c>
      <c r="O494" s="34" t="str">
        <f>IF(AND(Q494&lt;&gt;"",R494&lt;&gt;"",DATE(2026,12,0)&gt;=Q494,DATE(2026,11,1)&lt;=R494),"█","")</f>
        <v/>
      </c>
      <c r="P494" s="34" t="str">
        <f>IF(AND(Q494&lt;&gt;"",R494&lt;&gt;"",DATE(2026,12,31)&gt;=Q494,DATE(2026,12,1)&lt;=R494),"█","")</f>
        <v/>
      </c>
      <c r="Q494" s="7" t="str">
        <f>IF('Release Calendar'!I494&lt;&gt;"",'Release Calendar'!I494,"")</f>
        <v/>
      </c>
      <c r="R494" s="7" t="str">
        <f>IF('Release Calendar'!J494&lt;&gt;"",'Release Calendar'!J494,"")</f>
        <v/>
      </c>
    </row>
    <row r="495" spans="1:18" ht="20.100000000000001" customHeight="1">
      <c r="A495" s="14">
        <v>491</v>
      </c>
      <c r="B495" s="28" t="str">
        <f>IF('Release Calendar'!B495&lt;&gt;"",'Release Calendar'!B495,"")</f>
        <v/>
      </c>
      <c r="C495" s="29" t="str">
        <f>IF('Release Calendar'!K495&lt;&gt;"",'Release Calendar'!K495,"")</f>
        <v/>
      </c>
      <c r="D495" s="29" t="str">
        <f>IF('Release Calendar'!M495&lt;&gt;"",'Release Calendar'!M495,"")</f>
        <v/>
      </c>
      <c r="E495" s="30" t="str">
        <f>IF(AND(Q495&lt;&gt;"",R495&lt;&gt;"",DATE(2026,2,0)&gt;=Q495,DATE(2026,1,1)&lt;=R495),"█","")</f>
        <v/>
      </c>
      <c r="F495" s="30" t="str">
        <f>IF(AND(Q495&lt;&gt;"",R495&lt;&gt;"",DATE(2026,3,0)&gt;=Q495,DATE(2026,2,1)&lt;=R495),"█","")</f>
        <v/>
      </c>
      <c r="G495" s="30" t="str">
        <f>IF(AND(Q495&lt;&gt;"",R495&lt;&gt;"",DATE(2026,4,0)&gt;=Q495,DATE(2026,3,1)&lt;=R495),"█","")</f>
        <v/>
      </c>
      <c r="H495" s="30" t="str">
        <f>IF(AND(Q495&lt;&gt;"",R495&lt;&gt;"",DATE(2026,5,0)&gt;=Q495,DATE(2026,4,1)&lt;=R495),"█","")</f>
        <v/>
      </c>
      <c r="I495" s="30" t="str">
        <f>IF(AND(Q495&lt;&gt;"",R495&lt;&gt;"",DATE(2026,6,0)&gt;=Q495,DATE(2026,5,1)&lt;=R495),"█","")</f>
        <v/>
      </c>
      <c r="J495" s="30" t="str">
        <f>IF(AND(Q495&lt;&gt;"",R495&lt;&gt;"",DATE(2026,7,0)&gt;=Q495,DATE(2026,6,1)&lt;=R495),"█","")</f>
        <v/>
      </c>
      <c r="K495" s="30" t="str">
        <f>IF(AND(Q495&lt;&gt;"",R495&lt;&gt;"",DATE(2026,8,0)&gt;=Q495,DATE(2026,7,1)&lt;=R495),"█","")</f>
        <v/>
      </c>
      <c r="L495" s="30" t="str">
        <f>IF(AND(Q495&lt;&gt;"",R495&lt;&gt;"",DATE(2026,9,0)&gt;=Q495,DATE(2026,8,1)&lt;=R495),"█","")</f>
        <v/>
      </c>
      <c r="M495" s="30" t="str">
        <f>IF(AND(Q495&lt;&gt;"",R495&lt;&gt;"",DATE(2026,10,0)&gt;=Q495,DATE(2026,9,1)&lt;=R495),"█","")</f>
        <v/>
      </c>
      <c r="N495" s="30" t="str">
        <f>IF(AND(Q495&lt;&gt;"",R495&lt;&gt;"",DATE(2026,11,0)&gt;=Q495,DATE(2026,10,1)&lt;=R495),"█","")</f>
        <v/>
      </c>
      <c r="O495" s="30" t="str">
        <f>IF(AND(Q495&lt;&gt;"",R495&lt;&gt;"",DATE(2026,12,0)&gt;=Q495,DATE(2026,11,1)&lt;=R495),"█","")</f>
        <v/>
      </c>
      <c r="P495" s="30" t="str">
        <f>IF(AND(Q495&lt;&gt;"",R495&lt;&gt;"",DATE(2026,12,31)&gt;=Q495,DATE(2026,12,1)&lt;=R495),"█","")</f>
        <v/>
      </c>
      <c r="Q495" s="7" t="str">
        <f>IF('Release Calendar'!I495&lt;&gt;"",'Release Calendar'!I495,"")</f>
        <v/>
      </c>
      <c r="R495" s="7" t="str">
        <f>IF('Release Calendar'!J495&lt;&gt;"",'Release Calendar'!J495,"")</f>
        <v/>
      </c>
    </row>
    <row r="496" spans="1:18" ht="20.100000000000001" customHeight="1">
      <c r="A496" s="31">
        <v>492</v>
      </c>
      <c r="B496" s="32" t="str">
        <f>IF('Release Calendar'!B496&lt;&gt;"",'Release Calendar'!B496,"")</f>
        <v/>
      </c>
      <c r="C496" s="33" t="str">
        <f>IF('Release Calendar'!K496&lt;&gt;"",'Release Calendar'!K496,"")</f>
        <v/>
      </c>
      <c r="D496" s="33" t="str">
        <f>IF('Release Calendar'!M496&lt;&gt;"",'Release Calendar'!M496,"")</f>
        <v/>
      </c>
      <c r="E496" s="34" t="str">
        <f>IF(AND(Q496&lt;&gt;"",R496&lt;&gt;"",DATE(2026,2,0)&gt;=Q496,DATE(2026,1,1)&lt;=R496),"█","")</f>
        <v/>
      </c>
      <c r="F496" s="34" t="str">
        <f>IF(AND(Q496&lt;&gt;"",R496&lt;&gt;"",DATE(2026,3,0)&gt;=Q496,DATE(2026,2,1)&lt;=R496),"█","")</f>
        <v/>
      </c>
      <c r="G496" s="34" t="str">
        <f>IF(AND(Q496&lt;&gt;"",R496&lt;&gt;"",DATE(2026,4,0)&gt;=Q496,DATE(2026,3,1)&lt;=R496),"█","")</f>
        <v/>
      </c>
      <c r="H496" s="34" t="str">
        <f>IF(AND(Q496&lt;&gt;"",R496&lt;&gt;"",DATE(2026,5,0)&gt;=Q496,DATE(2026,4,1)&lt;=R496),"█","")</f>
        <v/>
      </c>
      <c r="I496" s="34" t="str">
        <f>IF(AND(Q496&lt;&gt;"",R496&lt;&gt;"",DATE(2026,6,0)&gt;=Q496,DATE(2026,5,1)&lt;=R496),"█","")</f>
        <v/>
      </c>
      <c r="J496" s="34" t="str">
        <f>IF(AND(Q496&lt;&gt;"",R496&lt;&gt;"",DATE(2026,7,0)&gt;=Q496,DATE(2026,6,1)&lt;=R496),"█","")</f>
        <v/>
      </c>
      <c r="K496" s="34" t="str">
        <f>IF(AND(Q496&lt;&gt;"",R496&lt;&gt;"",DATE(2026,8,0)&gt;=Q496,DATE(2026,7,1)&lt;=R496),"█","")</f>
        <v/>
      </c>
      <c r="L496" s="34" t="str">
        <f>IF(AND(Q496&lt;&gt;"",R496&lt;&gt;"",DATE(2026,9,0)&gt;=Q496,DATE(2026,8,1)&lt;=R496),"█","")</f>
        <v/>
      </c>
      <c r="M496" s="34" t="str">
        <f>IF(AND(Q496&lt;&gt;"",R496&lt;&gt;"",DATE(2026,10,0)&gt;=Q496,DATE(2026,9,1)&lt;=R496),"█","")</f>
        <v/>
      </c>
      <c r="N496" s="34" t="str">
        <f>IF(AND(Q496&lt;&gt;"",R496&lt;&gt;"",DATE(2026,11,0)&gt;=Q496,DATE(2026,10,1)&lt;=R496),"█","")</f>
        <v/>
      </c>
      <c r="O496" s="34" t="str">
        <f>IF(AND(Q496&lt;&gt;"",R496&lt;&gt;"",DATE(2026,12,0)&gt;=Q496,DATE(2026,11,1)&lt;=R496),"█","")</f>
        <v/>
      </c>
      <c r="P496" s="34" t="str">
        <f>IF(AND(Q496&lt;&gt;"",R496&lt;&gt;"",DATE(2026,12,31)&gt;=Q496,DATE(2026,12,1)&lt;=R496),"█","")</f>
        <v/>
      </c>
      <c r="Q496" s="7" t="str">
        <f>IF('Release Calendar'!I496&lt;&gt;"",'Release Calendar'!I496,"")</f>
        <v/>
      </c>
      <c r="R496" s="7" t="str">
        <f>IF('Release Calendar'!J496&lt;&gt;"",'Release Calendar'!J496,"")</f>
        <v/>
      </c>
    </row>
    <row r="497" spans="1:18" ht="20.100000000000001" customHeight="1">
      <c r="A497" s="14">
        <v>493</v>
      </c>
      <c r="B497" s="28" t="str">
        <f>IF('Release Calendar'!B497&lt;&gt;"",'Release Calendar'!B497,"")</f>
        <v/>
      </c>
      <c r="C497" s="29" t="str">
        <f>IF('Release Calendar'!K497&lt;&gt;"",'Release Calendar'!K497,"")</f>
        <v/>
      </c>
      <c r="D497" s="29" t="str">
        <f>IF('Release Calendar'!M497&lt;&gt;"",'Release Calendar'!M497,"")</f>
        <v/>
      </c>
      <c r="E497" s="30" t="str">
        <f>IF(AND(Q497&lt;&gt;"",R497&lt;&gt;"",DATE(2026,2,0)&gt;=Q497,DATE(2026,1,1)&lt;=R497),"█","")</f>
        <v/>
      </c>
      <c r="F497" s="30" t="str">
        <f>IF(AND(Q497&lt;&gt;"",R497&lt;&gt;"",DATE(2026,3,0)&gt;=Q497,DATE(2026,2,1)&lt;=R497),"█","")</f>
        <v/>
      </c>
      <c r="G497" s="30" t="str">
        <f>IF(AND(Q497&lt;&gt;"",R497&lt;&gt;"",DATE(2026,4,0)&gt;=Q497,DATE(2026,3,1)&lt;=R497),"█","")</f>
        <v/>
      </c>
      <c r="H497" s="30" t="str">
        <f>IF(AND(Q497&lt;&gt;"",R497&lt;&gt;"",DATE(2026,5,0)&gt;=Q497,DATE(2026,4,1)&lt;=R497),"█","")</f>
        <v/>
      </c>
      <c r="I497" s="30" t="str">
        <f>IF(AND(Q497&lt;&gt;"",R497&lt;&gt;"",DATE(2026,6,0)&gt;=Q497,DATE(2026,5,1)&lt;=R497),"█","")</f>
        <v/>
      </c>
      <c r="J497" s="30" t="str">
        <f>IF(AND(Q497&lt;&gt;"",R497&lt;&gt;"",DATE(2026,7,0)&gt;=Q497,DATE(2026,6,1)&lt;=R497),"█","")</f>
        <v/>
      </c>
      <c r="K497" s="30" t="str">
        <f>IF(AND(Q497&lt;&gt;"",R497&lt;&gt;"",DATE(2026,8,0)&gt;=Q497,DATE(2026,7,1)&lt;=R497),"█","")</f>
        <v/>
      </c>
      <c r="L497" s="30" t="str">
        <f>IF(AND(Q497&lt;&gt;"",R497&lt;&gt;"",DATE(2026,9,0)&gt;=Q497,DATE(2026,8,1)&lt;=R497),"█","")</f>
        <v/>
      </c>
      <c r="M497" s="30" t="str">
        <f>IF(AND(Q497&lt;&gt;"",R497&lt;&gt;"",DATE(2026,10,0)&gt;=Q497,DATE(2026,9,1)&lt;=R497),"█","")</f>
        <v/>
      </c>
      <c r="N497" s="30" t="str">
        <f>IF(AND(Q497&lt;&gt;"",R497&lt;&gt;"",DATE(2026,11,0)&gt;=Q497,DATE(2026,10,1)&lt;=R497),"█","")</f>
        <v/>
      </c>
      <c r="O497" s="30" t="str">
        <f>IF(AND(Q497&lt;&gt;"",R497&lt;&gt;"",DATE(2026,12,0)&gt;=Q497,DATE(2026,11,1)&lt;=R497),"█","")</f>
        <v/>
      </c>
      <c r="P497" s="30" t="str">
        <f>IF(AND(Q497&lt;&gt;"",R497&lt;&gt;"",DATE(2026,12,31)&gt;=Q497,DATE(2026,12,1)&lt;=R497),"█","")</f>
        <v/>
      </c>
      <c r="Q497" s="7" t="str">
        <f>IF('Release Calendar'!I497&lt;&gt;"",'Release Calendar'!I497,"")</f>
        <v/>
      </c>
      <c r="R497" s="7" t="str">
        <f>IF('Release Calendar'!J497&lt;&gt;"",'Release Calendar'!J497,"")</f>
        <v/>
      </c>
    </row>
    <row r="498" spans="1:18" ht="20.100000000000001" customHeight="1">
      <c r="A498" s="31">
        <v>494</v>
      </c>
      <c r="B498" s="32" t="str">
        <f>IF('Release Calendar'!B498&lt;&gt;"",'Release Calendar'!B498,"")</f>
        <v/>
      </c>
      <c r="C498" s="33" t="str">
        <f>IF('Release Calendar'!K498&lt;&gt;"",'Release Calendar'!K498,"")</f>
        <v/>
      </c>
      <c r="D498" s="33" t="str">
        <f>IF('Release Calendar'!M498&lt;&gt;"",'Release Calendar'!M498,"")</f>
        <v/>
      </c>
      <c r="E498" s="34" t="str">
        <f>IF(AND(Q498&lt;&gt;"",R498&lt;&gt;"",DATE(2026,2,0)&gt;=Q498,DATE(2026,1,1)&lt;=R498),"█","")</f>
        <v/>
      </c>
      <c r="F498" s="34" t="str">
        <f>IF(AND(Q498&lt;&gt;"",R498&lt;&gt;"",DATE(2026,3,0)&gt;=Q498,DATE(2026,2,1)&lt;=R498),"█","")</f>
        <v/>
      </c>
      <c r="G498" s="34" t="str">
        <f>IF(AND(Q498&lt;&gt;"",R498&lt;&gt;"",DATE(2026,4,0)&gt;=Q498,DATE(2026,3,1)&lt;=R498),"█","")</f>
        <v/>
      </c>
      <c r="H498" s="34" t="str">
        <f>IF(AND(Q498&lt;&gt;"",R498&lt;&gt;"",DATE(2026,5,0)&gt;=Q498,DATE(2026,4,1)&lt;=R498),"█","")</f>
        <v/>
      </c>
      <c r="I498" s="34" t="str">
        <f>IF(AND(Q498&lt;&gt;"",R498&lt;&gt;"",DATE(2026,6,0)&gt;=Q498,DATE(2026,5,1)&lt;=R498),"█","")</f>
        <v/>
      </c>
      <c r="J498" s="34" t="str">
        <f>IF(AND(Q498&lt;&gt;"",R498&lt;&gt;"",DATE(2026,7,0)&gt;=Q498,DATE(2026,6,1)&lt;=R498),"█","")</f>
        <v/>
      </c>
      <c r="K498" s="34" t="str">
        <f>IF(AND(Q498&lt;&gt;"",R498&lt;&gt;"",DATE(2026,8,0)&gt;=Q498,DATE(2026,7,1)&lt;=R498),"█","")</f>
        <v/>
      </c>
      <c r="L498" s="34" t="str">
        <f>IF(AND(Q498&lt;&gt;"",R498&lt;&gt;"",DATE(2026,9,0)&gt;=Q498,DATE(2026,8,1)&lt;=R498),"█","")</f>
        <v/>
      </c>
      <c r="M498" s="34" t="str">
        <f>IF(AND(Q498&lt;&gt;"",R498&lt;&gt;"",DATE(2026,10,0)&gt;=Q498,DATE(2026,9,1)&lt;=R498),"█","")</f>
        <v/>
      </c>
      <c r="N498" s="34" t="str">
        <f>IF(AND(Q498&lt;&gt;"",R498&lt;&gt;"",DATE(2026,11,0)&gt;=Q498,DATE(2026,10,1)&lt;=R498),"█","")</f>
        <v/>
      </c>
      <c r="O498" s="34" t="str">
        <f>IF(AND(Q498&lt;&gt;"",R498&lt;&gt;"",DATE(2026,12,0)&gt;=Q498,DATE(2026,11,1)&lt;=R498),"█","")</f>
        <v/>
      </c>
      <c r="P498" s="34" t="str">
        <f>IF(AND(Q498&lt;&gt;"",R498&lt;&gt;"",DATE(2026,12,31)&gt;=Q498,DATE(2026,12,1)&lt;=R498),"█","")</f>
        <v/>
      </c>
      <c r="Q498" s="7" t="str">
        <f>IF('Release Calendar'!I498&lt;&gt;"",'Release Calendar'!I498,"")</f>
        <v/>
      </c>
      <c r="R498" s="7" t="str">
        <f>IF('Release Calendar'!J498&lt;&gt;"",'Release Calendar'!J498,"")</f>
        <v/>
      </c>
    </row>
    <row r="499" spans="1:18" ht="20.100000000000001" customHeight="1">
      <c r="A499" s="14">
        <v>495</v>
      </c>
      <c r="B499" s="28" t="str">
        <f>IF('Release Calendar'!B499&lt;&gt;"",'Release Calendar'!B499,"")</f>
        <v/>
      </c>
      <c r="C499" s="29" t="str">
        <f>IF('Release Calendar'!K499&lt;&gt;"",'Release Calendar'!K499,"")</f>
        <v/>
      </c>
      <c r="D499" s="29" t="str">
        <f>IF('Release Calendar'!M499&lt;&gt;"",'Release Calendar'!M499,"")</f>
        <v/>
      </c>
      <c r="E499" s="30" t="str">
        <f>IF(AND(Q499&lt;&gt;"",R499&lt;&gt;"",DATE(2026,2,0)&gt;=Q499,DATE(2026,1,1)&lt;=R499),"█","")</f>
        <v/>
      </c>
      <c r="F499" s="30" t="str">
        <f>IF(AND(Q499&lt;&gt;"",R499&lt;&gt;"",DATE(2026,3,0)&gt;=Q499,DATE(2026,2,1)&lt;=R499),"█","")</f>
        <v/>
      </c>
      <c r="G499" s="30" t="str">
        <f>IF(AND(Q499&lt;&gt;"",R499&lt;&gt;"",DATE(2026,4,0)&gt;=Q499,DATE(2026,3,1)&lt;=R499),"█","")</f>
        <v/>
      </c>
      <c r="H499" s="30" t="str">
        <f>IF(AND(Q499&lt;&gt;"",R499&lt;&gt;"",DATE(2026,5,0)&gt;=Q499,DATE(2026,4,1)&lt;=R499),"█","")</f>
        <v/>
      </c>
      <c r="I499" s="30" t="str">
        <f>IF(AND(Q499&lt;&gt;"",R499&lt;&gt;"",DATE(2026,6,0)&gt;=Q499,DATE(2026,5,1)&lt;=R499),"█","")</f>
        <v/>
      </c>
      <c r="J499" s="30" t="str">
        <f>IF(AND(Q499&lt;&gt;"",R499&lt;&gt;"",DATE(2026,7,0)&gt;=Q499,DATE(2026,6,1)&lt;=R499),"█","")</f>
        <v/>
      </c>
      <c r="K499" s="30" t="str">
        <f>IF(AND(Q499&lt;&gt;"",R499&lt;&gt;"",DATE(2026,8,0)&gt;=Q499,DATE(2026,7,1)&lt;=R499),"█","")</f>
        <v/>
      </c>
      <c r="L499" s="30" t="str">
        <f>IF(AND(Q499&lt;&gt;"",R499&lt;&gt;"",DATE(2026,9,0)&gt;=Q499,DATE(2026,8,1)&lt;=R499),"█","")</f>
        <v/>
      </c>
      <c r="M499" s="30" t="str">
        <f>IF(AND(Q499&lt;&gt;"",R499&lt;&gt;"",DATE(2026,10,0)&gt;=Q499,DATE(2026,9,1)&lt;=R499),"█","")</f>
        <v/>
      </c>
      <c r="N499" s="30" t="str">
        <f>IF(AND(Q499&lt;&gt;"",R499&lt;&gt;"",DATE(2026,11,0)&gt;=Q499,DATE(2026,10,1)&lt;=R499),"█","")</f>
        <v/>
      </c>
      <c r="O499" s="30" t="str">
        <f>IF(AND(Q499&lt;&gt;"",R499&lt;&gt;"",DATE(2026,12,0)&gt;=Q499,DATE(2026,11,1)&lt;=R499),"█","")</f>
        <v/>
      </c>
      <c r="P499" s="30" t="str">
        <f>IF(AND(Q499&lt;&gt;"",R499&lt;&gt;"",DATE(2026,12,31)&gt;=Q499,DATE(2026,12,1)&lt;=R499),"█","")</f>
        <v/>
      </c>
      <c r="Q499" s="7" t="str">
        <f>IF('Release Calendar'!I499&lt;&gt;"",'Release Calendar'!I499,"")</f>
        <v/>
      </c>
      <c r="R499" s="7" t="str">
        <f>IF('Release Calendar'!J499&lt;&gt;"",'Release Calendar'!J499,"")</f>
        <v/>
      </c>
    </row>
    <row r="500" spans="1:18" ht="20.100000000000001" customHeight="1">
      <c r="A500" s="31">
        <v>496</v>
      </c>
      <c r="B500" s="32" t="str">
        <f>IF('Release Calendar'!B500&lt;&gt;"",'Release Calendar'!B500,"")</f>
        <v/>
      </c>
      <c r="C500" s="33" t="str">
        <f>IF('Release Calendar'!K500&lt;&gt;"",'Release Calendar'!K500,"")</f>
        <v/>
      </c>
      <c r="D500" s="33" t="str">
        <f>IF('Release Calendar'!M500&lt;&gt;"",'Release Calendar'!M500,"")</f>
        <v/>
      </c>
      <c r="E500" s="34" t="str">
        <f>IF(AND(Q500&lt;&gt;"",R500&lt;&gt;"",DATE(2026,2,0)&gt;=Q500,DATE(2026,1,1)&lt;=R500),"█","")</f>
        <v/>
      </c>
      <c r="F500" s="34" t="str">
        <f>IF(AND(Q500&lt;&gt;"",R500&lt;&gt;"",DATE(2026,3,0)&gt;=Q500,DATE(2026,2,1)&lt;=R500),"█","")</f>
        <v/>
      </c>
      <c r="G500" s="34" t="str">
        <f>IF(AND(Q500&lt;&gt;"",R500&lt;&gt;"",DATE(2026,4,0)&gt;=Q500,DATE(2026,3,1)&lt;=R500),"█","")</f>
        <v/>
      </c>
      <c r="H500" s="34" t="str">
        <f>IF(AND(Q500&lt;&gt;"",R500&lt;&gt;"",DATE(2026,5,0)&gt;=Q500,DATE(2026,4,1)&lt;=R500),"█","")</f>
        <v/>
      </c>
      <c r="I500" s="34" t="str">
        <f>IF(AND(Q500&lt;&gt;"",R500&lt;&gt;"",DATE(2026,6,0)&gt;=Q500,DATE(2026,5,1)&lt;=R500),"█","")</f>
        <v/>
      </c>
      <c r="J500" s="34" t="str">
        <f>IF(AND(Q500&lt;&gt;"",R500&lt;&gt;"",DATE(2026,7,0)&gt;=Q500,DATE(2026,6,1)&lt;=R500),"█","")</f>
        <v/>
      </c>
      <c r="K500" s="34" t="str">
        <f>IF(AND(Q500&lt;&gt;"",R500&lt;&gt;"",DATE(2026,8,0)&gt;=Q500,DATE(2026,7,1)&lt;=R500),"█","")</f>
        <v/>
      </c>
      <c r="L500" s="34" t="str">
        <f>IF(AND(Q500&lt;&gt;"",R500&lt;&gt;"",DATE(2026,9,0)&gt;=Q500,DATE(2026,8,1)&lt;=R500),"█","")</f>
        <v/>
      </c>
      <c r="M500" s="34" t="str">
        <f>IF(AND(Q500&lt;&gt;"",R500&lt;&gt;"",DATE(2026,10,0)&gt;=Q500,DATE(2026,9,1)&lt;=R500),"█","")</f>
        <v/>
      </c>
      <c r="N500" s="34" t="str">
        <f>IF(AND(Q500&lt;&gt;"",R500&lt;&gt;"",DATE(2026,11,0)&gt;=Q500,DATE(2026,10,1)&lt;=R500),"█","")</f>
        <v/>
      </c>
      <c r="O500" s="34" t="str">
        <f>IF(AND(Q500&lt;&gt;"",R500&lt;&gt;"",DATE(2026,12,0)&gt;=Q500,DATE(2026,11,1)&lt;=R500),"█","")</f>
        <v/>
      </c>
      <c r="P500" s="34" t="str">
        <f>IF(AND(Q500&lt;&gt;"",R500&lt;&gt;"",DATE(2026,12,31)&gt;=Q500,DATE(2026,12,1)&lt;=R500),"█","")</f>
        <v/>
      </c>
      <c r="Q500" s="7" t="str">
        <f>IF('Release Calendar'!I500&lt;&gt;"",'Release Calendar'!I500,"")</f>
        <v/>
      </c>
      <c r="R500" s="7" t="str">
        <f>IF('Release Calendar'!J500&lt;&gt;"",'Release Calendar'!J500,"")</f>
        <v/>
      </c>
    </row>
    <row r="501" spans="1:18" ht="20.100000000000001" customHeight="1">
      <c r="A501" s="14">
        <v>497</v>
      </c>
      <c r="B501" s="28" t="str">
        <f>IF('Release Calendar'!B501&lt;&gt;"",'Release Calendar'!B501,"")</f>
        <v/>
      </c>
      <c r="C501" s="29" t="str">
        <f>IF('Release Calendar'!K501&lt;&gt;"",'Release Calendar'!K501,"")</f>
        <v/>
      </c>
      <c r="D501" s="29" t="str">
        <f>IF('Release Calendar'!M501&lt;&gt;"",'Release Calendar'!M501,"")</f>
        <v/>
      </c>
      <c r="E501" s="30" t="str">
        <f>IF(AND(Q501&lt;&gt;"",R501&lt;&gt;"",DATE(2026,2,0)&gt;=Q501,DATE(2026,1,1)&lt;=R501),"█","")</f>
        <v/>
      </c>
      <c r="F501" s="30" t="str">
        <f>IF(AND(Q501&lt;&gt;"",R501&lt;&gt;"",DATE(2026,3,0)&gt;=Q501,DATE(2026,2,1)&lt;=R501),"█","")</f>
        <v/>
      </c>
      <c r="G501" s="30" t="str">
        <f>IF(AND(Q501&lt;&gt;"",R501&lt;&gt;"",DATE(2026,4,0)&gt;=Q501,DATE(2026,3,1)&lt;=R501),"█","")</f>
        <v/>
      </c>
      <c r="H501" s="30" t="str">
        <f>IF(AND(Q501&lt;&gt;"",R501&lt;&gt;"",DATE(2026,5,0)&gt;=Q501,DATE(2026,4,1)&lt;=R501),"█","")</f>
        <v/>
      </c>
      <c r="I501" s="30" t="str">
        <f>IF(AND(Q501&lt;&gt;"",R501&lt;&gt;"",DATE(2026,6,0)&gt;=Q501,DATE(2026,5,1)&lt;=R501),"█","")</f>
        <v/>
      </c>
      <c r="J501" s="30" t="str">
        <f>IF(AND(Q501&lt;&gt;"",R501&lt;&gt;"",DATE(2026,7,0)&gt;=Q501,DATE(2026,6,1)&lt;=R501),"█","")</f>
        <v/>
      </c>
      <c r="K501" s="30" t="str">
        <f>IF(AND(Q501&lt;&gt;"",R501&lt;&gt;"",DATE(2026,8,0)&gt;=Q501,DATE(2026,7,1)&lt;=R501),"█","")</f>
        <v/>
      </c>
      <c r="L501" s="30" t="str">
        <f>IF(AND(Q501&lt;&gt;"",R501&lt;&gt;"",DATE(2026,9,0)&gt;=Q501,DATE(2026,8,1)&lt;=R501),"█","")</f>
        <v/>
      </c>
      <c r="M501" s="30" t="str">
        <f>IF(AND(Q501&lt;&gt;"",R501&lt;&gt;"",DATE(2026,10,0)&gt;=Q501,DATE(2026,9,1)&lt;=R501),"█","")</f>
        <v/>
      </c>
      <c r="N501" s="30" t="str">
        <f>IF(AND(Q501&lt;&gt;"",R501&lt;&gt;"",DATE(2026,11,0)&gt;=Q501,DATE(2026,10,1)&lt;=R501),"█","")</f>
        <v/>
      </c>
      <c r="O501" s="30" t="str">
        <f>IF(AND(Q501&lt;&gt;"",R501&lt;&gt;"",DATE(2026,12,0)&gt;=Q501,DATE(2026,11,1)&lt;=R501),"█","")</f>
        <v/>
      </c>
      <c r="P501" s="30" t="str">
        <f>IF(AND(Q501&lt;&gt;"",R501&lt;&gt;"",DATE(2026,12,31)&gt;=Q501,DATE(2026,12,1)&lt;=R501),"█","")</f>
        <v/>
      </c>
      <c r="Q501" s="7" t="str">
        <f>IF('Release Calendar'!I501&lt;&gt;"",'Release Calendar'!I501,"")</f>
        <v/>
      </c>
      <c r="R501" s="7" t="str">
        <f>IF('Release Calendar'!J501&lt;&gt;"",'Release Calendar'!J501,"")</f>
        <v/>
      </c>
    </row>
    <row r="502" spans="1:18" ht="20.100000000000001" customHeight="1">
      <c r="A502" s="31">
        <v>498</v>
      </c>
      <c r="B502" s="32" t="str">
        <f>IF('Release Calendar'!B502&lt;&gt;"",'Release Calendar'!B502,"")</f>
        <v/>
      </c>
      <c r="C502" s="33" t="str">
        <f>IF('Release Calendar'!K502&lt;&gt;"",'Release Calendar'!K502,"")</f>
        <v/>
      </c>
      <c r="D502" s="33" t="str">
        <f>IF('Release Calendar'!M502&lt;&gt;"",'Release Calendar'!M502,"")</f>
        <v/>
      </c>
      <c r="E502" s="34" t="str">
        <f>IF(AND(Q502&lt;&gt;"",R502&lt;&gt;"",DATE(2026,2,0)&gt;=Q502,DATE(2026,1,1)&lt;=R502),"█","")</f>
        <v/>
      </c>
      <c r="F502" s="34" t="str">
        <f>IF(AND(Q502&lt;&gt;"",R502&lt;&gt;"",DATE(2026,3,0)&gt;=Q502,DATE(2026,2,1)&lt;=R502),"█","")</f>
        <v/>
      </c>
      <c r="G502" s="34" t="str">
        <f>IF(AND(Q502&lt;&gt;"",R502&lt;&gt;"",DATE(2026,4,0)&gt;=Q502,DATE(2026,3,1)&lt;=R502),"█","")</f>
        <v/>
      </c>
      <c r="H502" s="34" t="str">
        <f>IF(AND(Q502&lt;&gt;"",R502&lt;&gt;"",DATE(2026,5,0)&gt;=Q502,DATE(2026,4,1)&lt;=R502),"█","")</f>
        <v/>
      </c>
      <c r="I502" s="34" t="str">
        <f>IF(AND(Q502&lt;&gt;"",R502&lt;&gt;"",DATE(2026,6,0)&gt;=Q502,DATE(2026,5,1)&lt;=R502),"█","")</f>
        <v/>
      </c>
      <c r="J502" s="34" t="str">
        <f>IF(AND(Q502&lt;&gt;"",R502&lt;&gt;"",DATE(2026,7,0)&gt;=Q502,DATE(2026,6,1)&lt;=R502),"█","")</f>
        <v/>
      </c>
      <c r="K502" s="34" t="str">
        <f>IF(AND(Q502&lt;&gt;"",R502&lt;&gt;"",DATE(2026,8,0)&gt;=Q502,DATE(2026,7,1)&lt;=R502),"█","")</f>
        <v/>
      </c>
      <c r="L502" s="34" t="str">
        <f>IF(AND(Q502&lt;&gt;"",R502&lt;&gt;"",DATE(2026,9,0)&gt;=Q502,DATE(2026,8,1)&lt;=R502),"█","")</f>
        <v/>
      </c>
      <c r="M502" s="34" t="str">
        <f>IF(AND(Q502&lt;&gt;"",R502&lt;&gt;"",DATE(2026,10,0)&gt;=Q502,DATE(2026,9,1)&lt;=R502),"█","")</f>
        <v/>
      </c>
      <c r="N502" s="34" t="str">
        <f>IF(AND(Q502&lt;&gt;"",R502&lt;&gt;"",DATE(2026,11,0)&gt;=Q502,DATE(2026,10,1)&lt;=R502),"█","")</f>
        <v/>
      </c>
      <c r="O502" s="34" t="str">
        <f>IF(AND(Q502&lt;&gt;"",R502&lt;&gt;"",DATE(2026,12,0)&gt;=Q502,DATE(2026,11,1)&lt;=R502),"█","")</f>
        <v/>
      </c>
      <c r="P502" s="34" t="str">
        <f>IF(AND(Q502&lt;&gt;"",R502&lt;&gt;"",DATE(2026,12,31)&gt;=Q502,DATE(2026,12,1)&lt;=R502),"█","")</f>
        <v/>
      </c>
      <c r="Q502" s="7" t="str">
        <f>IF('Release Calendar'!I502&lt;&gt;"",'Release Calendar'!I502,"")</f>
        <v/>
      </c>
      <c r="R502" s="7" t="str">
        <f>IF('Release Calendar'!J502&lt;&gt;"",'Release Calendar'!J502,"")</f>
        <v/>
      </c>
    </row>
    <row r="503" spans="1:18" ht="20.100000000000001" customHeight="1">
      <c r="A503" s="14">
        <v>499</v>
      </c>
      <c r="B503" s="28" t="str">
        <f>IF('Release Calendar'!B503&lt;&gt;"",'Release Calendar'!B503,"")</f>
        <v/>
      </c>
      <c r="C503" s="29" t="str">
        <f>IF('Release Calendar'!K503&lt;&gt;"",'Release Calendar'!K503,"")</f>
        <v/>
      </c>
      <c r="D503" s="29" t="str">
        <f>IF('Release Calendar'!M503&lt;&gt;"",'Release Calendar'!M503,"")</f>
        <v/>
      </c>
      <c r="E503" s="30" t="str">
        <f>IF(AND(Q503&lt;&gt;"",R503&lt;&gt;"",DATE(2026,2,0)&gt;=Q503,DATE(2026,1,1)&lt;=R503),"█","")</f>
        <v/>
      </c>
      <c r="F503" s="30" t="str">
        <f>IF(AND(Q503&lt;&gt;"",R503&lt;&gt;"",DATE(2026,3,0)&gt;=Q503,DATE(2026,2,1)&lt;=R503),"█","")</f>
        <v/>
      </c>
      <c r="G503" s="30" t="str">
        <f>IF(AND(Q503&lt;&gt;"",R503&lt;&gt;"",DATE(2026,4,0)&gt;=Q503,DATE(2026,3,1)&lt;=R503),"█","")</f>
        <v/>
      </c>
      <c r="H503" s="30" t="str">
        <f>IF(AND(Q503&lt;&gt;"",R503&lt;&gt;"",DATE(2026,5,0)&gt;=Q503,DATE(2026,4,1)&lt;=R503),"█","")</f>
        <v/>
      </c>
      <c r="I503" s="30" t="str">
        <f>IF(AND(Q503&lt;&gt;"",R503&lt;&gt;"",DATE(2026,6,0)&gt;=Q503,DATE(2026,5,1)&lt;=R503),"█","")</f>
        <v/>
      </c>
      <c r="J503" s="30" t="str">
        <f>IF(AND(Q503&lt;&gt;"",R503&lt;&gt;"",DATE(2026,7,0)&gt;=Q503,DATE(2026,6,1)&lt;=R503),"█","")</f>
        <v/>
      </c>
      <c r="K503" s="30" t="str">
        <f>IF(AND(Q503&lt;&gt;"",R503&lt;&gt;"",DATE(2026,8,0)&gt;=Q503,DATE(2026,7,1)&lt;=R503),"█","")</f>
        <v/>
      </c>
      <c r="L503" s="30" t="str">
        <f>IF(AND(Q503&lt;&gt;"",R503&lt;&gt;"",DATE(2026,9,0)&gt;=Q503,DATE(2026,8,1)&lt;=R503),"█","")</f>
        <v/>
      </c>
      <c r="M503" s="30" t="str">
        <f>IF(AND(Q503&lt;&gt;"",R503&lt;&gt;"",DATE(2026,10,0)&gt;=Q503,DATE(2026,9,1)&lt;=R503),"█","")</f>
        <v/>
      </c>
      <c r="N503" s="30" t="str">
        <f>IF(AND(Q503&lt;&gt;"",R503&lt;&gt;"",DATE(2026,11,0)&gt;=Q503,DATE(2026,10,1)&lt;=R503),"█","")</f>
        <v/>
      </c>
      <c r="O503" s="30" t="str">
        <f>IF(AND(Q503&lt;&gt;"",R503&lt;&gt;"",DATE(2026,12,0)&gt;=Q503,DATE(2026,11,1)&lt;=R503),"█","")</f>
        <v/>
      </c>
      <c r="P503" s="30" t="str">
        <f>IF(AND(Q503&lt;&gt;"",R503&lt;&gt;"",DATE(2026,12,31)&gt;=Q503,DATE(2026,12,1)&lt;=R503),"█","")</f>
        <v/>
      </c>
      <c r="Q503" s="7" t="str">
        <f>IF('Release Calendar'!I503&lt;&gt;"",'Release Calendar'!I503,"")</f>
        <v/>
      </c>
      <c r="R503" s="7" t="str">
        <f>IF('Release Calendar'!J503&lt;&gt;"",'Release Calendar'!J503,"")</f>
        <v/>
      </c>
    </row>
    <row r="504" spans="1:18" ht="20.100000000000001" customHeight="1">
      <c r="A504" s="31">
        <v>500</v>
      </c>
      <c r="B504" s="32" t="str">
        <f>IF('Release Calendar'!B504&lt;&gt;"",'Release Calendar'!B504,"")</f>
        <v/>
      </c>
      <c r="C504" s="33" t="str">
        <f>IF('Release Calendar'!K504&lt;&gt;"",'Release Calendar'!K504,"")</f>
        <v/>
      </c>
      <c r="D504" s="33" t="str">
        <f>IF('Release Calendar'!M504&lt;&gt;"",'Release Calendar'!M504,"")</f>
        <v/>
      </c>
      <c r="E504" s="34" t="str">
        <f>IF(AND(Q504&lt;&gt;"",R504&lt;&gt;"",DATE(2026,2,0)&gt;=Q504,DATE(2026,1,1)&lt;=R504),"█","")</f>
        <v/>
      </c>
      <c r="F504" s="34" t="str">
        <f>IF(AND(Q504&lt;&gt;"",R504&lt;&gt;"",DATE(2026,3,0)&gt;=Q504,DATE(2026,2,1)&lt;=R504),"█","")</f>
        <v/>
      </c>
      <c r="G504" s="34" t="str">
        <f>IF(AND(Q504&lt;&gt;"",R504&lt;&gt;"",DATE(2026,4,0)&gt;=Q504,DATE(2026,3,1)&lt;=R504),"█","")</f>
        <v/>
      </c>
      <c r="H504" s="34" t="str">
        <f>IF(AND(Q504&lt;&gt;"",R504&lt;&gt;"",DATE(2026,5,0)&gt;=Q504,DATE(2026,4,1)&lt;=R504),"█","")</f>
        <v/>
      </c>
      <c r="I504" s="34" t="str">
        <f>IF(AND(Q504&lt;&gt;"",R504&lt;&gt;"",DATE(2026,6,0)&gt;=Q504,DATE(2026,5,1)&lt;=R504),"█","")</f>
        <v/>
      </c>
      <c r="J504" s="34" t="str">
        <f>IF(AND(Q504&lt;&gt;"",R504&lt;&gt;"",DATE(2026,7,0)&gt;=Q504,DATE(2026,6,1)&lt;=R504),"█","")</f>
        <v/>
      </c>
      <c r="K504" s="34" t="str">
        <f>IF(AND(Q504&lt;&gt;"",R504&lt;&gt;"",DATE(2026,8,0)&gt;=Q504,DATE(2026,7,1)&lt;=R504),"█","")</f>
        <v/>
      </c>
      <c r="L504" s="34" t="str">
        <f>IF(AND(Q504&lt;&gt;"",R504&lt;&gt;"",DATE(2026,9,0)&gt;=Q504,DATE(2026,8,1)&lt;=R504),"█","")</f>
        <v/>
      </c>
      <c r="M504" s="34" t="str">
        <f>IF(AND(Q504&lt;&gt;"",R504&lt;&gt;"",DATE(2026,10,0)&gt;=Q504,DATE(2026,9,1)&lt;=R504),"█","")</f>
        <v/>
      </c>
      <c r="N504" s="34" t="str">
        <f>IF(AND(Q504&lt;&gt;"",R504&lt;&gt;"",DATE(2026,11,0)&gt;=Q504,DATE(2026,10,1)&lt;=R504),"█","")</f>
        <v/>
      </c>
      <c r="O504" s="34" t="str">
        <f>IF(AND(Q504&lt;&gt;"",R504&lt;&gt;"",DATE(2026,12,0)&gt;=Q504,DATE(2026,11,1)&lt;=R504),"█","")</f>
        <v/>
      </c>
      <c r="P504" s="34" t="str">
        <f>IF(AND(Q504&lt;&gt;"",R504&lt;&gt;"",DATE(2026,12,31)&gt;=Q504,DATE(2026,12,1)&lt;=R504),"█","")</f>
        <v/>
      </c>
      <c r="Q504" s="7" t="str">
        <f>IF('Release Calendar'!I504&lt;&gt;"",'Release Calendar'!I504,"")</f>
        <v/>
      </c>
      <c r="R504" s="7" t="str">
        <f>IF('Release Calendar'!J504&lt;&gt;"",'Release Calendar'!J504,"")</f>
        <v/>
      </c>
    </row>
    <row r="506" spans="1:18" ht="13.5" customHeight="1">
      <c r="A506" s="99" t="str">
        <f ca="1">"  ★ Highlighted column = current month ("&amp;TEXT(TODAY(),"mmm yyyy")&amp;")   |   Gantt bars auto-update from Release Calendar dates"</f>
        <v xml:space="preserve">  ★ Highlighted column = current month (Oct 2026)   |   Gantt bars auto-update from Release Calendar dates</v>
      </c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</row>
    <row r="508" spans="1:18" ht="15.75" customHeight="1">
      <c r="A508" s="103" t="s">
        <v>171</v>
      </c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</row>
    <row r="509" spans="1:18" ht="19.5" customHeight="1">
      <c r="A509" s="110" t="s">
        <v>172</v>
      </c>
      <c r="B509" s="132"/>
      <c r="C509" s="132"/>
      <c r="D509" s="132"/>
      <c r="E509" s="133"/>
      <c r="F509" s="111" t="s">
        <v>173</v>
      </c>
      <c r="G509" s="134"/>
      <c r="H509" s="134"/>
      <c r="I509" s="134"/>
      <c r="J509" s="135"/>
      <c r="K509" s="107" t="s">
        <v>174</v>
      </c>
      <c r="L509" s="136"/>
      <c r="M509" s="136"/>
      <c r="N509" s="136"/>
      <c r="O509" s="137"/>
    </row>
    <row r="510" spans="1:18" ht="19.5" customHeight="1">
      <c r="A510" s="105" t="s">
        <v>175</v>
      </c>
      <c r="B510" s="138"/>
      <c r="C510" s="138"/>
      <c r="D510" s="138"/>
      <c r="E510" s="139"/>
      <c r="F510" s="102" t="s">
        <v>176</v>
      </c>
      <c r="G510" s="140"/>
      <c r="H510" s="140"/>
      <c r="I510" s="140"/>
      <c r="J510" s="141"/>
      <c r="K510" s="104" t="str">
        <f ca="1">"  ★  Current month  ("&amp;TEXT(TODAY(),"mmm yyyy")&amp;")"</f>
        <v xml:space="preserve">  ★  Current month  (Oct 2026)</v>
      </c>
      <c r="L510" s="134"/>
      <c r="M510" s="134"/>
      <c r="N510" s="134"/>
      <c r="O510" s="135"/>
    </row>
  </sheetData>
  <sheetProtection password="B04E" sheet="1"/>
  <mergeCells count="16">
    <mergeCell ref="A1:P1"/>
    <mergeCell ref="A506:P506"/>
    <mergeCell ref="K3:L3"/>
    <mergeCell ref="A2:P2"/>
    <mergeCell ref="F510:J510"/>
    <mergeCell ref="A508:P508"/>
    <mergeCell ref="K510:O510"/>
    <mergeCell ref="A510:E510"/>
    <mergeCell ref="M3:N3"/>
    <mergeCell ref="K509:O509"/>
    <mergeCell ref="G3:H3"/>
    <mergeCell ref="E3:F3"/>
    <mergeCell ref="A509:E509"/>
    <mergeCell ref="F509:J509"/>
    <mergeCell ref="O3:P3"/>
    <mergeCell ref="I3:J3"/>
  </mergeCells>
  <conditionalFormatting sqref="D5:D504">
    <cfRule type="expression" dxfId="79" priority="66">
      <formula>$D5="On Hold"</formula>
    </cfRule>
    <cfRule type="expression" dxfId="78" priority="65">
      <formula>$D5="Completed"</formula>
    </cfRule>
    <cfRule type="expression" dxfId="77" priority="64">
      <formula>$D5="Delayed"</formula>
    </cfRule>
    <cfRule type="expression" dxfId="76" priority="63">
      <formula>$D5="At Risk"</formula>
    </cfRule>
    <cfRule type="expression" dxfId="75" priority="62">
      <formula>$D5="On Track"</formula>
    </cfRule>
  </conditionalFormatting>
  <conditionalFormatting sqref="E5:E504">
    <cfRule type="expression" dxfId="74" priority="2">
      <formula>AND(AND(Q5&lt;&gt;"",R5&lt;&gt;"",DATE(2026,2,0)&gt;=Q5,DATE(2026,1,1)&lt;=R5),D5="On Track")</formula>
    </cfRule>
    <cfRule type="expression" dxfId="73" priority="3">
      <formula>AND(AND(Q5&lt;&gt;"",R5&lt;&gt;"",DATE(2026,2,0)&gt;=Q5,DATE(2026,1,1)&lt;=R5),D5="At Risk")</formula>
    </cfRule>
    <cfRule type="expression" dxfId="72" priority="4">
      <formula>AND(AND(Q5&lt;&gt;"",R5&lt;&gt;"",DATE(2026,2,0)&gt;=Q5,DATE(2026,1,1)&lt;=R5),D5="Delayed")</formula>
    </cfRule>
    <cfRule type="expression" dxfId="71" priority="5">
      <formula>AND(AND(Q5&lt;&gt;"",R5&lt;&gt;"",DATE(2026,2,0)&gt;=Q5,DATE(2026,1,1)&lt;=R5),D5="Completed")</formula>
    </cfRule>
    <cfRule type="expression" dxfId="70" priority="6">
      <formula>AND(AND(Q5&lt;&gt;"",R5&lt;&gt;"",DATE(2026,2,0)&gt;=Q5,DATE(2026,1,1)&lt;=R5),D5="On Hold")</formula>
    </cfRule>
  </conditionalFormatting>
  <conditionalFormatting sqref="F5:F504">
    <cfRule type="expression" dxfId="69" priority="11">
      <formula>AND(AND(Q5&lt;&gt;"",R5&lt;&gt;"",DATE(2026,3,0)&gt;=Q5,DATE(2026,2,1)&lt;=R5),D5="On Hold")</formula>
    </cfRule>
    <cfRule type="expression" dxfId="68" priority="10">
      <formula>AND(AND(Q5&lt;&gt;"",R5&lt;&gt;"",DATE(2026,3,0)&gt;=Q5,DATE(2026,2,1)&lt;=R5),D5="Completed")</formula>
    </cfRule>
    <cfRule type="expression" dxfId="67" priority="9">
      <formula>AND(AND(Q5&lt;&gt;"",R5&lt;&gt;"",DATE(2026,3,0)&gt;=Q5,DATE(2026,2,1)&lt;=R5),D5="Delayed")</formula>
    </cfRule>
    <cfRule type="expression" dxfId="66" priority="8">
      <formula>AND(AND(Q5&lt;&gt;"",R5&lt;&gt;"",DATE(2026,3,0)&gt;=Q5,DATE(2026,2,1)&lt;=R5),D5="At Risk")</formula>
    </cfRule>
    <cfRule type="expression" dxfId="65" priority="7">
      <formula>AND(AND(Q5&lt;&gt;"",R5&lt;&gt;"",DATE(2026,3,0)&gt;=Q5,DATE(2026,2,1)&lt;=R5),D5="On Track")</formula>
    </cfRule>
  </conditionalFormatting>
  <conditionalFormatting sqref="G5:G504">
    <cfRule type="expression" dxfId="64" priority="13">
      <formula>AND(AND(Q5&lt;&gt;"",R5&lt;&gt;"",DATE(2026,4,0)&gt;=Q5,DATE(2026,3,1)&lt;=R5),D5="At Risk")</formula>
    </cfRule>
    <cfRule type="expression" dxfId="63" priority="16">
      <formula>AND(AND(Q5&lt;&gt;"",R5&lt;&gt;"",DATE(2026,4,0)&gt;=Q5,DATE(2026,3,1)&lt;=R5),D5="On Hold")</formula>
    </cfRule>
    <cfRule type="expression" dxfId="62" priority="15">
      <formula>AND(AND(Q5&lt;&gt;"",R5&lt;&gt;"",DATE(2026,4,0)&gt;=Q5,DATE(2026,3,1)&lt;=R5),D5="Completed")</formula>
    </cfRule>
    <cfRule type="expression" dxfId="61" priority="12">
      <formula>AND(AND(Q5&lt;&gt;"",R5&lt;&gt;"",DATE(2026,4,0)&gt;=Q5,DATE(2026,3,1)&lt;=R5),D5="On Track")</formula>
    </cfRule>
    <cfRule type="expression" dxfId="60" priority="14">
      <formula>AND(AND(Q5&lt;&gt;"",R5&lt;&gt;"",DATE(2026,4,0)&gt;=Q5,DATE(2026,3,1)&lt;=R5),D5="Delayed")</formula>
    </cfRule>
  </conditionalFormatting>
  <conditionalFormatting sqref="H5:H504">
    <cfRule type="expression" dxfId="59" priority="19">
      <formula>AND(AND(Q5&lt;&gt;"",R5&lt;&gt;"",DATE(2026,5,0)&gt;=Q5,DATE(2026,4,1)&lt;=R5),D5="Delayed")</formula>
    </cfRule>
    <cfRule type="expression" dxfId="58" priority="20">
      <formula>AND(AND(Q5&lt;&gt;"",R5&lt;&gt;"",DATE(2026,5,0)&gt;=Q5,DATE(2026,4,1)&lt;=R5),D5="Completed")</formula>
    </cfRule>
    <cfRule type="expression" dxfId="57" priority="21">
      <formula>AND(AND(Q5&lt;&gt;"",R5&lt;&gt;"",DATE(2026,5,0)&gt;=Q5,DATE(2026,4,1)&lt;=R5),D5="On Hold")</formula>
    </cfRule>
    <cfRule type="expression" dxfId="56" priority="18">
      <formula>AND(AND(Q5&lt;&gt;"",R5&lt;&gt;"",DATE(2026,5,0)&gt;=Q5,DATE(2026,4,1)&lt;=R5),D5="At Risk")</formula>
    </cfRule>
    <cfRule type="expression" dxfId="55" priority="17">
      <formula>AND(AND(Q5&lt;&gt;"",R5&lt;&gt;"",DATE(2026,5,0)&gt;=Q5,DATE(2026,4,1)&lt;=R5),D5="On Track")</formula>
    </cfRule>
  </conditionalFormatting>
  <conditionalFormatting sqref="I5:I504">
    <cfRule type="expression" dxfId="54" priority="22">
      <formula>AND(AND(Q5&lt;&gt;"",R5&lt;&gt;"",DATE(2026,6,0)&gt;=Q5,DATE(2026,5,1)&lt;=R5),D5="On Track")</formula>
    </cfRule>
    <cfRule type="expression" dxfId="53" priority="23">
      <formula>AND(AND(Q5&lt;&gt;"",R5&lt;&gt;"",DATE(2026,6,0)&gt;=Q5,DATE(2026,5,1)&lt;=R5),D5="At Risk")</formula>
    </cfRule>
    <cfRule type="expression" dxfId="52" priority="24">
      <formula>AND(AND(Q5&lt;&gt;"",R5&lt;&gt;"",DATE(2026,6,0)&gt;=Q5,DATE(2026,5,1)&lt;=R5),D5="Delayed")</formula>
    </cfRule>
    <cfRule type="expression" dxfId="51" priority="26">
      <formula>AND(AND(Q5&lt;&gt;"",R5&lt;&gt;"",DATE(2026,6,0)&gt;=Q5,DATE(2026,5,1)&lt;=R5),D5="On Hold")</formula>
    </cfRule>
    <cfRule type="expression" dxfId="50" priority="25">
      <formula>AND(AND(Q5&lt;&gt;"",R5&lt;&gt;"",DATE(2026,6,0)&gt;=Q5,DATE(2026,5,1)&lt;=R5),D5="Completed")</formula>
    </cfRule>
  </conditionalFormatting>
  <conditionalFormatting sqref="J5:J504">
    <cfRule type="expression" dxfId="49" priority="27">
      <formula>AND(AND(Q5&lt;&gt;"",R5&lt;&gt;"",DATE(2026,7,0)&gt;=Q5,DATE(2026,6,1)&lt;=R5),D5="On Track")</formula>
    </cfRule>
    <cfRule type="expression" dxfId="48" priority="28">
      <formula>AND(AND(Q5&lt;&gt;"",R5&lt;&gt;"",DATE(2026,7,0)&gt;=Q5,DATE(2026,6,1)&lt;=R5),D5="At Risk")</formula>
    </cfRule>
    <cfRule type="expression" dxfId="47" priority="29">
      <formula>AND(AND(Q5&lt;&gt;"",R5&lt;&gt;"",DATE(2026,7,0)&gt;=Q5,DATE(2026,6,1)&lt;=R5),D5="Delayed")</formula>
    </cfRule>
    <cfRule type="expression" dxfId="46" priority="30">
      <formula>AND(AND(Q5&lt;&gt;"",R5&lt;&gt;"",DATE(2026,7,0)&gt;=Q5,DATE(2026,6,1)&lt;=R5),D5="Completed")</formula>
    </cfRule>
    <cfRule type="expression" dxfId="45" priority="31">
      <formula>AND(AND(Q5&lt;&gt;"",R5&lt;&gt;"",DATE(2026,7,0)&gt;=Q5,DATE(2026,6,1)&lt;=R5),D5="On Hold")</formula>
    </cfRule>
  </conditionalFormatting>
  <conditionalFormatting sqref="K5:K504">
    <cfRule type="expression" dxfId="44" priority="35">
      <formula>AND(AND(Q5&lt;&gt;"",R5&lt;&gt;"",DATE(2026,8,0)&gt;=Q5,DATE(2026,7,1)&lt;=R5),D5="Completed")</formula>
    </cfRule>
    <cfRule type="expression" dxfId="43" priority="36">
      <formula>AND(AND(Q5&lt;&gt;"",R5&lt;&gt;"",DATE(2026,8,0)&gt;=Q5,DATE(2026,7,1)&lt;=R5),D5="On Hold")</formula>
    </cfRule>
    <cfRule type="expression" dxfId="42" priority="32">
      <formula>AND(AND(Q5&lt;&gt;"",R5&lt;&gt;"",DATE(2026,8,0)&gt;=Q5,DATE(2026,7,1)&lt;=R5),D5="On Track")</formula>
    </cfRule>
    <cfRule type="expression" dxfId="41" priority="33">
      <formula>AND(AND(Q5&lt;&gt;"",R5&lt;&gt;"",DATE(2026,8,0)&gt;=Q5,DATE(2026,7,1)&lt;=R5),D5="At Risk")</formula>
    </cfRule>
    <cfRule type="expression" dxfId="40" priority="34">
      <formula>AND(AND(Q5&lt;&gt;"",R5&lt;&gt;"",DATE(2026,8,0)&gt;=Q5,DATE(2026,7,1)&lt;=R5),D5="Delayed")</formula>
    </cfRule>
  </conditionalFormatting>
  <conditionalFormatting sqref="L5:L504">
    <cfRule type="expression" dxfId="39" priority="40">
      <formula>AND(AND(Q5&lt;&gt;"",R5&lt;&gt;"",DATE(2026,9,0)&gt;=Q5,DATE(2026,8,1)&lt;=R5),D5="Completed")</formula>
    </cfRule>
    <cfRule type="expression" dxfId="38" priority="37">
      <formula>AND(AND(Q5&lt;&gt;"",R5&lt;&gt;"",DATE(2026,9,0)&gt;=Q5,DATE(2026,8,1)&lt;=R5),D5="On Track")</formula>
    </cfRule>
    <cfRule type="expression" dxfId="37" priority="38">
      <formula>AND(AND(Q5&lt;&gt;"",R5&lt;&gt;"",DATE(2026,9,0)&gt;=Q5,DATE(2026,8,1)&lt;=R5),D5="At Risk")</formula>
    </cfRule>
    <cfRule type="expression" dxfId="36" priority="39">
      <formula>AND(AND(Q5&lt;&gt;"",R5&lt;&gt;"",DATE(2026,9,0)&gt;=Q5,DATE(2026,8,1)&lt;=R5),D5="Delayed")</formula>
    </cfRule>
    <cfRule type="expression" dxfId="35" priority="41">
      <formula>AND(AND(Q5&lt;&gt;"",R5&lt;&gt;"",DATE(2026,9,0)&gt;=Q5,DATE(2026,8,1)&lt;=R5),D5="On Hold")</formula>
    </cfRule>
  </conditionalFormatting>
  <conditionalFormatting sqref="M5:M504">
    <cfRule type="expression" dxfId="34" priority="45">
      <formula>AND(AND(Q5&lt;&gt;"",R5&lt;&gt;"",DATE(2026,10,0)&gt;=Q5,DATE(2026,9,1)&lt;=R5),D5="Completed")</formula>
    </cfRule>
    <cfRule type="expression" dxfId="33" priority="46">
      <formula>AND(AND(Q5&lt;&gt;"",R5&lt;&gt;"",DATE(2026,10,0)&gt;=Q5,DATE(2026,9,1)&lt;=R5),D5="On Hold")</formula>
    </cfRule>
    <cfRule type="expression" dxfId="32" priority="42">
      <formula>AND(AND(Q5&lt;&gt;"",R5&lt;&gt;"",DATE(2026,10,0)&gt;=Q5,DATE(2026,9,1)&lt;=R5),D5="On Track")</formula>
    </cfRule>
    <cfRule type="expression" dxfId="31" priority="44">
      <formula>AND(AND(Q5&lt;&gt;"",R5&lt;&gt;"",DATE(2026,10,0)&gt;=Q5,DATE(2026,9,1)&lt;=R5),D5="Delayed")</formula>
    </cfRule>
    <cfRule type="expression" dxfId="30" priority="43">
      <formula>AND(AND(Q5&lt;&gt;"",R5&lt;&gt;"",DATE(2026,10,0)&gt;=Q5,DATE(2026,9,1)&lt;=R5),D5="At Risk")</formula>
    </cfRule>
  </conditionalFormatting>
  <conditionalFormatting sqref="N5:N504">
    <cfRule type="expression" dxfId="29" priority="47">
      <formula>AND(AND(Q5&lt;&gt;"",R5&lt;&gt;"",DATE(2026,11,0)&gt;=Q5,DATE(2026,10,1)&lt;=R5),D5="On Track")</formula>
    </cfRule>
    <cfRule type="expression" dxfId="28" priority="48">
      <formula>AND(AND(Q5&lt;&gt;"",R5&lt;&gt;"",DATE(2026,11,0)&gt;=Q5,DATE(2026,10,1)&lt;=R5),D5="At Risk")</formula>
    </cfRule>
    <cfRule type="expression" dxfId="27" priority="49">
      <formula>AND(AND(Q5&lt;&gt;"",R5&lt;&gt;"",DATE(2026,11,0)&gt;=Q5,DATE(2026,10,1)&lt;=R5),D5="Delayed")</formula>
    </cfRule>
    <cfRule type="expression" dxfId="26" priority="50">
      <formula>AND(AND(Q5&lt;&gt;"",R5&lt;&gt;"",DATE(2026,11,0)&gt;=Q5,DATE(2026,10,1)&lt;=R5),D5="Completed")</formula>
    </cfRule>
    <cfRule type="expression" dxfId="25" priority="51">
      <formula>AND(AND(Q5&lt;&gt;"",R5&lt;&gt;"",DATE(2026,11,0)&gt;=Q5,DATE(2026,10,1)&lt;=R5),D5="On Hold")</formula>
    </cfRule>
  </conditionalFormatting>
  <conditionalFormatting sqref="O5:O504">
    <cfRule type="expression" dxfId="24" priority="56">
      <formula>AND(AND(Q5&lt;&gt;"",R5&lt;&gt;"",DATE(2026,12,0)&gt;=Q5,DATE(2026,11,1)&lt;=R5),D5="On Hold")</formula>
    </cfRule>
    <cfRule type="expression" dxfId="23" priority="55">
      <formula>AND(AND(Q5&lt;&gt;"",R5&lt;&gt;"",DATE(2026,12,0)&gt;=Q5,DATE(2026,11,1)&lt;=R5),D5="Completed")</formula>
    </cfRule>
    <cfRule type="expression" dxfId="22" priority="54">
      <formula>AND(AND(Q5&lt;&gt;"",R5&lt;&gt;"",DATE(2026,12,0)&gt;=Q5,DATE(2026,11,1)&lt;=R5),D5="Delayed")</formula>
    </cfRule>
    <cfRule type="expression" dxfId="21" priority="52">
      <formula>AND(AND(Q5&lt;&gt;"",R5&lt;&gt;"",DATE(2026,12,0)&gt;=Q5,DATE(2026,11,1)&lt;=R5),D5="On Track")</formula>
    </cfRule>
    <cfRule type="expression" dxfId="20" priority="53">
      <formula>AND(AND(Q5&lt;&gt;"",R5&lt;&gt;"",DATE(2026,12,0)&gt;=Q5,DATE(2026,11,1)&lt;=R5),D5="At Risk")</formula>
    </cfRule>
  </conditionalFormatting>
  <conditionalFormatting sqref="P5:P504">
    <cfRule type="expression" dxfId="19" priority="59">
      <formula>AND(AND(Q5&lt;&gt;"",R5&lt;&gt;"",DATE(2026,12,31)&gt;=Q5,DATE(2026,12,1)&lt;=R5),D5="Delayed")</formula>
    </cfRule>
    <cfRule type="expression" dxfId="18" priority="60">
      <formula>AND(AND(Q5&lt;&gt;"",R5&lt;&gt;"",DATE(2026,12,31)&gt;=Q5,DATE(2026,12,1)&lt;=R5),D5="Completed")</formula>
    </cfRule>
    <cfRule type="expression" dxfId="17" priority="61">
      <formula>AND(AND(Q5&lt;&gt;"",R5&lt;&gt;"",DATE(2026,12,31)&gt;=Q5,DATE(2026,12,1)&lt;=R5),D5="On Hold")</formula>
    </cfRule>
    <cfRule type="expression" dxfId="16" priority="58">
      <formula>AND(AND(Q5&lt;&gt;"",R5&lt;&gt;"",DATE(2026,12,31)&gt;=Q5,DATE(2026,12,1)&lt;=R5),D5="At Risk")</formula>
    </cfRule>
    <cfRule type="expression" dxfId="15" priority="57">
      <formula>AND(AND(Q5&lt;&gt;"",R5&lt;&gt;"",DATE(2026,12,31)&gt;=Q5,DATE(2026,12,1)&lt;=R5),D5="On Track")</formula>
    </cfRule>
  </conditionalFormatting>
  <conditionalFormatting sqref="E5:P504">
    <cfRule type="expression" dxfId="14" priority="67">
      <formula>AND(YEAR(TODAY())=2026,MONTH(TODAY())=COLUMN(E5)-4)</formula>
    </cfRule>
  </conditionalFormatting>
  <conditionalFormatting sqref="E4:P4">
    <cfRule type="expression" dxfId="13" priority="68">
      <formula>AND(YEAR(TODAY())=2026,MONTH(TODAY())=COLUMN(E4)-4)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D6A4F"/>
  </sheetPr>
  <dimension ref="A1:K22"/>
  <sheetViews>
    <sheetView showGridLines="0" topLeftCell="A8" zoomScaleNormal="100" workbookViewId="0">
      <selection activeCell="C28" sqref="C28"/>
    </sheetView>
  </sheetViews>
  <sheetFormatPr defaultColWidth="8.7109375" defaultRowHeight="15"/>
  <cols>
    <col min="1" max="7" width="19" customWidth="1"/>
    <col min="9" max="11" width="10" hidden="1" customWidth="1"/>
  </cols>
  <sheetData>
    <row r="1" spans="1:11" ht="21.95" customHeight="1">
      <c r="A1" s="114" t="s">
        <v>177</v>
      </c>
      <c r="B1" s="122"/>
      <c r="C1" s="122"/>
      <c r="D1" s="122"/>
      <c r="E1" s="122"/>
      <c r="F1" s="122"/>
      <c r="G1" s="122"/>
    </row>
    <row r="2" spans="1:11" ht="18" customHeight="1">
      <c r="A2" s="122"/>
      <c r="B2" s="122"/>
      <c r="C2" s="122"/>
      <c r="D2" s="122"/>
      <c r="E2" s="122"/>
      <c r="F2" s="122"/>
      <c r="G2" s="122"/>
    </row>
    <row r="3" spans="1:11" ht="20.100000000000001" customHeight="1">
      <c r="A3" s="115" t="s">
        <v>178</v>
      </c>
      <c r="B3" s="122"/>
      <c r="C3" s="122"/>
      <c r="D3" s="122"/>
      <c r="E3" s="122"/>
      <c r="F3" s="122"/>
      <c r="G3" s="122"/>
    </row>
    <row r="4" spans="1:11" ht="30" customHeight="1">
      <c r="A4" s="35" t="s">
        <v>35</v>
      </c>
      <c r="B4" s="36">
        <f ca="1">MONTH(TODAY())</f>
        <v>10</v>
      </c>
      <c r="C4" s="35" t="s">
        <v>36</v>
      </c>
      <c r="D4" s="36">
        <f ca="1">YEAR(TODAY())</f>
        <v>2026</v>
      </c>
      <c r="E4" s="81" t="str">
        <f ca="1">TEXT(DATE($D$4,$B$4,1),"mmmm yyyy")</f>
        <v>October 2026</v>
      </c>
      <c r="F4" s="122"/>
      <c r="G4" s="122"/>
      <c r="I4" s="8">
        <f ca="1">DATE($D$4,$B$4,1)</f>
        <v>46296</v>
      </c>
      <c r="J4">
        <f ca="1">WEEKDAY(I4,1)</f>
        <v>5</v>
      </c>
      <c r="K4">
        <f ca="1">DAY(EOMONTH(I4,0))</f>
        <v>31</v>
      </c>
    </row>
    <row r="5" spans="1:11" ht="24" customHeight="1">
      <c r="A5" s="69" t="s">
        <v>179</v>
      </c>
      <c r="B5" s="70" t="s">
        <v>180</v>
      </c>
      <c r="C5" s="70" t="s">
        <v>181</v>
      </c>
      <c r="D5" s="70" t="s">
        <v>182</v>
      </c>
      <c r="E5" s="70" t="s">
        <v>183</v>
      </c>
      <c r="F5" s="70" t="s">
        <v>184</v>
      </c>
      <c r="G5" s="69" t="s">
        <v>185</v>
      </c>
    </row>
    <row r="6" spans="1:11" ht="20.100000000000001" customHeight="1">
      <c r="A6" s="37" t="str">
        <f ca="1">IF(AND((0*7+0-($J$4-1)+1)&gt;=1,(0*7+0-($J$4-1)+1)&lt;=$K$4),$I$4+(0*7+0-($J$4-1)+1)-1,"")</f>
        <v/>
      </c>
      <c r="B6" s="38" t="str">
        <f ca="1">IF(AND((0*7+1-($J$4-1)+1)&gt;=1,(0*7+1-($J$4-1)+1)&lt;=$K$4),$I$4+(0*7+1-($J$4-1)+1)-1,"")</f>
        <v/>
      </c>
      <c r="C6" s="38" t="str">
        <f ca="1">IF(AND((0*7+2-($J$4-1)+1)&gt;=1,(0*7+2-($J$4-1)+1)&lt;=$K$4),$I$4+(0*7+2-($J$4-1)+1)-1,"")</f>
        <v/>
      </c>
      <c r="D6" s="38" t="str">
        <f ca="1">IF(AND((0*7+3-($J$4-1)+1)&gt;=1,(0*7+3-($J$4-1)+1)&lt;=$K$4),$I$4+(0*7+3-($J$4-1)+1)-1,"")</f>
        <v/>
      </c>
      <c r="E6" s="38">
        <f ca="1">IF(AND((0*7+4-($J$4-1)+1)&gt;=1,(0*7+4-($J$4-1)+1)&lt;=$K$4),$I$4+(0*7+4-($J$4-1)+1)-1,"")</f>
        <v>46296</v>
      </c>
      <c r="F6" s="38">
        <f ca="1">IF(AND((0*7+5-($J$4-1)+1)&gt;=1,(0*7+5-($J$4-1)+1)&lt;=$K$4),$I$4+(0*7+5-($J$4-1)+1)-1,"")</f>
        <v>46297</v>
      </c>
      <c r="G6" s="37">
        <f ca="1">IF(AND((0*7+6-($J$4-1)+1)&gt;=1,(0*7+6-($J$4-1)+1)&lt;=$K$4),$I$4+(0*7+6-($J$4-1)+1)-1,"")</f>
        <v>46298</v>
      </c>
    </row>
    <row r="7" spans="1:11" ht="62.1" customHeight="1">
      <c r="A7" s="39" t="str">
        <f ca="1">IF(A6="","",IFERROR("● "&amp;INDEX('Release Calendar'!$B$5:$B$504,MATCH(A6,'Release Calendar'!$I$5:$I$504,0))&amp;" · Start ","")&amp;IFERROR("● "&amp;INDEX('Release Calendar'!$B$5:$B$504,MATCH(A6,'Release Calendar'!$J$5:$J$504,0))&amp;" · Target ",""))</f>
        <v/>
      </c>
      <c r="B7" s="40" t="str">
        <f ca="1">IF(B6="","",IFERROR("● "&amp;INDEX('Release Calendar'!$B$5:$B$504,MATCH(B6,'Release Calendar'!$I$5:$I$504,0))&amp;" · Start ","")&amp;IFERROR("● "&amp;INDEX('Release Calendar'!$B$5:$B$504,MATCH(B6,'Release Calendar'!$J$5:$J$504,0))&amp;" · Target ",""))</f>
        <v/>
      </c>
      <c r="C7" s="40" t="str">
        <f ca="1">IF(C6="","",IFERROR("● "&amp;INDEX('Release Calendar'!$B$5:$B$504,MATCH(C6,'Release Calendar'!$I$5:$I$504,0))&amp;" · Start ","")&amp;IFERROR("● "&amp;INDEX('Release Calendar'!$B$5:$B$504,MATCH(C6,'Release Calendar'!$J$5:$J$504,0))&amp;" · Target ",""))</f>
        <v/>
      </c>
      <c r="D7" s="40" t="str">
        <f ca="1">IF(D6="","",IFERROR("● "&amp;INDEX('Release Calendar'!$B$5:$B$504,MATCH(D6,'Release Calendar'!$I$5:$I$504,0))&amp;" · Start ","")&amp;IFERROR("● "&amp;INDEX('Release Calendar'!$B$5:$B$504,MATCH(D6,'Release Calendar'!$J$5:$J$504,0))&amp;" · Target ",""))</f>
        <v/>
      </c>
      <c r="E7" s="40" t="str">
        <f ca="1">IF(E6="","",IFERROR("● "&amp;INDEX('Release Calendar'!$B$5:$B$504,MATCH(E6,'Release Calendar'!$I$5:$I$504,0))&amp;" · Start ","")&amp;IFERROR("● "&amp;INDEX('Release Calendar'!$B$5:$B$504,MATCH(E6,'Release Calendar'!$J$5:$J$504,0))&amp;" · Target ",""))</f>
        <v/>
      </c>
      <c r="F7" s="40" t="str">
        <f ca="1">IF(F6="","",IFERROR("● "&amp;INDEX('Release Calendar'!$B$5:$B$504,MATCH(F6,'Release Calendar'!$I$5:$I$504,0))&amp;" · Start ","")&amp;IFERROR("● "&amp;INDEX('Release Calendar'!$B$5:$B$504,MATCH(F6,'Release Calendar'!$J$5:$J$504,0))&amp;" · Target ",""))</f>
        <v/>
      </c>
      <c r="G7" s="39" t="str">
        <f ca="1">IF(G6="","",IFERROR("● "&amp;INDEX('Release Calendar'!$B$5:$B$504,MATCH(G6,'Release Calendar'!$I$5:$I$504,0))&amp;" · Start ","")&amp;IFERROR("● "&amp;INDEX('Release Calendar'!$B$5:$B$504,MATCH(G6,'Release Calendar'!$J$5:$J$504,0))&amp;" · Target ",""))</f>
        <v/>
      </c>
    </row>
    <row r="8" spans="1:11" ht="20.100000000000001" customHeight="1">
      <c r="A8" s="37">
        <f ca="1">IF(AND((1*7+0-($J$4-1)+1)&gt;=1,(1*7+0-($J$4-1)+1)&lt;=$K$4),$I$4+(1*7+0-($J$4-1)+1)-1,"")</f>
        <v>46299</v>
      </c>
      <c r="B8" s="38">
        <f ca="1">IF(AND((1*7+1-($J$4-1)+1)&gt;=1,(1*7+1-($J$4-1)+1)&lt;=$K$4),$I$4+(1*7+1-($J$4-1)+1)-1,"")</f>
        <v>46300</v>
      </c>
      <c r="C8" s="38">
        <f ca="1">IF(AND((1*7+2-($J$4-1)+1)&gt;=1,(1*7+2-($J$4-1)+1)&lt;=$K$4),$I$4+(1*7+2-($J$4-1)+1)-1,"")</f>
        <v>46301</v>
      </c>
      <c r="D8" s="38">
        <f ca="1">IF(AND((1*7+3-($J$4-1)+1)&gt;=1,(1*7+3-($J$4-1)+1)&lt;=$K$4),$I$4+(1*7+3-($J$4-1)+1)-1,"")</f>
        <v>46302</v>
      </c>
      <c r="E8" s="38">
        <f ca="1">IF(AND((1*7+4-($J$4-1)+1)&gt;=1,(1*7+4-($J$4-1)+1)&lt;=$K$4),$I$4+(1*7+4-($J$4-1)+1)-1,"")</f>
        <v>46303</v>
      </c>
      <c r="F8" s="38">
        <f ca="1">IF(AND((1*7+5-($J$4-1)+1)&gt;=1,(1*7+5-($J$4-1)+1)&lt;=$K$4),$I$4+(1*7+5-($J$4-1)+1)-1,"")</f>
        <v>46304</v>
      </c>
      <c r="G8" s="37">
        <f ca="1">IF(AND((1*7+6-($J$4-1)+1)&gt;=1,(1*7+6-($J$4-1)+1)&lt;=$K$4),$I$4+(1*7+6-($J$4-1)+1)-1,"")</f>
        <v>46305</v>
      </c>
    </row>
    <row r="9" spans="1:11" ht="62.1" customHeight="1">
      <c r="A9" s="39" t="str">
        <f ca="1">IF(A8="","",IFERROR("● "&amp;INDEX('Release Calendar'!$B$5:$B$504,MATCH(A8,'Release Calendar'!$I$5:$I$504,0))&amp;" · Start ","")&amp;IFERROR("● "&amp;INDEX('Release Calendar'!$B$5:$B$504,MATCH(A8,'Release Calendar'!$J$5:$J$504,0))&amp;" · Target ",""))</f>
        <v/>
      </c>
      <c r="B9" s="40" t="str">
        <f ca="1">IF(B8="","",IFERROR("● "&amp;INDEX('Release Calendar'!$B$5:$B$504,MATCH(B8,'Release Calendar'!$I$5:$I$504,0))&amp;" · Start ","")&amp;IFERROR("● "&amp;INDEX('Release Calendar'!$B$5:$B$504,MATCH(B8,'Release Calendar'!$J$5:$J$504,0))&amp;" · Target ",""))</f>
        <v/>
      </c>
      <c r="C9" s="40" t="str">
        <f ca="1">IF(C8="","",IFERROR("● "&amp;INDEX('Release Calendar'!$B$5:$B$504,MATCH(C8,'Release Calendar'!$I$5:$I$504,0))&amp;" · Start ","")&amp;IFERROR("● "&amp;INDEX('Release Calendar'!$B$5:$B$504,MATCH(C8,'Release Calendar'!$J$5:$J$504,0))&amp;" · Target ",""))</f>
        <v/>
      </c>
      <c r="D9" s="40" t="str">
        <f ca="1">IF(D8="","",IFERROR("● "&amp;INDEX('Release Calendar'!$B$5:$B$504,MATCH(D8,'Release Calendar'!$I$5:$I$504,0))&amp;" · Start ","")&amp;IFERROR("● "&amp;INDEX('Release Calendar'!$B$5:$B$504,MATCH(D8,'Release Calendar'!$J$5:$J$504,0))&amp;" · Target ",""))</f>
        <v xml:space="preserve">● Tamasha IP list update · Start ● Tamasha IP list update · Target </v>
      </c>
      <c r="E9" s="40" t="str">
        <f ca="1">IF(E8="","",IFERROR("● "&amp;INDEX('Release Calendar'!$B$5:$B$504,MATCH(E8,'Release Calendar'!$I$5:$I$504,0))&amp;" · Start ","")&amp;IFERROR("● "&amp;INDEX('Release Calendar'!$B$5:$B$504,MATCH(E8,'Release Calendar'!$J$5:$J$504,0))&amp;" · Target ",""))</f>
        <v/>
      </c>
      <c r="F9" s="40" t="str">
        <f ca="1">IF(F8="","",IFERROR("● "&amp;INDEX('Release Calendar'!$B$5:$B$504,MATCH(F8,'Release Calendar'!$I$5:$I$504,0))&amp;" · Start ","")&amp;IFERROR("● "&amp;INDEX('Release Calendar'!$B$5:$B$504,MATCH(F8,'Release Calendar'!$J$5:$J$504,0))&amp;" · Target ",""))</f>
        <v/>
      </c>
      <c r="G9" s="39" t="str">
        <f ca="1">IF(G8="","",IFERROR("● "&amp;INDEX('Release Calendar'!$B$5:$B$504,MATCH(G8,'Release Calendar'!$I$5:$I$504,0))&amp;" · Start ","")&amp;IFERROR("● "&amp;INDEX('Release Calendar'!$B$5:$B$504,MATCH(G8,'Release Calendar'!$J$5:$J$504,0))&amp;" · Target ",""))</f>
        <v/>
      </c>
    </row>
    <row r="10" spans="1:11" ht="20.100000000000001" customHeight="1">
      <c r="A10" s="37">
        <f ca="1">IF(AND((2*7+0-($J$4-1)+1)&gt;=1,(2*7+0-($J$4-1)+1)&lt;=$K$4),$I$4+(2*7+0-($J$4-1)+1)-1,"")</f>
        <v>46306</v>
      </c>
      <c r="B10" s="38">
        <f ca="1">IF(AND((2*7+1-($J$4-1)+1)&gt;=1,(2*7+1-($J$4-1)+1)&lt;=$K$4),$I$4+(2*7+1-($J$4-1)+1)-1,"")</f>
        <v>46307</v>
      </c>
      <c r="C10" s="38">
        <f ca="1">IF(AND((2*7+2-($J$4-1)+1)&gt;=1,(2*7+2-($J$4-1)+1)&lt;=$K$4),$I$4+(2*7+2-($J$4-1)+1)-1,"")</f>
        <v>46308</v>
      </c>
      <c r="D10" s="38">
        <f ca="1">IF(AND((2*7+3-($J$4-1)+1)&gt;=1,(2*7+3-($J$4-1)+1)&lt;=$K$4),$I$4+(2*7+3-($J$4-1)+1)-1,"")</f>
        <v>46309</v>
      </c>
      <c r="E10" s="38">
        <f ca="1">IF(AND((2*7+4-($J$4-1)+1)&gt;=1,(2*7+4-($J$4-1)+1)&lt;=$K$4),$I$4+(2*7+4-($J$4-1)+1)-1,"")</f>
        <v>46310</v>
      </c>
      <c r="F10" s="38">
        <f ca="1">IF(AND((2*7+5-($J$4-1)+1)&gt;=1,(2*7+5-($J$4-1)+1)&lt;=$K$4),$I$4+(2*7+5-($J$4-1)+1)-1,"")</f>
        <v>46311</v>
      </c>
      <c r="G10" s="37">
        <f ca="1">IF(AND((2*7+6-($J$4-1)+1)&gt;=1,(2*7+6-($J$4-1)+1)&lt;=$K$4),$I$4+(2*7+6-($J$4-1)+1)-1,"")</f>
        <v>46312</v>
      </c>
    </row>
    <row r="11" spans="1:11" ht="62.1" customHeight="1">
      <c r="A11" s="39" t="str">
        <f ca="1">IF(A10="","",IFERROR("● "&amp;INDEX('Release Calendar'!$B$5:$B$504,MATCH(A10,'Release Calendar'!$I$5:$I$504,0))&amp;" · Start ","")&amp;IFERROR("● "&amp;INDEX('Release Calendar'!$B$5:$B$504,MATCH(A10,'Release Calendar'!$J$5:$J$504,0))&amp;" · Target ",""))</f>
        <v/>
      </c>
      <c r="B11" s="40" t="str">
        <f ca="1">IF(B10="","",IFERROR("● "&amp;INDEX('Release Calendar'!$B$5:$B$504,MATCH(B10,'Release Calendar'!$I$5:$I$504,0))&amp;" · Start ","")&amp;IFERROR("● "&amp;INDEX('Release Calendar'!$B$5:$B$504,MATCH(B10,'Release Calendar'!$J$5:$J$504,0))&amp;" · Target ",""))</f>
        <v xml:space="preserve">● DFS Lifecycle new columns addition · Start ● DFS Lifecycle new columns addition · Target </v>
      </c>
      <c r="C11" s="40" t="str">
        <f ca="1">IF(C10="","",IFERROR("● "&amp;INDEX('Release Calendar'!$B$5:$B$504,MATCH(C10,'Release Calendar'!$I$5:$I$504,0))&amp;" · Start ","")&amp;IFERROR("● "&amp;INDEX('Release Calendar'!$B$5:$B$504,MATCH(C10,'Release Calendar'!$J$5:$J$504,0))&amp;" · Target ",""))</f>
        <v xml:space="preserve">● b2c sales hotfix · Start ● b2c sales hotfix · Target </v>
      </c>
      <c r="D11" s="40" t="str">
        <f ca="1">IF(D10="","",IFERROR("● "&amp;INDEX('Release Calendar'!$B$5:$B$504,MATCH(D10,'Release Calendar'!$I$5:$I$504,0))&amp;" · Start ","")&amp;IFERROR("● "&amp;INDEX('Release Calendar'!$B$5:$B$504,MATCH(D10,'Release Calendar'!$J$5:$J$504,0))&amp;" · Target ",""))</f>
        <v/>
      </c>
      <c r="E11" s="40" t="str">
        <f ca="1">IF(E10="","",IFERROR("● "&amp;INDEX('Release Calendar'!$B$5:$B$504,MATCH(E10,'Release Calendar'!$I$5:$I$504,0))&amp;" · Start ","")&amp;IFERROR("● "&amp;INDEX('Release Calendar'!$B$5:$B$504,MATCH(E10,'Release Calendar'!$J$5:$J$504,0))&amp;" · Target ",""))</f>
        <v/>
      </c>
      <c r="F11" s="40" t="str">
        <f ca="1">IF(F10="","",IFERROR("● "&amp;INDEX('Release Calendar'!$B$5:$B$504,MATCH(F10,'Release Calendar'!$I$5:$I$504,0))&amp;" · Start ","")&amp;IFERROR("● "&amp;INDEX('Release Calendar'!$B$5:$B$504,MATCH(F10,'Release Calendar'!$J$5:$J$504,0))&amp;" · Target ",""))</f>
        <v/>
      </c>
      <c r="G11" s="39" t="str">
        <f ca="1">IF(G10="","",IFERROR("● "&amp;INDEX('Release Calendar'!$B$5:$B$504,MATCH(G10,'Release Calendar'!$I$5:$I$504,0))&amp;" · Start ","")&amp;IFERROR("● "&amp;INDEX('Release Calendar'!$B$5:$B$504,MATCH(G10,'Release Calendar'!$J$5:$J$504,0))&amp;" · Target ",""))</f>
        <v/>
      </c>
    </row>
    <row r="12" spans="1:11" ht="20.100000000000001" customHeight="1">
      <c r="A12" s="37">
        <f ca="1">IF(AND((3*7+0-($J$4-1)+1)&gt;=1,(3*7+0-($J$4-1)+1)&lt;=$K$4),$I$4+(3*7+0-($J$4-1)+1)-1,"")</f>
        <v>46313</v>
      </c>
      <c r="B12" s="38">
        <f ca="1">IF(AND((3*7+1-($J$4-1)+1)&gt;=1,(3*7+1-($J$4-1)+1)&lt;=$K$4),$I$4+(3*7+1-($J$4-1)+1)-1,"")</f>
        <v>46314</v>
      </c>
      <c r="C12" s="38">
        <f ca="1">IF(AND((3*7+2-($J$4-1)+1)&gt;=1,(3*7+2-($J$4-1)+1)&lt;=$K$4),$I$4+(3*7+2-($J$4-1)+1)-1,"")</f>
        <v>46315</v>
      </c>
      <c r="D12" s="38">
        <f ca="1">IF(AND((3*7+3-($J$4-1)+1)&gt;=1,(3*7+3-($J$4-1)+1)&lt;=$K$4),$I$4+(3*7+3-($J$4-1)+1)-1,"")</f>
        <v>46316</v>
      </c>
      <c r="E12" s="38">
        <f ca="1">IF(AND((3*7+4-($J$4-1)+1)&gt;=1,(3*7+4-($J$4-1)+1)&lt;=$K$4),$I$4+(3*7+4-($J$4-1)+1)-1,"")</f>
        <v>46317</v>
      </c>
      <c r="F12" s="38">
        <f ca="1">IF(AND((3*7+5-($J$4-1)+1)&gt;=1,(3*7+5-($J$4-1)+1)&lt;=$K$4),$I$4+(3*7+5-($J$4-1)+1)-1,"")</f>
        <v>46318</v>
      </c>
      <c r="G12" s="37">
        <f ca="1">IF(AND((3*7+6-($J$4-1)+1)&gt;=1,(3*7+6-($J$4-1)+1)&lt;=$K$4),$I$4+(3*7+6-($J$4-1)+1)-1,"")</f>
        <v>46319</v>
      </c>
    </row>
    <row r="13" spans="1:11" ht="62.1" customHeight="1">
      <c r="A13" s="39" t="str">
        <f ca="1">IF(A12="","",IFERROR("● "&amp;INDEX('Release Calendar'!$B$5:$B$504,MATCH(A12,'Release Calendar'!$I$5:$I$504,0))&amp;" · Start ","")&amp;IFERROR("● "&amp;INDEX('Release Calendar'!$B$5:$B$504,MATCH(A12,'Release Calendar'!$J$5:$J$504,0))&amp;" · Target ",""))</f>
        <v/>
      </c>
      <c r="B13" s="40" t="str">
        <f ca="1">IF(B12="","",IFERROR("● "&amp;INDEX('Release Calendar'!$B$5:$B$504,MATCH(B12,'Release Calendar'!$I$5:$I$504,0))&amp;" · Start ","")&amp;IFERROR("● "&amp;INDEX('Release Calendar'!$B$5:$B$504,MATCH(B12,'Release Calendar'!$J$5:$J$504,0))&amp;" · Target ",""))</f>
        <v/>
      </c>
      <c r="C13" s="40" t="str">
        <f ca="1">IF(C12="","",IFERROR("● "&amp;INDEX('Release Calendar'!$B$5:$B$504,MATCH(C12,'Release Calendar'!$I$5:$I$504,0))&amp;" · Start ","")&amp;IFERROR("● "&amp;INDEX('Release Calendar'!$B$5:$B$504,MATCH(C12,'Release Calendar'!$J$5:$J$504,0))&amp;" · Target ",""))</f>
        <v/>
      </c>
      <c r="D13" s="40" t="str">
        <f ca="1">IF(D12="","",IFERROR("● "&amp;INDEX('Release Calendar'!$B$5:$B$504,MATCH(D12,'Release Calendar'!$I$5:$I$504,0))&amp;" · Start ","")&amp;IFERROR("● "&amp;INDEX('Release Calendar'!$B$5:$B$504,MATCH(D12,'Release Calendar'!$J$5:$J$504,0))&amp;" · Target ",""))</f>
        <v/>
      </c>
      <c r="E13" s="40" t="str">
        <f ca="1">IF(E12="","",IFERROR("● "&amp;INDEX('Release Calendar'!$B$5:$B$504,MATCH(E12,'Release Calendar'!$I$5:$I$504,0))&amp;" · Start ","")&amp;IFERROR("● "&amp;INDEX('Release Calendar'!$B$5:$B$504,MATCH(E12,'Release Calendar'!$J$5:$J$504,0))&amp;" · Target ",""))</f>
        <v/>
      </c>
      <c r="F13" s="40" t="str">
        <f ca="1">IF(F12="","",IFERROR("● "&amp;INDEX('Release Calendar'!$B$5:$B$504,MATCH(F12,'Release Calendar'!$I$5:$I$504,0))&amp;" · Start ","")&amp;IFERROR("● "&amp;INDEX('Release Calendar'!$B$5:$B$504,MATCH(F12,'Release Calendar'!$J$5:$J$504,0))&amp;" · Target ",""))</f>
        <v/>
      </c>
      <c r="G13" s="39" t="str">
        <f ca="1">IF(G12="","",IFERROR("● "&amp;INDEX('Release Calendar'!$B$5:$B$504,MATCH(G12,'Release Calendar'!$I$5:$I$504,0))&amp;" · Start ","")&amp;IFERROR("● "&amp;INDEX('Release Calendar'!$B$5:$B$504,MATCH(G12,'Release Calendar'!$J$5:$J$504,0))&amp;" · Target ",""))</f>
        <v/>
      </c>
    </row>
    <row r="14" spans="1:11" ht="20.100000000000001" customHeight="1">
      <c r="A14" s="37">
        <f ca="1">IF(AND((4*7+0-($J$4-1)+1)&gt;=1,(4*7+0-($J$4-1)+1)&lt;=$K$4),$I$4+(4*7+0-($J$4-1)+1)-1,"")</f>
        <v>46320</v>
      </c>
      <c r="B14" s="38">
        <f ca="1">IF(AND((4*7+1-($J$4-1)+1)&gt;=1,(4*7+1-($J$4-1)+1)&lt;=$K$4),$I$4+(4*7+1-($J$4-1)+1)-1,"")</f>
        <v>46321</v>
      </c>
      <c r="C14" s="38">
        <f ca="1">IF(AND((4*7+2-($J$4-1)+1)&gt;=1,(4*7+2-($J$4-1)+1)&lt;=$K$4),$I$4+(4*7+2-($J$4-1)+1)-1,"")</f>
        <v>46322</v>
      </c>
      <c r="D14" s="38">
        <f ca="1">IF(AND((4*7+3-($J$4-1)+1)&gt;=1,(4*7+3-($J$4-1)+1)&lt;=$K$4),$I$4+(4*7+3-($J$4-1)+1)-1,"")</f>
        <v>46323</v>
      </c>
      <c r="E14" s="38">
        <f ca="1">IF(AND((4*7+4-($J$4-1)+1)&gt;=1,(4*7+4-($J$4-1)+1)&lt;=$K$4),$I$4+(4*7+4-($J$4-1)+1)-1,"")</f>
        <v>46324</v>
      </c>
      <c r="F14" s="38">
        <f ca="1">IF(AND((4*7+5-($J$4-1)+1)&gt;=1,(4*7+5-($J$4-1)+1)&lt;=$K$4),$I$4+(4*7+5-($J$4-1)+1)-1,"")</f>
        <v>46325</v>
      </c>
      <c r="G14" s="37">
        <f ca="1">IF(AND((4*7+6-($J$4-1)+1)&gt;=1,(4*7+6-($J$4-1)+1)&lt;=$K$4),$I$4+(4*7+6-($J$4-1)+1)-1,"")</f>
        <v>46326</v>
      </c>
    </row>
    <row r="15" spans="1:11" ht="62.1" customHeight="1">
      <c r="A15" s="39" t="str">
        <f ca="1">IF(A14="","",IFERROR("● "&amp;INDEX('Release Calendar'!$B$5:$B$504,MATCH(A14,'Release Calendar'!$I$5:$I$504,0))&amp;" · Start ","")&amp;IFERROR("● "&amp;INDEX('Release Calendar'!$B$5:$B$504,MATCH(A14,'Release Calendar'!$J$5:$J$504,0))&amp;" · Target ",""))</f>
        <v/>
      </c>
      <c r="B15" s="40" t="str">
        <f ca="1">IF(B14="","",IFERROR("● "&amp;INDEX('Release Calendar'!$B$5:$B$504,MATCH(B14,'Release Calendar'!$I$5:$I$504,0))&amp;" · Start ","")&amp;IFERROR("● "&amp;INDEX('Release Calendar'!$B$5:$B$504,MATCH(B14,'Release Calendar'!$J$5:$J$504,0))&amp;" · Target ",""))</f>
        <v/>
      </c>
      <c r="C15" s="40" t="str">
        <f ca="1">IF(C14="","",IFERROR("● "&amp;INDEX('Release Calendar'!$B$5:$B$504,MATCH(C14,'Release Calendar'!$I$5:$I$504,0))&amp;" · Start ","")&amp;IFERROR("● "&amp;INDEX('Release Calendar'!$B$5:$B$504,MATCH(C14,'Release Calendar'!$J$5:$J$504,0))&amp;" · Target ",""))</f>
        <v/>
      </c>
      <c r="D15" s="40" t="str">
        <f ca="1">IF(D14="","",IFERROR("● "&amp;INDEX('Release Calendar'!$B$5:$B$504,MATCH(D14,'Release Calendar'!$I$5:$I$504,0))&amp;" · Start ","")&amp;IFERROR("● "&amp;INDEX('Release Calendar'!$B$5:$B$504,MATCH(D14,'Release Calendar'!$J$5:$J$504,0))&amp;" · Target ",""))</f>
        <v/>
      </c>
      <c r="E15" s="40" t="str">
        <f ca="1">IF(E14="","",IFERROR("● "&amp;INDEX('Release Calendar'!$B$5:$B$504,MATCH(E14,'Release Calendar'!$I$5:$I$504,0))&amp;" · Start ","")&amp;IFERROR("● "&amp;INDEX('Release Calendar'!$B$5:$B$504,MATCH(E14,'Release Calendar'!$J$5:$J$504,0))&amp;" · Target ",""))</f>
        <v/>
      </c>
      <c r="F15" s="40" t="str">
        <f ca="1">IF(F14="","",IFERROR("● "&amp;INDEX('Release Calendar'!$B$5:$B$504,MATCH(F14,'Release Calendar'!$I$5:$I$504,0))&amp;" · Start ","")&amp;IFERROR("● "&amp;INDEX('Release Calendar'!$B$5:$B$504,MATCH(F14,'Release Calendar'!$J$5:$J$504,0))&amp;" · Target ",""))</f>
        <v/>
      </c>
      <c r="G15" s="39" t="str">
        <f ca="1">IF(G14="","",IFERROR("● "&amp;INDEX('Release Calendar'!$B$5:$B$504,MATCH(G14,'Release Calendar'!$I$5:$I$504,0))&amp;" · Start ","")&amp;IFERROR("● "&amp;INDEX('Release Calendar'!$B$5:$B$504,MATCH(G14,'Release Calendar'!$J$5:$J$504,0))&amp;" · Target ",""))</f>
        <v/>
      </c>
    </row>
    <row r="16" spans="1:11" ht="20.100000000000001" customHeight="1">
      <c r="A16" s="37" t="str">
        <f ca="1">IF(AND((5*7+0-($J$4-1)+1)&gt;=1,(5*7+0-($J$4-1)+1)&lt;=$K$4),$I$4+(5*7+0-($J$4-1)+1)-1,"")</f>
        <v/>
      </c>
      <c r="B16" s="38" t="str">
        <f ca="1">IF(AND((5*7+1-($J$4-1)+1)&gt;=1,(5*7+1-($J$4-1)+1)&lt;=$K$4),$I$4+(5*7+1-($J$4-1)+1)-1,"")</f>
        <v/>
      </c>
      <c r="C16" s="38" t="str">
        <f ca="1">IF(AND((5*7+2-($J$4-1)+1)&gt;=1,(5*7+2-($J$4-1)+1)&lt;=$K$4),$I$4+(5*7+2-($J$4-1)+1)-1,"")</f>
        <v/>
      </c>
      <c r="D16" s="38" t="str">
        <f ca="1">IF(AND((5*7+3-($J$4-1)+1)&gt;=1,(5*7+3-($J$4-1)+1)&lt;=$K$4),$I$4+(5*7+3-($J$4-1)+1)-1,"")</f>
        <v/>
      </c>
      <c r="E16" s="38" t="str">
        <f ca="1">IF(AND((5*7+4-($J$4-1)+1)&gt;=1,(5*7+4-($J$4-1)+1)&lt;=$K$4),$I$4+(5*7+4-($J$4-1)+1)-1,"")</f>
        <v/>
      </c>
      <c r="F16" s="38" t="str">
        <f ca="1">IF(AND((5*7+5-($J$4-1)+1)&gt;=1,(5*7+5-($J$4-1)+1)&lt;=$K$4),$I$4+(5*7+5-($J$4-1)+1)-1,"")</f>
        <v/>
      </c>
      <c r="G16" s="37" t="str">
        <f ca="1">IF(AND((5*7+6-($J$4-1)+1)&gt;=1,(5*7+6-($J$4-1)+1)&lt;=$K$4),$I$4+(5*7+6-($J$4-1)+1)-1,"")</f>
        <v/>
      </c>
    </row>
    <row r="17" spans="1:7" ht="62.1" customHeight="1">
      <c r="A17" s="39" t="str">
        <f ca="1">IF(A16="","",IFERROR("● "&amp;INDEX('Release Calendar'!$B$5:$B$504,MATCH(A16,'Release Calendar'!$I$5:$I$504,0))&amp;" · Start ","")&amp;IFERROR("● "&amp;INDEX('Release Calendar'!$B$5:$B$504,MATCH(A16,'Release Calendar'!$J$5:$J$504,0))&amp;" · Target ",""))</f>
        <v/>
      </c>
      <c r="B17" s="40" t="str">
        <f ca="1">IF(B16="","",IFERROR("● "&amp;INDEX('Release Calendar'!$B$5:$B$504,MATCH(B16,'Release Calendar'!$I$5:$I$504,0))&amp;" · Start ","")&amp;IFERROR("● "&amp;INDEX('Release Calendar'!$B$5:$B$504,MATCH(B16,'Release Calendar'!$J$5:$J$504,0))&amp;" · Target ",""))</f>
        <v/>
      </c>
      <c r="C17" s="40" t="str">
        <f ca="1">IF(C16="","",IFERROR("● "&amp;INDEX('Release Calendar'!$B$5:$B$504,MATCH(C16,'Release Calendar'!$I$5:$I$504,0))&amp;" · Start ","")&amp;IFERROR("● "&amp;INDEX('Release Calendar'!$B$5:$B$504,MATCH(C16,'Release Calendar'!$J$5:$J$504,0))&amp;" · Target ",""))</f>
        <v/>
      </c>
      <c r="D17" s="40" t="str">
        <f ca="1">IF(D16="","",IFERROR("● "&amp;INDEX('Release Calendar'!$B$5:$B$504,MATCH(D16,'Release Calendar'!$I$5:$I$504,0))&amp;" · Start ","")&amp;IFERROR("● "&amp;INDEX('Release Calendar'!$B$5:$B$504,MATCH(D16,'Release Calendar'!$J$5:$J$504,0))&amp;" · Target ",""))</f>
        <v/>
      </c>
      <c r="E17" s="40" t="str">
        <f ca="1">IF(E16="","",IFERROR("● "&amp;INDEX('Release Calendar'!$B$5:$B$504,MATCH(E16,'Release Calendar'!$I$5:$I$504,0))&amp;" · Start ","")&amp;IFERROR("● "&amp;INDEX('Release Calendar'!$B$5:$B$504,MATCH(E16,'Release Calendar'!$J$5:$J$504,0))&amp;" · Target ",""))</f>
        <v/>
      </c>
      <c r="F17" s="40" t="str">
        <f ca="1">IF(F16="","",IFERROR("● "&amp;INDEX('Release Calendar'!$B$5:$B$504,MATCH(F16,'Release Calendar'!$I$5:$I$504,0))&amp;" · Start ","")&amp;IFERROR("● "&amp;INDEX('Release Calendar'!$B$5:$B$504,MATCH(F16,'Release Calendar'!$J$5:$J$504,0))&amp;" · Target ",""))</f>
        <v/>
      </c>
      <c r="G17" s="39" t="str">
        <f ca="1">IF(G16="","",IFERROR("● "&amp;INDEX('Release Calendar'!$B$5:$B$504,MATCH(G16,'Release Calendar'!$I$5:$I$504,0))&amp;" · Start ","")&amp;IFERROR("● "&amp;INDEX('Release Calendar'!$B$5:$B$504,MATCH(G16,'Release Calendar'!$J$5:$J$504,0))&amp;" · Target ",""))</f>
        <v/>
      </c>
    </row>
    <row r="19" spans="1:7" ht="20.100000000000001" customHeight="1">
      <c r="A19" s="142" t="s">
        <v>186</v>
      </c>
      <c r="B19" s="122"/>
      <c r="C19" s="122"/>
      <c r="D19" s="122"/>
      <c r="E19" s="122"/>
      <c r="F19" s="122"/>
      <c r="G19" s="122"/>
    </row>
    <row r="20" spans="1:7" ht="21.95" customHeight="1">
      <c r="A20" s="71" t="s">
        <v>19</v>
      </c>
      <c r="B20" s="72" t="s">
        <v>21</v>
      </c>
      <c r="C20" s="73" t="s">
        <v>23</v>
      </c>
      <c r="D20" s="74" t="s">
        <v>25</v>
      </c>
      <c r="E20" s="75" t="s">
        <v>27</v>
      </c>
    </row>
    <row r="22" spans="1:7" ht="15" customHeight="1">
      <c r="A22" s="143" t="s">
        <v>187</v>
      </c>
      <c r="B22" s="122"/>
      <c r="C22" s="122"/>
      <c r="D22" s="122"/>
      <c r="E22" s="122"/>
      <c r="F22" s="122"/>
      <c r="G22" s="122"/>
    </row>
  </sheetData>
  <sheetProtection password="B04E" sheet="1"/>
  <mergeCells count="5">
    <mergeCell ref="A1:G2"/>
    <mergeCell ref="A3:G3"/>
    <mergeCell ref="A22:G22"/>
    <mergeCell ref="E4:G4"/>
    <mergeCell ref="A19:G19"/>
  </mergeCells>
  <conditionalFormatting sqref="A6:G6 A8:G8 A10:G10 A12:G12 A14:G14 A16:G16">
    <cfRule type="expression" dxfId="12" priority="2">
      <formula>A6=TODAY()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D6A4F"/>
  </sheetPr>
  <dimension ref="A1:BB70"/>
  <sheetViews>
    <sheetView showGridLines="0" topLeftCell="A49" zoomScale="84" zoomScaleNormal="100" workbookViewId="0">
      <selection sqref="A1:X2"/>
    </sheetView>
  </sheetViews>
  <sheetFormatPr defaultColWidth="8.7109375" defaultRowHeight="15"/>
  <cols>
    <col min="1" max="1" width="2" customWidth="1"/>
    <col min="2" max="8" width="13.42578125" customWidth="1"/>
    <col min="9" max="9" width="2.42578125" customWidth="1"/>
    <col min="10" max="16" width="13.42578125" customWidth="1"/>
    <col min="17" max="17" width="2.42578125" customWidth="1"/>
    <col min="18" max="24" width="13.42578125" customWidth="1"/>
    <col min="25" max="25" width="2.28515625" customWidth="1"/>
    <col min="52" max="54" width="13" hidden="1" customWidth="1"/>
  </cols>
  <sheetData>
    <row r="1" spans="1:54" ht="21.95" customHeight="1">
      <c r="A1" s="114" t="s">
        <v>188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AZ1" s="8">
        <f>DATE($B$4,1,1)</f>
        <v>46023</v>
      </c>
      <c r="BA1">
        <f>WEEKDAY(AZ1,1)</f>
        <v>5</v>
      </c>
      <c r="BB1">
        <f>DAY(EOMONTH(AZ1,0))</f>
        <v>31</v>
      </c>
    </row>
    <row r="2" spans="1:54" ht="18" customHeight="1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AZ2" s="8">
        <f>DATE($B$4,2,1)</f>
        <v>46054</v>
      </c>
      <c r="BA2">
        <f>WEEKDAY(AZ2,1)</f>
        <v>1</v>
      </c>
      <c r="BB2">
        <f>DAY(EOMONTH(AZ2,0))</f>
        <v>28</v>
      </c>
    </row>
    <row r="3" spans="1:54" ht="20.100000000000001" customHeight="1">
      <c r="A3" s="115" t="s">
        <v>189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AZ3" s="8">
        <f>DATE($B$4,3,1)</f>
        <v>46082</v>
      </c>
      <c r="BA3">
        <f>WEEKDAY(AZ3,1)</f>
        <v>1</v>
      </c>
      <c r="BB3">
        <f>DAY(EOMONTH(AZ3,0))</f>
        <v>31</v>
      </c>
    </row>
    <row r="4" spans="1:54" ht="26.1" customHeight="1">
      <c r="A4" s="35"/>
      <c r="B4" s="41">
        <v>2026</v>
      </c>
      <c r="C4" s="47" t="s">
        <v>190</v>
      </c>
      <c r="AZ4" s="8">
        <f>DATE($B$4,4,1)</f>
        <v>46113</v>
      </c>
      <c r="BA4">
        <f>WEEKDAY(AZ4,1)</f>
        <v>4</v>
      </c>
      <c r="BB4">
        <f>DAY(EOMONTH(AZ4,0))</f>
        <v>30</v>
      </c>
    </row>
    <row r="5" spans="1:54" ht="15" customHeight="1">
      <c r="AZ5" s="8">
        <f>DATE($B$4,5,1)</f>
        <v>46143</v>
      </c>
      <c r="BA5">
        <f>WEEKDAY(AZ5,1)</f>
        <v>6</v>
      </c>
      <c r="BB5">
        <f>DAY(EOMONTH(AZ5,0))</f>
        <v>31</v>
      </c>
    </row>
    <row r="6" spans="1:54" ht="21.95" customHeight="1">
      <c r="B6" s="116" t="str">
        <f>TEXT(DATE($B$4,1,1),"mmmm")</f>
        <v>January</v>
      </c>
      <c r="C6" s="122"/>
      <c r="D6" s="122"/>
      <c r="E6" s="122"/>
      <c r="F6" s="122"/>
      <c r="G6" s="122"/>
      <c r="H6" s="122"/>
      <c r="J6" s="116" t="str">
        <f>TEXT(DATE($B$4,2,1),"mmmm")</f>
        <v>February</v>
      </c>
      <c r="K6" s="122"/>
      <c r="L6" s="122"/>
      <c r="M6" s="122"/>
      <c r="N6" s="122"/>
      <c r="O6" s="122"/>
      <c r="P6" s="122"/>
      <c r="R6" s="116" t="str">
        <f>TEXT(DATE($B$4,3,1),"mmmm")</f>
        <v>March</v>
      </c>
      <c r="S6" s="122"/>
      <c r="T6" s="122"/>
      <c r="U6" s="122"/>
      <c r="V6" s="122"/>
      <c r="W6" s="122"/>
      <c r="X6" s="122"/>
      <c r="AZ6" s="8">
        <f>DATE($B$4,6,1)</f>
        <v>46174</v>
      </c>
      <c r="BA6">
        <f>WEEKDAY(AZ6,1)</f>
        <v>2</v>
      </c>
      <c r="BB6">
        <f>DAY(EOMONTH(AZ6,0))</f>
        <v>30</v>
      </c>
    </row>
    <row r="7" spans="1:54" ht="15" customHeight="1">
      <c r="B7" s="42" t="s">
        <v>179</v>
      </c>
      <c r="C7" s="42" t="s">
        <v>180</v>
      </c>
      <c r="D7" s="42" t="s">
        <v>181</v>
      </c>
      <c r="E7" s="42" t="s">
        <v>182</v>
      </c>
      <c r="F7" s="42" t="s">
        <v>183</v>
      </c>
      <c r="G7" s="42" t="s">
        <v>184</v>
      </c>
      <c r="H7" s="42" t="s">
        <v>185</v>
      </c>
      <c r="J7" s="42" t="s">
        <v>179</v>
      </c>
      <c r="K7" s="42" t="s">
        <v>180</v>
      </c>
      <c r="L7" s="42" t="s">
        <v>181</v>
      </c>
      <c r="M7" s="42" t="s">
        <v>182</v>
      </c>
      <c r="N7" s="42" t="s">
        <v>183</v>
      </c>
      <c r="O7" s="42" t="s">
        <v>184</v>
      </c>
      <c r="P7" s="42" t="s">
        <v>185</v>
      </c>
      <c r="R7" s="42" t="s">
        <v>179</v>
      </c>
      <c r="S7" s="42" t="s">
        <v>180</v>
      </c>
      <c r="T7" s="42" t="s">
        <v>181</v>
      </c>
      <c r="U7" s="42" t="s">
        <v>182</v>
      </c>
      <c r="V7" s="42" t="s">
        <v>183</v>
      </c>
      <c r="W7" s="42" t="s">
        <v>184</v>
      </c>
      <c r="X7" s="42" t="s">
        <v>185</v>
      </c>
      <c r="AZ7" s="8">
        <f>DATE($B$4,7,1)</f>
        <v>46204</v>
      </c>
      <c r="BA7">
        <f>WEEKDAY(AZ7,1)</f>
        <v>4</v>
      </c>
      <c r="BB7">
        <f>DAY(EOMONTH(AZ7,0))</f>
        <v>31</v>
      </c>
    </row>
    <row r="8" spans="1:54" ht="12.95" customHeight="1">
      <c r="B8" s="43" t="str">
        <f>IF(AND((0*7+0-($BA$1-1)+1)&gt;=1,(0*7+0-($BA$1-1)+1)&lt;=$BB$1),$AZ$1+(0*7+0-($BA$1-1)+1)-1,"")</f>
        <v/>
      </c>
      <c r="C8" s="44" t="str">
        <f>IF(AND((0*7+1-($BA$1-1)+1)&gt;=1,(0*7+1-($BA$1-1)+1)&lt;=$BB$1),$AZ$1+(0*7+1-($BA$1-1)+1)-1,"")</f>
        <v/>
      </c>
      <c r="D8" s="44" t="str">
        <f>IF(AND((0*7+2-($BA$1-1)+1)&gt;=1,(0*7+2-($BA$1-1)+1)&lt;=$BB$1),$AZ$1+(0*7+2-($BA$1-1)+1)-1,"")</f>
        <v/>
      </c>
      <c r="E8" s="44" t="str">
        <f>IF(AND((0*7+3-($BA$1-1)+1)&gt;=1,(0*7+3-($BA$1-1)+1)&lt;=$BB$1),$AZ$1+(0*7+3-($BA$1-1)+1)-1,"")</f>
        <v/>
      </c>
      <c r="F8" s="44">
        <f>IF(AND((0*7+4-($BA$1-1)+1)&gt;=1,(0*7+4-($BA$1-1)+1)&lt;=$BB$1),$AZ$1+(0*7+4-($BA$1-1)+1)-1,"")</f>
        <v>46023</v>
      </c>
      <c r="G8" s="44">
        <f>IF(AND((0*7+5-($BA$1-1)+1)&gt;=1,(0*7+5-($BA$1-1)+1)&lt;=$BB$1),$AZ$1+(0*7+5-($BA$1-1)+1)-1,"")</f>
        <v>46024</v>
      </c>
      <c r="H8" s="43">
        <f>IF(AND((0*7+6-($BA$1-1)+1)&gt;=1,(0*7+6-($BA$1-1)+1)&lt;=$BB$1),$AZ$1+(0*7+6-($BA$1-1)+1)-1,"")</f>
        <v>46025</v>
      </c>
      <c r="J8" s="43">
        <f>IF(AND((0*7+0-($BA$2-1)+1)&gt;=1,(0*7+0-($BA$2-1)+1)&lt;=$BB$2),$AZ$2+(0*7+0-($BA$2-1)+1)-1,"")</f>
        <v>46054</v>
      </c>
      <c r="K8" s="44">
        <f>IF(AND((0*7+1-($BA$2-1)+1)&gt;=1,(0*7+1-($BA$2-1)+1)&lt;=$BB$2),$AZ$2+(0*7+1-($BA$2-1)+1)-1,"")</f>
        <v>46055</v>
      </c>
      <c r="L8" s="44">
        <f>IF(AND((0*7+2-($BA$2-1)+1)&gt;=1,(0*7+2-($BA$2-1)+1)&lt;=$BB$2),$AZ$2+(0*7+2-($BA$2-1)+1)-1,"")</f>
        <v>46056</v>
      </c>
      <c r="M8" s="44">
        <f>IF(AND((0*7+3-($BA$2-1)+1)&gt;=1,(0*7+3-($BA$2-1)+1)&lt;=$BB$2),$AZ$2+(0*7+3-($BA$2-1)+1)-1,"")</f>
        <v>46057</v>
      </c>
      <c r="N8" s="44">
        <f>IF(AND((0*7+4-($BA$2-1)+1)&gt;=1,(0*7+4-($BA$2-1)+1)&lt;=$BB$2),$AZ$2+(0*7+4-($BA$2-1)+1)-1,"")</f>
        <v>46058</v>
      </c>
      <c r="O8" s="44">
        <f>IF(AND((0*7+5-($BA$2-1)+1)&gt;=1,(0*7+5-($BA$2-1)+1)&lt;=$BB$2),$AZ$2+(0*7+5-($BA$2-1)+1)-1,"")</f>
        <v>46059</v>
      </c>
      <c r="P8" s="43">
        <f>IF(AND((0*7+6-($BA$2-1)+1)&gt;=1,(0*7+6-($BA$2-1)+1)&lt;=$BB$2),$AZ$2+(0*7+6-($BA$2-1)+1)-1,"")</f>
        <v>46060</v>
      </c>
      <c r="R8" s="43">
        <f>IF(AND((0*7+0-($BA$3-1)+1)&gt;=1,(0*7+0-($BA$3-1)+1)&lt;=$BB$3),$AZ$3+(0*7+0-($BA$3-1)+1)-1,"")</f>
        <v>46082</v>
      </c>
      <c r="S8" s="44">
        <f>IF(AND((0*7+1-($BA$3-1)+1)&gt;=1,(0*7+1-($BA$3-1)+1)&lt;=$BB$3),$AZ$3+(0*7+1-($BA$3-1)+1)-1,"")</f>
        <v>46083</v>
      </c>
      <c r="T8" s="44">
        <f>IF(AND((0*7+2-($BA$3-1)+1)&gt;=1,(0*7+2-($BA$3-1)+1)&lt;=$BB$3),$AZ$3+(0*7+2-($BA$3-1)+1)-1,"")</f>
        <v>46084</v>
      </c>
      <c r="U8" s="44">
        <f>IF(AND((0*7+3-($BA$3-1)+1)&gt;=1,(0*7+3-($BA$3-1)+1)&lt;=$BB$3),$AZ$3+(0*7+3-($BA$3-1)+1)-1,"")</f>
        <v>46085</v>
      </c>
      <c r="V8" s="44">
        <f>IF(AND((0*7+4-($BA$3-1)+1)&gt;=1,(0*7+4-($BA$3-1)+1)&lt;=$BB$3),$AZ$3+(0*7+4-($BA$3-1)+1)-1,"")</f>
        <v>46086</v>
      </c>
      <c r="W8" s="44">
        <f>IF(AND((0*7+5-($BA$3-1)+1)&gt;=1,(0*7+5-($BA$3-1)+1)&lt;=$BB$3),$AZ$3+(0*7+5-($BA$3-1)+1)-1,"")</f>
        <v>46087</v>
      </c>
      <c r="X8" s="43">
        <f>IF(AND((0*7+6-($BA$3-1)+1)&gt;=1,(0*7+6-($BA$3-1)+1)&lt;=$BB$3),$AZ$3+(0*7+6-($BA$3-1)+1)-1,"")</f>
        <v>46088</v>
      </c>
      <c r="AZ8" s="8">
        <f>DATE($B$4,8,1)</f>
        <v>46235</v>
      </c>
      <c r="BA8">
        <f>WEEKDAY(AZ8,1)</f>
        <v>7</v>
      </c>
      <c r="BB8">
        <f>DAY(EOMONTH(AZ8,0))</f>
        <v>31</v>
      </c>
    </row>
    <row r="9" spans="1:54" ht="27.95" customHeight="1">
      <c r="B9" s="45" t="str">
        <f>IF(B8="","",IFERROR("● "&amp;INDEX('Release Calendar'!$B$5:$B$504,MATCH(B8,'Release Calendar'!$I$5:$I$504,0))&amp;" · Start ","")&amp;IFERROR("● "&amp;INDEX('Release Calendar'!$B$5:$B$504,MATCH(B8,'Release Calendar'!$J$5:$J$504,0))&amp;" · Target ",""))</f>
        <v/>
      </c>
      <c r="C9" s="46" t="str">
        <f>IF(C8="","",IFERROR("● "&amp;INDEX('Release Calendar'!$B$5:$B$504,MATCH(C8,'Release Calendar'!$I$5:$I$504,0))&amp;" · Start ","")&amp;IFERROR("● "&amp;INDEX('Release Calendar'!$B$5:$B$504,MATCH(C8,'Release Calendar'!$J$5:$J$504,0))&amp;" · Target ",""))</f>
        <v/>
      </c>
      <c r="D9" s="46" t="str">
        <f>IF(D8="","",IFERROR("● "&amp;INDEX('Release Calendar'!$B$5:$B$504,MATCH(D8,'Release Calendar'!$I$5:$I$504,0))&amp;" · Start ","")&amp;IFERROR("● "&amp;INDEX('Release Calendar'!$B$5:$B$504,MATCH(D8,'Release Calendar'!$J$5:$J$504,0))&amp;" · Target ",""))</f>
        <v/>
      </c>
      <c r="E9" s="46" t="str">
        <f>IF(E8="","",IFERROR("● "&amp;INDEX('Release Calendar'!$B$5:$B$504,MATCH(E8,'Release Calendar'!$I$5:$I$504,0))&amp;" · Start ","")&amp;IFERROR("● "&amp;INDEX('Release Calendar'!$B$5:$B$504,MATCH(E8,'Release Calendar'!$J$5:$J$504,0))&amp;" · Target ",""))</f>
        <v/>
      </c>
      <c r="F9" s="46" t="str">
        <f>IF(F8="","",IFERROR("● "&amp;INDEX('Release Calendar'!$B$5:$B$504,MATCH(F8,'Release Calendar'!$I$5:$I$504,0))&amp;" · Start ","")&amp;IFERROR("● "&amp;INDEX('Release Calendar'!$B$5:$B$504,MATCH(F8,'Release Calendar'!$J$5:$J$504,0))&amp;" · Target ",""))</f>
        <v/>
      </c>
      <c r="G9" s="46" t="str">
        <f>IF(G8="","",IFERROR("● "&amp;INDEX('Release Calendar'!$B$5:$B$504,MATCH(G8,'Release Calendar'!$I$5:$I$504,0))&amp;" · Start ","")&amp;IFERROR("● "&amp;INDEX('Release Calendar'!$B$5:$B$504,MATCH(G8,'Release Calendar'!$J$5:$J$504,0))&amp;" · Target ",""))</f>
        <v/>
      </c>
      <c r="H9" s="45" t="str">
        <f>IF(H8="","",IFERROR("● "&amp;INDEX('Release Calendar'!$B$5:$B$504,MATCH(H8,'Release Calendar'!$I$5:$I$504,0))&amp;" · Start ","")&amp;IFERROR("● "&amp;INDEX('Release Calendar'!$B$5:$B$504,MATCH(H8,'Release Calendar'!$J$5:$J$504,0))&amp;" · Target ",""))</f>
        <v/>
      </c>
      <c r="J9" s="45" t="str">
        <f>IF(J8="","",IFERROR("● "&amp;INDEX('Release Calendar'!$B$5:$B$504,MATCH(J8,'Release Calendar'!$I$5:$I$504,0))&amp;" · Start ","")&amp;IFERROR("● "&amp;INDEX('Release Calendar'!$B$5:$B$504,MATCH(J8,'Release Calendar'!$J$5:$J$504,0))&amp;" · Target ",""))</f>
        <v/>
      </c>
      <c r="K9" s="46" t="str">
        <f>IF(K8="","",IFERROR("● "&amp;INDEX('Release Calendar'!$B$5:$B$504,MATCH(K8,'Release Calendar'!$I$5:$I$504,0))&amp;" · Start ","")&amp;IFERROR("● "&amp;INDEX('Release Calendar'!$B$5:$B$504,MATCH(K8,'Release Calendar'!$J$5:$J$504,0))&amp;" · Target ",""))</f>
        <v/>
      </c>
      <c r="L9" s="46" t="str">
        <f>IF(L8="","",IFERROR("● "&amp;INDEX('Release Calendar'!$B$5:$B$504,MATCH(L8,'Release Calendar'!$I$5:$I$504,0))&amp;" · Start ","")&amp;IFERROR("● "&amp;INDEX('Release Calendar'!$B$5:$B$504,MATCH(L8,'Release Calendar'!$J$5:$J$504,0))&amp;" · Target ",""))</f>
        <v/>
      </c>
      <c r="M9" s="46" t="str">
        <f>IF(M8="","",IFERROR("● "&amp;INDEX('Release Calendar'!$B$5:$B$504,MATCH(M8,'Release Calendar'!$I$5:$I$504,0))&amp;" · Start ","")&amp;IFERROR("● "&amp;INDEX('Release Calendar'!$B$5:$B$504,MATCH(M8,'Release Calendar'!$J$5:$J$504,0))&amp;" · Target ",""))</f>
        <v/>
      </c>
      <c r="N9" s="46" t="str">
        <f>IF(N8="","",IFERROR("● "&amp;INDEX('Release Calendar'!$B$5:$B$504,MATCH(N8,'Release Calendar'!$I$5:$I$504,0))&amp;" · Start ","")&amp;IFERROR("● "&amp;INDEX('Release Calendar'!$B$5:$B$504,MATCH(N8,'Release Calendar'!$J$5:$J$504,0))&amp;" · Target ",""))</f>
        <v/>
      </c>
      <c r="O9" s="46" t="str">
        <f>IF(O8="","",IFERROR("● "&amp;INDEX('Release Calendar'!$B$5:$B$504,MATCH(O8,'Release Calendar'!$I$5:$I$504,0))&amp;" · Start ","")&amp;IFERROR("● "&amp;INDEX('Release Calendar'!$B$5:$B$504,MATCH(O8,'Release Calendar'!$J$5:$J$504,0))&amp;" · Target ",""))</f>
        <v/>
      </c>
      <c r="P9" s="45" t="str">
        <f>IF(P8="","",IFERROR("● "&amp;INDEX('Release Calendar'!$B$5:$B$504,MATCH(P8,'Release Calendar'!$I$5:$I$504,0))&amp;" · Start ","")&amp;IFERROR("● "&amp;INDEX('Release Calendar'!$B$5:$B$504,MATCH(P8,'Release Calendar'!$J$5:$J$504,0))&amp;" · Target ",""))</f>
        <v/>
      </c>
      <c r="R9" s="45" t="str">
        <f>IF(R8="","",IFERROR("● "&amp;INDEX('Release Calendar'!$B$5:$B$504,MATCH(R8,'Release Calendar'!$I$5:$I$504,0))&amp;" · Start ","")&amp;IFERROR("● "&amp;INDEX('Release Calendar'!$B$5:$B$504,MATCH(R8,'Release Calendar'!$J$5:$J$504,0))&amp;" · Target ",""))</f>
        <v/>
      </c>
      <c r="S9" s="46" t="str">
        <f>IF(S8="","",IFERROR("● "&amp;INDEX('Release Calendar'!$B$5:$B$504,MATCH(S8,'Release Calendar'!$I$5:$I$504,0))&amp;" · Start ","")&amp;IFERROR("● "&amp;INDEX('Release Calendar'!$B$5:$B$504,MATCH(S8,'Release Calendar'!$J$5:$J$504,0))&amp;" · Target ",""))</f>
        <v/>
      </c>
      <c r="T9" s="46" t="str">
        <f>IF(T8="","",IFERROR("● "&amp;INDEX('Release Calendar'!$B$5:$B$504,MATCH(T8,'Release Calendar'!$I$5:$I$504,0))&amp;" · Start ","")&amp;IFERROR("● "&amp;INDEX('Release Calendar'!$B$5:$B$504,MATCH(T8,'Release Calendar'!$J$5:$J$504,0))&amp;" · Target ",""))</f>
        <v/>
      </c>
      <c r="U9" s="46" t="str">
        <f>IF(U8="","",IFERROR("● "&amp;INDEX('Release Calendar'!$B$5:$B$504,MATCH(U8,'Release Calendar'!$I$5:$I$504,0))&amp;" · Start ","")&amp;IFERROR("● "&amp;INDEX('Release Calendar'!$B$5:$B$504,MATCH(U8,'Release Calendar'!$J$5:$J$504,0))&amp;" · Target ",""))</f>
        <v/>
      </c>
      <c r="V9" s="46" t="str">
        <f>IF(V8="","",IFERROR("● "&amp;INDEX('Release Calendar'!$B$5:$B$504,MATCH(V8,'Release Calendar'!$I$5:$I$504,0))&amp;" · Start ","")&amp;IFERROR("● "&amp;INDEX('Release Calendar'!$B$5:$B$504,MATCH(V8,'Release Calendar'!$J$5:$J$504,0))&amp;" · Target ",""))</f>
        <v/>
      </c>
      <c r="W9" s="46" t="str">
        <f>IF(W8="","",IFERROR("● "&amp;INDEX('Release Calendar'!$B$5:$B$504,MATCH(W8,'Release Calendar'!$I$5:$I$504,0))&amp;" · Start ","")&amp;IFERROR("● "&amp;INDEX('Release Calendar'!$B$5:$B$504,MATCH(W8,'Release Calendar'!$J$5:$J$504,0))&amp;" · Target ",""))</f>
        <v/>
      </c>
      <c r="X9" s="45" t="str">
        <f>IF(X8="","",IFERROR("● "&amp;INDEX('Release Calendar'!$B$5:$B$504,MATCH(X8,'Release Calendar'!$I$5:$I$504,0))&amp;" · Start ","")&amp;IFERROR("● "&amp;INDEX('Release Calendar'!$B$5:$B$504,MATCH(X8,'Release Calendar'!$J$5:$J$504,0))&amp;" · Target ",""))</f>
        <v/>
      </c>
      <c r="AZ9" s="8">
        <f>DATE($B$4,9,1)</f>
        <v>46266</v>
      </c>
      <c r="BA9">
        <f>WEEKDAY(AZ9,1)</f>
        <v>3</v>
      </c>
      <c r="BB9">
        <f>DAY(EOMONTH(AZ9,0))</f>
        <v>30</v>
      </c>
    </row>
    <row r="10" spans="1:54" ht="12.95" customHeight="1">
      <c r="B10" s="43">
        <f>IF(AND((1*7+0-($BA$1-1)+1)&gt;=1,(1*7+0-($BA$1-1)+1)&lt;=$BB$1),$AZ$1+(1*7+0-($BA$1-1)+1)-1,"")</f>
        <v>46026</v>
      </c>
      <c r="C10" s="44">
        <f>IF(AND((1*7+1-($BA$1-1)+1)&gt;=1,(1*7+1-($BA$1-1)+1)&lt;=$BB$1),$AZ$1+(1*7+1-($BA$1-1)+1)-1,"")</f>
        <v>46027</v>
      </c>
      <c r="D10" s="44">
        <f>IF(AND((1*7+2-($BA$1-1)+1)&gt;=1,(1*7+2-($BA$1-1)+1)&lt;=$BB$1),$AZ$1+(1*7+2-($BA$1-1)+1)-1,"")</f>
        <v>46028</v>
      </c>
      <c r="E10" s="44">
        <f>IF(AND((1*7+3-($BA$1-1)+1)&gt;=1,(1*7+3-($BA$1-1)+1)&lt;=$BB$1),$AZ$1+(1*7+3-($BA$1-1)+1)-1,"")</f>
        <v>46029</v>
      </c>
      <c r="F10" s="44">
        <f>IF(AND((1*7+4-($BA$1-1)+1)&gt;=1,(1*7+4-($BA$1-1)+1)&lt;=$BB$1),$AZ$1+(1*7+4-($BA$1-1)+1)-1,"")</f>
        <v>46030</v>
      </c>
      <c r="G10" s="44">
        <f>IF(AND((1*7+5-($BA$1-1)+1)&gt;=1,(1*7+5-($BA$1-1)+1)&lt;=$BB$1),$AZ$1+(1*7+5-($BA$1-1)+1)-1,"")</f>
        <v>46031</v>
      </c>
      <c r="H10" s="43">
        <f>IF(AND((1*7+6-($BA$1-1)+1)&gt;=1,(1*7+6-($BA$1-1)+1)&lt;=$BB$1),$AZ$1+(1*7+6-($BA$1-1)+1)-1,"")</f>
        <v>46032</v>
      </c>
      <c r="J10" s="43">
        <f>IF(AND((1*7+0-($BA$2-1)+1)&gt;=1,(1*7+0-($BA$2-1)+1)&lt;=$BB$2),$AZ$2+(1*7+0-($BA$2-1)+1)-1,"")</f>
        <v>46061</v>
      </c>
      <c r="K10" s="44">
        <f>IF(AND((1*7+1-($BA$2-1)+1)&gt;=1,(1*7+1-($BA$2-1)+1)&lt;=$BB$2),$AZ$2+(1*7+1-($BA$2-1)+1)-1,"")</f>
        <v>46062</v>
      </c>
      <c r="L10" s="44">
        <f>IF(AND((1*7+2-($BA$2-1)+1)&gt;=1,(1*7+2-($BA$2-1)+1)&lt;=$BB$2),$AZ$2+(1*7+2-($BA$2-1)+1)-1,"")</f>
        <v>46063</v>
      </c>
      <c r="M10" s="44">
        <f>IF(AND((1*7+3-($BA$2-1)+1)&gt;=1,(1*7+3-($BA$2-1)+1)&lt;=$BB$2),$AZ$2+(1*7+3-($BA$2-1)+1)-1,"")</f>
        <v>46064</v>
      </c>
      <c r="N10" s="44">
        <f>IF(AND((1*7+4-($BA$2-1)+1)&gt;=1,(1*7+4-($BA$2-1)+1)&lt;=$BB$2),$AZ$2+(1*7+4-($BA$2-1)+1)-1,"")</f>
        <v>46065</v>
      </c>
      <c r="O10" s="44">
        <f>IF(AND((1*7+5-($BA$2-1)+1)&gt;=1,(1*7+5-($BA$2-1)+1)&lt;=$BB$2),$AZ$2+(1*7+5-($BA$2-1)+1)-1,"")</f>
        <v>46066</v>
      </c>
      <c r="P10" s="43">
        <f>IF(AND((1*7+6-($BA$2-1)+1)&gt;=1,(1*7+6-($BA$2-1)+1)&lt;=$BB$2),$AZ$2+(1*7+6-($BA$2-1)+1)-1,"")</f>
        <v>46067</v>
      </c>
      <c r="R10" s="43">
        <f>IF(AND((1*7+0-($BA$3-1)+1)&gt;=1,(1*7+0-($BA$3-1)+1)&lt;=$BB$3),$AZ$3+(1*7+0-($BA$3-1)+1)-1,"")</f>
        <v>46089</v>
      </c>
      <c r="S10" s="44">
        <f>IF(AND((1*7+1-($BA$3-1)+1)&gt;=1,(1*7+1-($BA$3-1)+1)&lt;=$BB$3),$AZ$3+(1*7+1-($BA$3-1)+1)-1,"")</f>
        <v>46090</v>
      </c>
      <c r="T10" s="44">
        <f>IF(AND((1*7+2-($BA$3-1)+1)&gt;=1,(1*7+2-($BA$3-1)+1)&lt;=$BB$3),$AZ$3+(1*7+2-($BA$3-1)+1)-1,"")</f>
        <v>46091</v>
      </c>
      <c r="U10" s="44">
        <f>IF(AND((1*7+3-($BA$3-1)+1)&gt;=1,(1*7+3-($BA$3-1)+1)&lt;=$BB$3),$AZ$3+(1*7+3-($BA$3-1)+1)-1,"")</f>
        <v>46092</v>
      </c>
      <c r="V10" s="44">
        <f>IF(AND((1*7+4-($BA$3-1)+1)&gt;=1,(1*7+4-($BA$3-1)+1)&lt;=$BB$3),$AZ$3+(1*7+4-($BA$3-1)+1)-1,"")</f>
        <v>46093</v>
      </c>
      <c r="W10" s="44">
        <f>IF(AND((1*7+5-($BA$3-1)+1)&gt;=1,(1*7+5-($BA$3-1)+1)&lt;=$BB$3),$AZ$3+(1*7+5-($BA$3-1)+1)-1,"")</f>
        <v>46094</v>
      </c>
      <c r="X10" s="43">
        <f>IF(AND((1*7+6-($BA$3-1)+1)&gt;=1,(1*7+6-($BA$3-1)+1)&lt;=$BB$3),$AZ$3+(1*7+6-($BA$3-1)+1)-1,"")</f>
        <v>46095</v>
      </c>
      <c r="AZ10" s="8">
        <f>DATE($B$4,10,1)</f>
        <v>46296</v>
      </c>
      <c r="BA10">
        <f>WEEKDAY(AZ10,1)</f>
        <v>5</v>
      </c>
      <c r="BB10">
        <f>DAY(EOMONTH(AZ10,0))</f>
        <v>31</v>
      </c>
    </row>
    <row r="11" spans="1:54" ht="27.95" customHeight="1">
      <c r="B11" s="45" t="str">
        <f>IF(B10="","",IFERROR("● "&amp;INDEX('Release Calendar'!$B$5:$B$504,MATCH(B10,'Release Calendar'!$I$5:$I$504,0))&amp;" · Start ","")&amp;IFERROR("● "&amp;INDEX('Release Calendar'!$B$5:$B$504,MATCH(B10,'Release Calendar'!$J$5:$J$504,0))&amp;" · Target ",""))</f>
        <v/>
      </c>
      <c r="C11" s="46" t="str">
        <f>IF(C10="","",IFERROR("● "&amp;INDEX('Release Calendar'!$B$5:$B$504,MATCH(C10,'Release Calendar'!$I$5:$I$504,0))&amp;" · Start ","")&amp;IFERROR("● "&amp;INDEX('Release Calendar'!$B$5:$B$504,MATCH(C10,'Release Calendar'!$J$5:$J$504,0))&amp;" · Target ",""))</f>
        <v/>
      </c>
      <c r="D11" s="46" t="str">
        <f>IF(D10="","",IFERROR("● "&amp;INDEX('Release Calendar'!$B$5:$B$504,MATCH(D10,'Release Calendar'!$I$5:$I$504,0))&amp;" · Start ","")&amp;IFERROR("● "&amp;INDEX('Release Calendar'!$B$5:$B$504,MATCH(D10,'Release Calendar'!$J$5:$J$504,0))&amp;" · Target ",""))</f>
        <v/>
      </c>
      <c r="E11" s="46" t="str">
        <f>IF(E10="","",IFERROR("● "&amp;INDEX('Release Calendar'!$B$5:$B$504,MATCH(E10,'Release Calendar'!$I$5:$I$504,0))&amp;" · Start ","")&amp;IFERROR("● "&amp;INDEX('Release Calendar'!$B$5:$B$504,MATCH(E10,'Release Calendar'!$J$5:$J$504,0))&amp;" · Target ",""))</f>
        <v/>
      </c>
      <c r="F11" s="46" t="str">
        <f>IF(F10="","",IFERROR("● "&amp;INDEX('Release Calendar'!$B$5:$B$504,MATCH(F10,'Release Calendar'!$I$5:$I$504,0))&amp;" · Start ","")&amp;IFERROR("● "&amp;INDEX('Release Calendar'!$B$5:$B$504,MATCH(F10,'Release Calendar'!$J$5:$J$504,0))&amp;" · Target ",""))</f>
        <v/>
      </c>
      <c r="G11" s="46" t="str">
        <f>IF(G10="","",IFERROR("● "&amp;INDEX('Release Calendar'!$B$5:$B$504,MATCH(G10,'Release Calendar'!$I$5:$I$504,0))&amp;" · Start ","")&amp;IFERROR("● "&amp;INDEX('Release Calendar'!$B$5:$B$504,MATCH(G10,'Release Calendar'!$J$5:$J$504,0))&amp;" · Target ",""))</f>
        <v/>
      </c>
      <c r="H11" s="45" t="str">
        <f>IF(H10="","",IFERROR("● "&amp;INDEX('Release Calendar'!$B$5:$B$504,MATCH(H10,'Release Calendar'!$I$5:$I$504,0))&amp;" · Start ","")&amp;IFERROR("● "&amp;INDEX('Release Calendar'!$B$5:$B$504,MATCH(H10,'Release Calendar'!$J$5:$J$504,0))&amp;" · Target ",""))</f>
        <v/>
      </c>
      <c r="J11" s="45" t="str">
        <f>IF(J10="","",IFERROR("● "&amp;INDEX('Release Calendar'!$B$5:$B$504,MATCH(J10,'Release Calendar'!$I$5:$I$504,0))&amp;" · Start ","")&amp;IFERROR("● "&amp;INDEX('Release Calendar'!$B$5:$B$504,MATCH(J10,'Release Calendar'!$J$5:$J$504,0))&amp;" · Target ",""))</f>
        <v/>
      </c>
      <c r="K11" s="46" t="str">
        <f>IF(K10="","",IFERROR("● "&amp;INDEX('Release Calendar'!$B$5:$B$504,MATCH(K10,'Release Calendar'!$I$5:$I$504,0))&amp;" · Start ","")&amp;IFERROR("● "&amp;INDEX('Release Calendar'!$B$5:$B$504,MATCH(K10,'Release Calendar'!$J$5:$J$504,0))&amp;" · Target ",""))</f>
        <v/>
      </c>
      <c r="L11" s="46" t="str">
        <f>IF(L10="","",IFERROR("● "&amp;INDEX('Release Calendar'!$B$5:$B$504,MATCH(L10,'Release Calendar'!$I$5:$I$504,0))&amp;" · Start ","")&amp;IFERROR("● "&amp;INDEX('Release Calendar'!$B$5:$B$504,MATCH(L10,'Release Calendar'!$J$5:$J$504,0))&amp;" · Target ",""))</f>
        <v/>
      </c>
      <c r="M11" s="46" t="str">
        <f>IF(M10="","",IFERROR("● "&amp;INDEX('Release Calendar'!$B$5:$B$504,MATCH(M10,'Release Calendar'!$I$5:$I$504,0))&amp;" · Start ","")&amp;IFERROR("● "&amp;INDEX('Release Calendar'!$B$5:$B$504,MATCH(M10,'Release Calendar'!$J$5:$J$504,0))&amp;" · Target ",""))</f>
        <v/>
      </c>
      <c r="N11" s="46" t="str">
        <f>IF(N10="","",IFERROR("● "&amp;INDEX('Release Calendar'!$B$5:$B$504,MATCH(N10,'Release Calendar'!$I$5:$I$504,0))&amp;" · Start ","")&amp;IFERROR("● "&amp;INDEX('Release Calendar'!$B$5:$B$504,MATCH(N10,'Release Calendar'!$J$5:$J$504,0))&amp;" · Target ",""))</f>
        <v/>
      </c>
      <c r="O11" s="46" t="str">
        <f>IF(O10="","",IFERROR("● "&amp;INDEX('Release Calendar'!$B$5:$B$504,MATCH(O10,'Release Calendar'!$I$5:$I$504,0))&amp;" · Start ","")&amp;IFERROR("● "&amp;INDEX('Release Calendar'!$B$5:$B$504,MATCH(O10,'Release Calendar'!$J$5:$J$504,0))&amp;" · Target ",""))</f>
        <v/>
      </c>
      <c r="P11" s="45" t="str">
        <f>IF(P10="","",IFERROR("● "&amp;INDEX('Release Calendar'!$B$5:$B$504,MATCH(P10,'Release Calendar'!$I$5:$I$504,0))&amp;" · Start ","")&amp;IFERROR("● "&amp;INDEX('Release Calendar'!$B$5:$B$504,MATCH(P10,'Release Calendar'!$J$5:$J$504,0))&amp;" · Target ",""))</f>
        <v/>
      </c>
      <c r="R11" s="45" t="str">
        <f>IF(R10="","",IFERROR("● "&amp;INDEX('Release Calendar'!$B$5:$B$504,MATCH(R10,'Release Calendar'!$I$5:$I$504,0))&amp;" · Start ","")&amp;IFERROR("● "&amp;INDEX('Release Calendar'!$B$5:$B$504,MATCH(R10,'Release Calendar'!$J$5:$J$504,0))&amp;" · Target ",""))</f>
        <v/>
      </c>
      <c r="S11" s="46" t="str">
        <f>IF(S10="","",IFERROR("● "&amp;INDEX('Release Calendar'!$B$5:$B$504,MATCH(S10,'Release Calendar'!$I$5:$I$504,0))&amp;" · Start ","")&amp;IFERROR("● "&amp;INDEX('Release Calendar'!$B$5:$B$504,MATCH(S10,'Release Calendar'!$J$5:$J$504,0))&amp;" · Target ",""))</f>
        <v/>
      </c>
      <c r="T11" s="46" t="str">
        <f>IF(T10="","",IFERROR("● "&amp;INDEX('Release Calendar'!$B$5:$B$504,MATCH(T10,'Release Calendar'!$I$5:$I$504,0))&amp;" · Start ","")&amp;IFERROR("● "&amp;INDEX('Release Calendar'!$B$5:$B$504,MATCH(T10,'Release Calendar'!$J$5:$J$504,0))&amp;" · Target ",""))</f>
        <v/>
      </c>
      <c r="U11" s="46" t="str">
        <f>IF(U10="","",IFERROR("● "&amp;INDEX('Release Calendar'!$B$5:$B$504,MATCH(U10,'Release Calendar'!$I$5:$I$504,0))&amp;" · Start ","")&amp;IFERROR("● "&amp;INDEX('Release Calendar'!$B$5:$B$504,MATCH(U10,'Release Calendar'!$J$5:$J$504,0))&amp;" · Target ",""))</f>
        <v/>
      </c>
      <c r="V11" s="46" t="str">
        <f>IF(V10="","",IFERROR("● "&amp;INDEX('Release Calendar'!$B$5:$B$504,MATCH(V10,'Release Calendar'!$I$5:$I$504,0))&amp;" · Start ","")&amp;IFERROR("● "&amp;INDEX('Release Calendar'!$B$5:$B$504,MATCH(V10,'Release Calendar'!$J$5:$J$504,0))&amp;" · Target ",""))</f>
        <v/>
      </c>
      <c r="W11" s="46" t="str">
        <f>IF(W10="","",IFERROR("● "&amp;INDEX('Release Calendar'!$B$5:$B$504,MATCH(W10,'Release Calendar'!$I$5:$I$504,0))&amp;" · Start ","")&amp;IFERROR("● "&amp;INDEX('Release Calendar'!$B$5:$B$504,MATCH(W10,'Release Calendar'!$J$5:$J$504,0))&amp;" · Target ",""))</f>
        <v/>
      </c>
      <c r="X11" s="45" t="str">
        <f>IF(X10="","",IFERROR("● "&amp;INDEX('Release Calendar'!$B$5:$B$504,MATCH(X10,'Release Calendar'!$I$5:$I$504,0))&amp;" · Start ","")&amp;IFERROR("● "&amp;INDEX('Release Calendar'!$B$5:$B$504,MATCH(X10,'Release Calendar'!$J$5:$J$504,0))&amp;" · Target ",""))</f>
        <v/>
      </c>
      <c r="AZ11" s="8">
        <f>DATE($B$4,11,1)</f>
        <v>46327</v>
      </c>
      <c r="BA11">
        <f>WEEKDAY(AZ11,1)</f>
        <v>1</v>
      </c>
      <c r="BB11">
        <f>DAY(EOMONTH(AZ11,0))</f>
        <v>30</v>
      </c>
    </row>
    <row r="12" spans="1:54" ht="12.95" customHeight="1">
      <c r="B12" s="43">
        <f>IF(AND((2*7+0-($BA$1-1)+1)&gt;=1,(2*7+0-($BA$1-1)+1)&lt;=$BB$1),$AZ$1+(2*7+0-($BA$1-1)+1)-1,"")</f>
        <v>46033</v>
      </c>
      <c r="C12" s="44">
        <f>IF(AND((2*7+1-($BA$1-1)+1)&gt;=1,(2*7+1-($BA$1-1)+1)&lt;=$BB$1),$AZ$1+(2*7+1-($BA$1-1)+1)-1,"")</f>
        <v>46034</v>
      </c>
      <c r="D12" s="44">
        <f>IF(AND((2*7+2-($BA$1-1)+1)&gt;=1,(2*7+2-($BA$1-1)+1)&lt;=$BB$1),$AZ$1+(2*7+2-($BA$1-1)+1)-1,"")</f>
        <v>46035</v>
      </c>
      <c r="E12" s="44">
        <f>IF(AND((2*7+3-($BA$1-1)+1)&gt;=1,(2*7+3-($BA$1-1)+1)&lt;=$BB$1),$AZ$1+(2*7+3-($BA$1-1)+1)-1,"")</f>
        <v>46036</v>
      </c>
      <c r="F12" s="44">
        <f>IF(AND((2*7+4-($BA$1-1)+1)&gt;=1,(2*7+4-($BA$1-1)+1)&lt;=$BB$1),$AZ$1+(2*7+4-($BA$1-1)+1)-1,"")</f>
        <v>46037</v>
      </c>
      <c r="G12" s="44">
        <f>IF(AND((2*7+5-($BA$1-1)+1)&gt;=1,(2*7+5-($BA$1-1)+1)&lt;=$BB$1),$AZ$1+(2*7+5-($BA$1-1)+1)-1,"")</f>
        <v>46038</v>
      </c>
      <c r="H12" s="43">
        <f>IF(AND((2*7+6-($BA$1-1)+1)&gt;=1,(2*7+6-($BA$1-1)+1)&lt;=$BB$1),$AZ$1+(2*7+6-($BA$1-1)+1)-1,"")</f>
        <v>46039</v>
      </c>
      <c r="J12" s="43">
        <f>IF(AND((2*7+0-($BA$2-1)+1)&gt;=1,(2*7+0-($BA$2-1)+1)&lt;=$BB$2),$AZ$2+(2*7+0-($BA$2-1)+1)-1,"")</f>
        <v>46068</v>
      </c>
      <c r="K12" s="44">
        <f>IF(AND((2*7+1-($BA$2-1)+1)&gt;=1,(2*7+1-($BA$2-1)+1)&lt;=$BB$2),$AZ$2+(2*7+1-($BA$2-1)+1)-1,"")</f>
        <v>46069</v>
      </c>
      <c r="L12" s="44">
        <f>IF(AND((2*7+2-($BA$2-1)+1)&gt;=1,(2*7+2-($BA$2-1)+1)&lt;=$BB$2),$AZ$2+(2*7+2-($BA$2-1)+1)-1,"")</f>
        <v>46070</v>
      </c>
      <c r="M12" s="44">
        <f>IF(AND((2*7+3-($BA$2-1)+1)&gt;=1,(2*7+3-($BA$2-1)+1)&lt;=$BB$2),$AZ$2+(2*7+3-($BA$2-1)+1)-1,"")</f>
        <v>46071</v>
      </c>
      <c r="N12" s="44">
        <f>IF(AND((2*7+4-($BA$2-1)+1)&gt;=1,(2*7+4-($BA$2-1)+1)&lt;=$BB$2),$AZ$2+(2*7+4-($BA$2-1)+1)-1,"")</f>
        <v>46072</v>
      </c>
      <c r="O12" s="44">
        <f>IF(AND((2*7+5-($BA$2-1)+1)&gt;=1,(2*7+5-($BA$2-1)+1)&lt;=$BB$2),$AZ$2+(2*7+5-($BA$2-1)+1)-1,"")</f>
        <v>46073</v>
      </c>
      <c r="P12" s="43">
        <f>IF(AND((2*7+6-($BA$2-1)+1)&gt;=1,(2*7+6-($BA$2-1)+1)&lt;=$BB$2),$AZ$2+(2*7+6-($BA$2-1)+1)-1,"")</f>
        <v>46074</v>
      </c>
      <c r="R12" s="43">
        <f>IF(AND((2*7+0-($BA$3-1)+1)&gt;=1,(2*7+0-($BA$3-1)+1)&lt;=$BB$3),$AZ$3+(2*7+0-($BA$3-1)+1)-1,"")</f>
        <v>46096</v>
      </c>
      <c r="S12" s="44">
        <f>IF(AND((2*7+1-($BA$3-1)+1)&gt;=1,(2*7+1-($BA$3-1)+1)&lt;=$BB$3),$AZ$3+(2*7+1-($BA$3-1)+1)-1,"")</f>
        <v>46097</v>
      </c>
      <c r="T12" s="44">
        <f>IF(AND((2*7+2-($BA$3-1)+1)&gt;=1,(2*7+2-($BA$3-1)+1)&lt;=$BB$3),$AZ$3+(2*7+2-($BA$3-1)+1)-1,"")</f>
        <v>46098</v>
      </c>
      <c r="U12" s="44">
        <f>IF(AND((2*7+3-($BA$3-1)+1)&gt;=1,(2*7+3-($BA$3-1)+1)&lt;=$BB$3),$AZ$3+(2*7+3-($BA$3-1)+1)-1,"")</f>
        <v>46099</v>
      </c>
      <c r="V12" s="44">
        <f>IF(AND((2*7+4-($BA$3-1)+1)&gt;=1,(2*7+4-($BA$3-1)+1)&lt;=$BB$3),$AZ$3+(2*7+4-($BA$3-1)+1)-1,"")</f>
        <v>46100</v>
      </c>
      <c r="W12" s="44">
        <f>IF(AND((2*7+5-($BA$3-1)+1)&gt;=1,(2*7+5-($BA$3-1)+1)&lt;=$BB$3),$AZ$3+(2*7+5-($BA$3-1)+1)-1,"")</f>
        <v>46101</v>
      </c>
      <c r="X12" s="43">
        <f>IF(AND((2*7+6-($BA$3-1)+1)&gt;=1,(2*7+6-($BA$3-1)+1)&lt;=$BB$3),$AZ$3+(2*7+6-($BA$3-1)+1)-1,"")</f>
        <v>46102</v>
      </c>
      <c r="AZ12" s="8">
        <f>DATE($B$4,12,1)</f>
        <v>46357</v>
      </c>
      <c r="BA12">
        <f>WEEKDAY(AZ12,1)</f>
        <v>3</v>
      </c>
      <c r="BB12">
        <f>DAY(EOMONTH(AZ12,0))</f>
        <v>31</v>
      </c>
    </row>
    <row r="13" spans="1:54" ht="27.95" customHeight="1">
      <c r="B13" s="45" t="str">
        <f>IF(B12="","",IFERROR("● "&amp;INDEX('Release Calendar'!$B$5:$B$504,MATCH(B12,'Release Calendar'!$I$5:$I$504,0))&amp;" · Start ","")&amp;IFERROR("● "&amp;INDEX('Release Calendar'!$B$5:$B$504,MATCH(B12,'Release Calendar'!$J$5:$J$504,0))&amp;" · Target ",""))</f>
        <v/>
      </c>
      <c r="C13" s="46" t="str">
        <f>IF(C12="","",IFERROR("● "&amp;INDEX('Release Calendar'!$B$5:$B$504,MATCH(C12,'Release Calendar'!$I$5:$I$504,0))&amp;" · Start ","")&amp;IFERROR("● "&amp;INDEX('Release Calendar'!$B$5:$B$504,MATCH(C12,'Release Calendar'!$J$5:$J$504,0))&amp;" · Target ",""))</f>
        <v/>
      </c>
      <c r="D13" s="46" t="str">
        <f>IF(D12="","",IFERROR("● "&amp;INDEX('Release Calendar'!$B$5:$B$504,MATCH(D12,'Release Calendar'!$I$5:$I$504,0))&amp;" · Start ","")&amp;IFERROR("● "&amp;INDEX('Release Calendar'!$B$5:$B$504,MATCH(D12,'Release Calendar'!$J$5:$J$504,0))&amp;" · Target ",""))</f>
        <v/>
      </c>
      <c r="E13" s="46" t="str">
        <f>IF(E12="","",IFERROR("● "&amp;INDEX('Release Calendar'!$B$5:$B$504,MATCH(E12,'Release Calendar'!$I$5:$I$504,0))&amp;" · Start ","")&amp;IFERROR("● "&amp;INDEX('Release Calendar'!$B$5:$B$504,MATCH(E12,'Release Calendar'!$J$5:$J$504,0))&amp;" · Target ",""))</f>
        <v/>
      </c>
      <c r="F13" s="46" t="str">
        <f>IF(F12="","",IFERROR("● "&amp;INDEX('Release Calendar'!$B$5:$B$504,MATCH(F12,'Release Calendar'!$I$5:$I$504,0))&amp;" · Start ","")&amp;IFERROR("● "&amp;INDEX('Release Calendar'!$B$5:$B$504,MATCH(F12,'Release Calendar'!$J$5:$J$504,0))&amp;" · Target ",""))</f>
        <v/>
      </c>
      <c r="G13" s="46" t="str">
        <f>IF(G12="","",IFERROR("● "&amp;INDEX('Release Calendar'!$B$5:$B$504,MATCH(G12,'Release Calendar'!$I$5:$I$504,0))&amp;" · Start ","")&amp;IFERROR("● "&amp;INDEX('Release Calendar'!$B$5:$B$504,MATCH(G12,'Release Calendar'!$J$5:$J$504,0))&amp;" · Target ",""))</f>
        <v/>
      </c>
      <c r="H13" s="45" t="str">
        <f>IF(H12="","",IFERROR("● "&amp;INDEX('Release Calendar'!$B$5:$B$504,MATCH(H12,'Release Calendar'!$I$5:$I$504,0))&amp;" · Start ","")&amp;IFERROR("● "&amp;INDEX('Release Calendar'!$B$5:$B$504,MATCH(H12,'Release Calendar'!$J$5:$J$504,0))&amp;" · Target ",""))</f>
        <v/>
      </c>
      <c r="J13" s="45" t="str">
        <f>IF(J12="","",IFERROR("● "&amp;INDEX('Release Calendar'!$B$5:$B$504,MATCH(J12,'Release Calendar'!$I$5:$I$504,0))&amp;" · Start ","")&amp;IFERROR("● "&amp;INDEX('Release Calendar'!$B$5:$B$504,MATCH(J12,'Release Calendar'!$J$5:$J$504,0))&amp;" · Target ",""))</f>
        <v/>
      </c>
      <c r="K13" s="46" t="str">
        <f>IF(K12="","",IFERROR("● "&amp;INDEX('Release Calendar'!$B$5:$B$504,MATCH(K12,'Release Calendar'!$I$5:$I$504,0))&amp;" · Start ","")&amp;IFERROR("● "&amp;INDEX('Release Calendar'!$B$5:$B$504,MATCH(K12,'Release Calendar'!$J$5:$J$504,0))&amp;" · Target ",""))</f>
        <v/>
      </c>
      <c r="L13" s="46" t="str">
        <f>IF(L12="","",IFERROR("● "&amp;INDEX('Release Calendar'!$B$5:$B$504,MATCH(L12,'Release Calendar'!$I$5:$I$504,0))&amp;" · Start ","")&amp;IFERROR("● "&amp;INDEX('Release Calendar'!$B$5:$B$504,MATCH(L12,'Release Calendar'!$J$5:$J$504,0))&amp;" · Target ",""))</f>
        <v/>
      </c>
      <c r="M13" s="46" t="str">
        <f>IF(M12="","",IFERROR("● "&amp;INDEX('Release Calendar'!$B$5:$B$504,MATCH(M12,'Release Calendar'!$I$5:$I$504,0))&amp;" · Start ","")&amp;IFERROR("● "&amp;INDEX('Release Calendar'!$B$5:$B$504,MATCH(M12,'Release Calendar'!$J$5:$J$504,0))&amp;" · Target ",""))</f>
        <v/>
      </c>
      <c r="N13" s="46" t="str">
        <f>IF(N12="","",IFERROR("● "&amp;INDEX('Release Calendar'!$B$5:$B$504,MATCH(N12,'Release Calendar'!$I$5:$I$504,0))&amp;" · Start ","")&amp;IFERROR("● "&amp;INDEX('Release Calendar'!$B$5:$B$504,MATCH(N12,'Release Calendar'!$J$5:$J$504,0))&amp;" · Target ",""))</f>
        <v/>
      </c>
      <c r="O13" s="46" t="str">
        <f>IF(O12="","",IFERROR("● "&amp;INDEX('Release Calendar'!$B$5:$B$504,MATCH(O12,'Release Calendar'!$I$5:$I$504,0))&amp;" · Start ","")&amp;IFERROR("● "&amp;INDEX('Release Calendar'!$B$5:$B$504,MATCH(O12,'Release Calendar'!$J$5:$J$504,0))&amp;" · Target ",""))</f>
        <v/>
      </c>
      <c r="P13" s="45" t="str">
        <f>IF(P12="","",IFERROR("● "&amp;INDEX('Release Calendar'!$B$5:$B$504,MATCH(P12,'Release Calendar'!$I$5:$I$504,0))&amp;" · Start ","")&amp;IFERROR("● "&amp;INDEX('Release Calendar'!$B$5:$B$504,MATCH(P12,'Release Calendar'!$J$5:$J$504,0))&amp;" · Target ",""))</f>
        <v/>
      </c>
      <c r="R13" s="45" t="str">
        <f>IF(R12="","",IFERROR("● "&amp;INDEX('Release Calendar'!$B$5:$B$504,MATCH(R12,'Release Calendar'!$I$5:$I$504,0))&amp;" · Start ","")&amp;IFERROR("● "&amp;INDEX('Release Calendar'!$B$5:$B$504,MATCH(R12,'Release Calendar'!$J$5:$J$504,0))&amp;" · Target ",""))</f>
        <v/>
      </c>
      <c r="S13" s="46" t="str">
        <f>IF(S12="","",IFERROR("● "&amp;INDEX('Release Calendar'!$B$5:$B$504,MATCH(S12,'Release Calendar'!$I$5:$I$504,0))&amp;" · Start ","")&amp;IFERROR("● "&amp;INDEX('Release Calendar'!$B$5:$B$504,MATCH(S12,'Release Calendar'!$J$5:$J$504,0))&amp;" · Target ",""))</f>
        <v/>
      </c>
      <c r="T13" s="46" t="str">
        <f>IF(T12="","",IFERROR("● "&amp;INDEX('Release Calendar'!$B$5:$B$504,MATCH(T12,'Release Calendar'!$I$5:$I$504,0))&amp;" · Start ","")&amp;IFERROR("● "&amp;INDEX('Release Calendar'!$B$5:$B$504,MATCH(T12,'Release Calendar'!$J$5:$J$504,0))&amp;" · Target ",""))</f>
        <v/>
      </c>
      <c r="U13" s="46" t="str">
        <f>IF(U12="","",IFERROR("● "&amp;INDEX('Release Calendar'!$B$5:$B$504,MATCH(U12,'Release Calendar'!$I$5:$I$504,0))&amp;" · Start ","")&amp;IFERROR("● "&amp;INDEX('Release Calendar'!$B$5:$B$504,MATCH(U12,'Release Calendar'!$J$5:$J$504,0))&amp;" · Target ",""))</f>
        <v/>
      </c>
      <c r="V13" s="46" t="str">
        <f>IF(V12="","",IFERROR("● "&amp;INDEX('Release Calendar'!$B$5:$B$504,MATCH(V12,'Release Calendar'!$I$5:$I$504,0))&amp;" · Start ","")&amp;IFERROR("● "&amp;INDEX('Release Calendar'!$B$5:$B$504,MATCH(V12,'Release Calendar'!$J$5:$J$504,0))&amp;" · Target ",""))</f>
        <v/>
      </c>
      <c r="W13" s="46" t="str">
        <f>IF(W12="","",IFERROR("● "&amp;INDEX('Release Calendar'!$B$5:$B$504,MATCH(W12,'Release Calendar'!$I$5:$I$504,0))&amp;" · Start ","")&amp;IFERROR("● "&amp;INDEX('Release Calendar'!$B$5:$B$504,MATCH(W12,'Release Calendar'!$J$5:$J$504,0))&amp;" · Target ",""))</f>
        <v/>
      </c>
      <c r="X13" s="45" t="str">
        <f>IF(X12="","",IFERROR("● "&amp;INDEX('Release Calendar'!$B$5:$B$504,MATCH(X12,'Release Calendar'!$I$5:$I$504,0))&amp;" · Start ","")&amp;IFERROR("● "&amp;INDEX('Release Calendar'!$B$5:$B$504,MATCH(X12,'Release Calendar'!$J$5:$J$504,0))&amp;" · Target ",""))</f>
        <v/>
      </c>
    </row>
    <row r="14" spans="1:54" ht="12.95" customHeight="1">
      <c r="B14" s="43">
        <f>IF(AND((3*7+0-($BA$1-1)+1)&gt;=1,(3*7+0-($BA$1-1)+1)&lt;=$BB$1),$AZ$1+(3*7+0-($BA$1-1)+1)-1,"")</f>
        <v>46040</v>
      </c>
      <c r="C14" s="44">
        <f>IF(AND((3*7+1-($BA$1-1)+1)&gt;=1,(3*7+1-($BA$1-1)+1)&lt;=$BB$1),$AZ$1+(3*7+1-($BA$1-1)+1)-1,"")</f>
        <v>46041</v>
      </c>
      <c r="D14" s="44">
        <f>IF(AND((3*7+2-($BA$1-1)+1)&gt;=1,(3*7+2-($BA$1-1)+1)&lt;=$BB$1),$AZ$1+(3*7+2-($BA$1-1)+1)-1,"")</f>
        <v>46042</v>
      </c>
      <c r="E14" s="44">
        <f>IF(AND((3*7+3-($BA$1-1)+1)&gt;=1,(3*7+3-($BA$1-1)+1)&lt;=$BB$1),$AZ$1+(3*7+3-($BA$1-1)+1)-1,"")</f>
        <v>46043</v>
      </c>
      <c r="F14" s="44">
        <f>IF(AND((3*7+4-($BA$1-1)+1)&gt;=1,(3*7+4-($BA$1-1)+1)&lt;=$BB$1),$AZ$1+(3*7+4-($BA$1-1)+1)-1,"")</f>
        <v>46044</v>
      </c>
      <c r="G14" s="44">
        <f>IF(AND((3*7+5-($BA$1-1)+1)&gt;=1,(3*7+5-($BA$1-1)+1)&lt;=$BB$1),$AZ$1+(3*7+5-($BA$1-1)+1)-1,"")</f>
        <v>46045</v>
      </c>
      <c r="H14" s="43">
        <f>IF(AND((3*7+6-($BA$1-1)+1)&gt;=1,(3*7+6-($BA$1-1)+1)&lt;=$BB$1),$AZ$1+(3*7+6-($BA$1-1)+1)-1,"")</f>
        <v>46046</v>
      </c>
      <c r="J14" s="43">
        <f>IF(AND((3*7+0-($BA$2-1)+1)&gt;=1,(3*7+0-($BA$2-1)+1)&lt;=$BB$2),$AZ$2+(3*7+0-($BA$2-1)+1)-1,"")</f>
        <v>46075</v>
      </c>
      <c r="K14" s="44">
        <f>IF(AND((3*7+1-($BA$2-1)+1)&gt;=1,(3*7+1-($BA$2-1)+1)&lt;=$BB$2),$AZ$2+(3*7+1-($BA$2-1)+1)-1,"")</f>
        <v>46076</v>
      </c>
      <c r="L14" s="44">
        <f>IF(AND((3*7+2-($BA$2-1)+1)&gt;=1,(3*7+2-($BA$2-1)+1)&lt;=$BB$2),$AZ$2+(3*7+2-($BA$2-1)+1)-1,"")</f>
        <v>46077</v>
      </c>
      <c r="M14" s="44">
        <f>IF(AND((3*7+3-($BA$2-1)+1)&gt;=1,(3*7+3-($BA$2-1)+1)&lt;=$BB$2),$AZ$2+(3*7+3-($BA$2-1)+1)-1,"")</f>
        <v>46078</v>
      </c>
      <c r="N14" s="44">
        <f>IF(AND((3*7+4-($BA$2-1)+1)&gt;=1,(3*7+4-($BA$2-1)+1)&lt;=$BB$2),$AZ$2+(3*7+4-($BA$2-1)+1)-1,"")</f>
        <v>46079</v>
      </c>
      <c r="O14" s="44">
        <f>IF(AND((3*7+5-($BA$2-1)+1)&gt;=1,(3*7+5-($BA$2-1)+1)&lt;=$BB$2),$AZ$2+(3*7+5-($BA$2-1)+1)-1,"")</f>
        <v>46080</v>
      </c>
      <c r="P14" s="43">
        <f>IF(AND((3*7+6-($BA$2-1)+1)&gt;=1,(3*7+6-($BA$2-1)+1)&lt;=$BB$2),$AZ$2+(3*7+6-($BA$2-1)+1)-1,"")</f>
        <v>46081</v>
      </c>
      <c r="R14" s="43">
        <f>IF(AND((3*7+0-($BA$3-1)+1)&gt;=1,(3*7+0-($BA$3-1)+1)&lt;=$BB$3),$AZ$3+(3*7+0-($BA$3-1)+1)-1,"")</f>
        <v>46103</v>
      </c>
      <c r="S14" s="44">
        <f>IF(AND((3*7+1-($BA$3-1)+1)&gt;=1,(3*7+1-($BA$3-1)+1)&lt;=$BB$3),$AZ$3+(3*7+1-($BA$3-1)+1)-1,"")</f>
        <v>46104</v>
      </c>
      <c r="T14" s="44">
        <f>IF(AND((3*7+2-($BA$3-1)+1)&gt;=1,(3*7+2-($BA$3-1)+1)&lt;=$BB$3),$AZ$3+(3*7+2-($BA$3-1)+1)-1,"")</f>
        <v>46105</v>
      </c>
      <c r="U14" s="44">
        <f>IF(AND((3*7+3-($BA$3-1)+1)&gt;=1,(3*7+3-($BA$3-1)+1)&lt;=$BB$3),$AZ$3+(3*7+3-($BA$3-1)+1)-1,"")</f>
        <v>46106</v>
      </c>
      <c r="V14" s="44">
        <f>IF(AND((3*7+4-($BA$3-1)+1)&gt;=1,(3*7+4-($BA$3-1)+1)&lt;=$BB$3),$AZ$3+(3*7+4-($BA$3-1)+1)-1,"")</f>
        <v>46107</v>
      </c>
      <c r="W14" s="44">
        <f>IF(AND((3*7+5-($BA$3-1)+1)&gt;=1,(3*7+5-($BA$3-1)+1)&lt;=$BB$3),$AZ$3+(3*7+5-($BA$3-1)+1)-1,"")</f>
        <v>46108</v>
      </c>
      <c r="X14" s="43">
        <f>IF(AND((3*7+6-($BA$3-1)+1)&gt;=1,(3*7+6-($BA$3-1)+1)&lt;=$BB$3),$AZ$3+(3*7+6-($BA$3-1)+1)-1,"")</f>
        <v>46109</v>
      </c>
    </row>
    <row r="15" spans="1:54" ht="27.95" customHeight="1">
      <c r="B15" s="45" t="str">
        <f>IF(B14="","",IFERROR("● "&amp;INDEX('Release Calendar'!$B$5:$B$504,MATCH(B14,'Release Calendar'!$I$5:$I$504,0))&amp;" · Start ","")&amp;IFERROR("● "&amp;INDEX('Release Calendar'!$B$5:$B$504,MATCH(B14,'Release Calendar'!$J$5:$J$504,0))&amp;" · Target ",""))</f>
        <v/>
      </c>
      <c r="C15" s="46" t="str">
        <f>IF(C14="","",IFERROR("● "&amp;INDEX('Release Calendar'!$B$5:$B$504,MATCH(C14,'Release Calendar'!$I$5:$I$504,0))&amp;" · Start ","")&amp;IFERROR("● "&amp;INDEX('Release Calendar'!$B$5:$B$504,MATCH(C14,'Release Calendar'!$J$5:$J$504,0))&amp;" · Target ",""))</f>
        <v/>
      </c>
      <c r="D15" s="46" t="str">
        <f>IF(D14="","",IFERROR("● "&amp;INDEX('Release Calendar'!$B$5:$B$504,MATCH(D14,'Release Calendar'!$I$5:$I$504,0))&amp;" · Start ","")&amp;IFERROR("● "&amp;INDEX('Release Calendar'!$B$5:$B$504,MATCH(D14,'Release Calendar'!$J$5:$J$504,0))&amp;" · Target ",""))</f>
        <v/>
      </c>
      <c r="E15" s="46" t="str">
        <f>IF(E14="","",IFERROR("● "&amp;INDEX('Release Calendar'!$B$5:$B$504,MATCH(E14,'Release Calendar'!$I$5:$I$504,0))&amp;" · Start ","")&amp;IFERROR("● "&amp;INDEX('Release Calendar'!$B$5:$B$504,MATCH(E14,'Release Calendar'!$J$5:$J$504,0))&amp;" · Target ",""))</f>
        <v/>
      </c>
      <c r="F15" s="46" t="str">
        <f>IF(F14="","",IFERROR("● "&amp;INDEX('Release Calendar'!$B$5:$B$504,MATCH(F14,'Release Calendar'!$I$5:$I$504,0))&amp;" · Start ","")&amp;IFERROR("● "&amp;INDEX('Release Calendar'!$B$5:$B$504,MATCH(F14,'Release Calendar'!$J$5:$J$504,0))&amp;" · Target ",""))</f>
        <v/>
      </c>
      <c r="G15" s="46" t="str">
        <f>IF(G14="","",IFERROR("● "&amp;INDEX('Release Calendar'!$B$5:$B$504,MATCH(G14,'Release Calendar'!$I$5:$I$504,0))&amp;" · Start ","")&amp;IFERROR("● "&amp;INDEX('Release Calendar'!$B$5:$B$504,MATCH(G14,'Release Calendar'!$J$5:$J$504,0))&amp;" · Target ",""))</f>
        <v/>
      </c>
      <c r="H15" s="45" t="str">
        <f>IF(H14="","",IFERROR("● "&amp;INDEX('Release Calendar'!$B$5:$B$504,MATCH(H14,'Release Calendar'!$I$5:$I$504,0))&amp;" · Start ","")&amp;IFERROR("● "&amp;INDEX('Release Calendar'!$B$5:$B$504,MATCH(H14,'Release Calendar'!$J$5:$J$504,0))&amp;" · Target ",""))</f>
        <v/>
      </c>
      <c r="J15" s="45" t="str">
        <f>IF(J14="","",IFERROR("● "&amp;INDEX('Release Calendar'!$B$5:$B$504,MATCH(J14,'Release Calendar'!$I$5:$I$504,0))&amp;" · Start ","")&amp;IFERROR("● "&amp;INDEX('Release Calendar'!$B$5:$B$504,MATCH(J14,'Release Calendar'!$J$5:$J$504,0))&amp;" · Target ",""))</f>
        <v/>
      </c>
      <c r="K15" s="46" t="str">
        <f>IF(K14="","",IFERROR("● "&amp;INDEX('Release Calendar'!$B$5:$B$504,MATCH(K14,'Release Calendar'!$I$5:$I$504,0))&amp;" · Start ","")&amp;IFERROR("● "&amp;INDEX('Release Calendar'!$B$5:$B$504,MATCH(K14,'Release Calendar'!$J$5:$J$504,0))&amp;" · Target ",""))</f>
        <v/>
      </c>
      <c r="L15" s="46" t="str">
        <f>IF(L14="","",IFERROR("● "&amp;INDEX('Release Calendar'!$B$5:$B$504,MATCH(L14,'Release Calendar'!$I$5:$I$504,0))&amp;" · Start ","")&amp;IFERROR("● "&amp;INDEX('Release Calendar'!$B$5:$B$504,MATCH(L14,'Release Calendar'!$J$5:$J$504,0))&amp;" · Target ",""))</f>
        <v/>
      </c>
      <c r="M15" s="46" t="str">
        <f>IF(M14="","",IFERROR("● "&amp;INDEX('Release Calendar'!$B$5:$B$504,MATCH(M14,'Release Calendar'!$I$5:$I$504,0))&amp;" · Start ","")&amp;IFERROR("● "&amp;INDEX('Release Calendar'!$B$5:$B$504,MATCH(M14,'Release Calendar'!$J$5:$J$504,0))&amp;" · Target ",""))</f>
        <v/>
      </c>
      <c r="N15" s="46" t="str">
        <f>IF(N14="","",IFERROR("● "&amp;INDEX('Release Calendar'!$B$5:$B$504,MATCH(N14,'Release Calendar'!$I$5:$I$504,0))&amp;" · Start ","")&amp;IFERROR("● "&amp;INDEX('Release Calendar'!$B$5:$B$504,MATCH(N14,'Release Calendar'!$J$5:$J$504,0))&amp;" · Target ",""))</f>
        <v/>
      </c>
      <c r="O15" s="46" t="str">
        <f>IF(O14="","",IFERROR("● "&amp;INDEX('Release Calendar'!$B$5:$B$504,MATCH(O14,'Release Calendar'!$I$5:$I$504,0))&amp;" · Start ","")&amp;IFERROR("● "&amp;INDEX('Release Calendar'!$B$5:$B$504,MATCH(O14,'Release Calendar'!$J$5:$J$504,0))&amp;" · Target ",""))</f>
        <v/>
      </c>
      <c r="P15" s="45" t="str">
        <f>IF(P14="","",IFERROR("● "&amp;INDEX('Release Calendar'!$B$5:$B$504,MATCH(P14,'Release Calendar'!$I$5:$I$504,0))&amp;" · Start ","")&amp;IFERROR("● "&amp;INDEX('Release Calendar'!$B$5:$B$504,MATCH(P14,'Release Calendar'!$J$5:$J$504,0))&amp;" · Target ",""))</f>
        <v/>
      </c>
      <c r="R15" s="45" t="str">
        <f>IF(R14="","",IFERROR("● "&amp;INDEX('Release Calendar'!$B$5:$B$504,MATCH(R14,'Release Calendar'!$I$5:$I$504,0))&amp;" · Start ","")&amp;IFERROR("● "&amp;INDEX('Release Calendar'!$B$5:$B$504,MATCH(R14,'Release Calendar'!$J$5:$J$504,0))&amp;" · Target ",""))</f>
        <v/>
      </c>
      <c r="S15" s="46" t="str">
        <f>IF(S14="","",IFERROR("● "&amp;INDEX('Release Calendar'!$B$5:$B$504,MATCH(S14,'Release Calendar'!$I$5:$I$504,0))&amp;" · Start ","")&amp;IFERROR("● "&amp;INDEX('Release Calendar'!$B$5:$B$504,MATCH(S14,'Release Calendar'!$J$5:$J$504,0))&amp;" · Target ",""))</f>
        <v/>
      </c>
      <c r="T15" s="46" t="str">
        <f>IF(T14="","",IFERROR("● "&amp;INDEX('Release Calendar'!$B$5:$B$504,MATCH(T14,'Release Calendar'!$I$5:$I$504,0))&amp;" · Start ","")&amp;IFERROR("● "&amp;INDEX('Release Calendar'!$B$5:$B$504,MATCH(T14,'Release Calendar'!$J$5:$J$504,0))&amp;" · Target ",""))</f>
        <v/>
      </c>
      <c r="U15" s="46" t="str">
        <f>IF(U14="","",IFERROR("● "&amp;INDEX('Release Calendar'!$B$5:$B$504,MATCH(U14,'Release Calendar'!$I$5:$I$504,0))&amp;" · Start ","")&amp;IFERROR("● "&amp;INDEX('Release Calendar'!$B$5:$B$504,MATCH(U14,'Release Calendar'!$J$5:$J$504,0))&amp;" · Target ",""))</f>
        <v/>
      </c>
      <c r="V15" s="46" t="str">
        <f>IF(V14="","",IFERROR("● "&amp;INDEX('Release Calendar'!$B$5:$B$504,MATCH(V14,'Release Calendar'!$I$5:$I$504,0))&amp;" · Start ","")&amp;IFERROR("● "&amp;INDEX('Release Calendar'!$B$5:$B$504,MATCH(V14,'Release Calendar'!$J$5:$J$504,0))&amp;" · Target ",""))</f>
        <v/>
      </c>
      <c r="W15" s="46" t="str">
        <f>IF(W14="","",IFERROR("● "&amp;INDEX('Release Calendar'!$B$5:$B$504,MATCH(W14,'Release Calendar'!$I$5:$I$504,0))&amp;" · Start ","")&amp;IFERROR("● "&amp;INDEX('Release Calendar'!$B$5:$B$504,MATCH(W14,'Release Calendar'!$J$5:$J$504,0))&amp;" · Target ",""))</f>
        <v/>
      </c>
      <c r="X15" s="45" t="str">
        <f>IF(X14="","",IFERROR("● "&amp;INDEX('Release Calendar'!$B$5:$B$504,MATCH(X14,'Release Calendar'!$I$5:$I$504,0))&amp;" · Start ","")&amp;IFERROR("● "&amp;INDEX('Release Calendar'!$B$5:$B$504,MATCH(X14,'Release Calendar'!$J$5:$J$504,0))&amp;" · Target ",""))</f>
        <v/>
      </c>
    </row>
    <row r="16" spans="1:54" ht="12.95" customHeight="1">
      <c r="B16" s="43">
        <f>IF(AND((4*7+0-($BA$1-1)+1)&gt;=1,(4*7+0-($BA$1-1)+1)&lt;=$BB$1),$AZ$1+(4*7+0-($BA$1-1)+1)-1,"")</f>
        <v>46047</v>
      </c>
      <c r="C16" s="44">
        <f>IF(AND((4*7+1-($BA$1-1)+1)&gt;=1,(4*7+1-($BA$1-1)+1)&lt;=$BB$1),$AZ$1+(4*7+1-($BA$1-1)+1)-1,"")</f>
        <v>46048</v>
      </c>
      <c r="D16" s="44">
        <f>IF(AND((4*7+2-($BA$1-1)+1)&gt;=1,(4*7+2-($BA$1-1)+1)&lt;=$BB$1),$AZ$1+(4*7+2-($BA$1-1)+1)-1,"")</f>
        <v>46049</v>
      </c>
      <c r="E16" s="44">
        <f>IF(AND((4*7+3-($BA$1-1)+1)&gt;=1,(4*7+3-($BA$1-1)+1)&lt;=$BB$1),$AZ$1+(4*7+3-($BA$1-1)+1)-1,"")</f>
        <v>46050</v>
      </c>
      <c r="F16" s="44">
        <f>IF(AND((4*7+4-($BA$1-1)+1)&gt;=1,(4*7+4-($BA$1-1)+1)&lt;=$BB$1),$AZ$1+(4*7+4-($BA$1-1)+1)-1,"")</f>
        <v>46051</v>
      </c>
      <c r="G16" s="44">
        <f>IF(AND((4*7+5-($BA$1-1)+1)&gt;=1,(4*7+5-($BA$1-1)+1)&lt;=$BB$1),$AZ$1+(4*7+5-($BA$1-1)+1)-1,"")</f>
        <v>46052</v>
      </c>
      <c r="H16" s="43">
        <f>IF(AND((4*7+6-($BA$1-1)+1)&gt;=1,(4*7+6-($BA$1-1)+1)&lt;=$BB$1),$AZ$1+(4*7+6-($BA$1-1)+1)-1,"")</f>
        <v>46053</v>
      </c>
      <c r="J16" s="43" t="str">
        <f>IF(AND((4*7+0-($BA$2-1)+1)&gt;=1,(4*7+0-($BA$2-1)+1)&lt;=$BB$2),$AZ$2+(4*7+0-($BA$2-1)+1)-1,"")</f>
        <v/>
      </c>
      <c r="K16" s="44" t="str">
        <f>IF(AND((4*7+1-($BA$2-1)+1)&gt;=1,(4*7+1-($BA$2-1)+1)&lt;=$BB$2),$AZ$2+(4*7+1-($BA$2-1)+1)-1,"")</f>
        <v/>
      </c>
      <c r="L16" s="44" t="str">
        <f>IF(AND((4*7+2-($BA$2-1)+1)&gt;=1,(4*7+2-($BA$2-1)+1)&lt;=$BB$2),$AZ$2+(4*7+2-($BA$2-1)+1)-1,"")</f>
        <v/>
      </c>
      <c r="M16" s="44" t="str">
        <f>IF(AND((4*7+3-($BA$2-1)+1)&gt;=1,(4*7+3-($BA$2-1)+1)&lt;=$BB$2),$AZ$2+(4*7+3-($BA$2-1)+1)-1,"")</f>
        <v/>
      </c>
      <c r="N16" s="44" t="str">
        <f>IF(AND((4*7+4-($BA$2-1)+1)&gt;=1,(4*7+4-($BA$2-1)+1)&lt;=$BB$2),$AZ$2+(4*7+4-($BA$2-1)+1)-1,"")</f>
        <v/>
      </c>
      <c r="O16" s="44" t="str">
        <f>IF(AND((4*7+5-($BA$2-1)+1)&gt;=1,(4*7+5-($BA$2-1)+1)&lt;=$BB$2),$AZ$2+(4*7+5-($BA$2-1)+1)-1,"")</f>
        <v/>
      </c>
      <c r="P16" s="43" t="str">
        <f>IF(AND((4*7+6-($BA$2-1)+1)&gt;=1,(4*7+6-($BA$2-1)+1)&lt;=$BB$2),$AZ$2+(4*7+6-($BA$2-1)+1)-1,"")</f>
        <v/>
      </c>
      <c r="R16" s="43">
        <f>IF(AND((4*7+0-($BA$3-1)+1)&gt;=1,(4*7+0-($BA$3-1)+1)&lt;=$BB$3),$AZ$3+(4*7+0-($BA$3-1)+1)-1,"")</f>
        <v>46110</v>
      </c>
      <c r="S16" s="44">
        <f>IF(AND((4*7+1-($BA$3-1)+1)&gt;=1,(4*7+1-($BA$3-1)+1)&lt;=$BB$3),$AZ$3+(4*7+1-($BA$3-1)+1)-1,"")</f>
        <v>46111</v>
      </c>
      <c r="T16" s="44">
        <f>IF(AND((4*7+2-($BA$3-1)+1)&gt;=1,(4*7+2-($BA$3-1)+1)&lt;=$BB$3),$AZ$3+(4*7+2-($BA$3-1)+1)-1,"")</f>
        <v>46112</v>
      </c>
      <c r="U16" s="44" t="str">
        <f>IF(AND((4*7+3-($BA$3-1)+1)&gt;=1,(4*7+3-($BA$3-1)+1)&lt;=$BB$3),$AZ$3+(4*7+3-($BA$3-1)+1)-1,"")</f>
        <v/>
      </c>
      <c r="V16" s="44" t="str">
        <f>IF(AND((4*7+4-($BA$3-1)+1)&gt;=1,(4*7+4-($BA$3-1)+1)&lt;=$BB$3),$AZ$3+(4*7+4-($BA$3-1)+1)-1,"")</f>
        <v/>
      </c>
      <c r="W16" s="44" t="str">
        <f>IF(AND((4*7+5-($BA$3-1)+1)&gt;=1,(4*7+5-($BA$3-1)+1)&lt;=$BB$3),$AZ$3+(4*7+5-($BA$3-1)+1)-1,"")</f>
        <v/>
      </c>
      <c r="X16" s="43" t="str">
        <f>IF(AND((4*7+6-($BA$3-1)+1)&gt;=1,(4*7+6-($BA$3-1)+1)&lt;=$BB$3),$AZ$3+(4*7+6-($BA$3-1)+1)-1,"")</f>
        <v/>
      </c>
    </row>
    <row r="17" spans="2:24" ht="27.95" customHeight="1">
      <c r="B17" s="45" t="str">
        <f>IF(B16="","",IFERROR("● "&amp;INDEX('Release Calendar'!$B$5:$B$504,MATCH(B16,'Release Calendar'!$I$5:$I$504,0))&amp;" · Start ","")&amp;IFERROR("● "&amp;INDEX('Release Calendar'!$B$5:$B$504,MATCH(B16,'Release Calendar'!$J$5:$J$504,0))&amp;" · Target ",""))</f>
        <v/>
      </c>
      <c r="C17" s="46" t="str">
        <f>IF(C16="","",IFERROR("● "&amp;INDEX('Release Calendar'!$B$5:$B$504,MATCH(C16,'Release Calendar'!$I$5:$I$504,0))&amp;" · Start ","")&amp;IFERROR("● "&amp;INDEX('Release Calendar'!$B$5:$B$504,MATCH(C16,'Release Calendar'!$J$5:$J$504,0))&amp;" · Target ",""))</f>
        <v/>
      </c>
      <c r="D17" s="46" t="str">
        <f>IF(D16="","",IFERROR("● "&amp;INDEX('Release Calendar'!$B$5:$B$504,MATCH(D16,'Release Calendar'!$I$5:$I$504,0))&amp;" · Start ","")&amp;IFERROR("● "&amp;INDEX('Release Calendar'!$B$5:$B$504,MATCH(D16,'Release Calendar'!$J$5:$J$504,0))&amp;" · Target ",""))</f>
        <v/>
      </c>
      <c r="E17" s="46" t="str">
        <f>IF(E16="","",IFERROR("● "&amp;INDEX('Release Calendar'!$B$5:$B$504,MATCH(E16,'Release Calendar'!$I$5:$I$504,0))&amp;" · Start ","")&amp;IFERROR("● "&amp;INDEX('Release Calendar'!$B$5:$B$504,MATCH(E16,'Release Calendar'!$J$5:$J$504,0))&amp;" · Target ",""))</f>
        <v/>
      </c>
      <c r="F17" s="46" t="str">
        <f>IF(F16="","",IFERROR("● "&amp;INDEX('Release Calendar'!$B$5:$B$504,MATCH(F16,'Release Calendar'!$I$5:$I$504,0))&amp;" · Start ","")&amp;IFERROR("● "&amp;INDEX('Release Calendar'!$B$5:$B$504,MATCH(F16,'Release Calendar'!$J$5:$J$504,0))&amp;" · Target ",""))</f>
        <v/>
      </c>
      <c r="G17" s="46" t="str">
        <f>IF(G16="","",IFERROR("● "&amp;INDEX('Release Calendar'!$B$5:$B$504,MATCH(G16,'Release Calendar'!$I$5:$I$504,0))&amp;" · Start ","")&amp;IFERROR("● "&amp;INDEX('Release Calendar'!$B$5:$B$504,MATCH(G16,'Release Calendar'!$J$5:$J$504,0))&amp;" · Target ",""))</f>
        <v/>
      </c>
      <c r="H17" s="45" t="str">
        <f>IF(H16="","",IFERROR("● "&amp;INDEX('Release Calendar'!$B$5:$B$504,MATCH(H16,'Release Calendar'!$I$5:$I$504,0))&amp;" · Start ","")&amp;IFERROR("● "&amp;INDEX('Release Calendar'!$B$5:$B$504,MATCH(H16,'Release Calendar'!$J$5:$J$504,0))&amp;" · Target ",""))</f>
        <v/>
      </c>
      <c r="J17" s="45" t="str">
        <f>IF(J16="","",IFERROR("● "&amp;INDEX('Release Calendar'!$B$5:$B$504,MATCH(J16,'Release Calendar'!$I$5:$I$504,0))&amp;" · Start ","")&amp;IFERROR("● "&amp;INDEX('Release Calendar'!$B$5:$B$504,MATCH(J16,'Release Calendar'!$J$5:$J$504,0))&amp;" · Target ",""))</f>
        <v/>
      </c>
      <c r="K17" s="46" t="str">
        <f>IF(K16="","",IFERROR("● "&amp;INDEX('Release Calendar'!$B$5:$B$504,MATCH(K16,'Release Calendar'!$I$5:$I$504,0))&amp;" · Start ","")&amp;IFERROR("● "&amp;INDEX('Release Calendar'!$B$5:$B$504,MATCH(K16,'Release Calendar'!$J$5:$J$504,0))&amp;" · Target ",""))</f>
        <v/>
      </c>
      <c r="L17" s="46" t="str">
        <f>IF(L16="","",IFERROR("● "&amp;INDEX('Release Calendar'!$B$5:$B$504,MATCH(L16,'Release Calendar'!$I$5:$I$504,0))&amp;" · Start ","")&amp;IFERROR("● "&amp;INDEX('Release Calendar'!$B$5:$B$504,MATCH(L16,'Release Calendar'!$J$5:$J$504,0))&amp;" · Target ",""))</f>
        <v/>
      </c>
      <c r="M17" s="46" t="str">
        <f>IF(M16="","",IFERROR("● "&amp;INDEX('Release Calendar'!$B$5:$B$504,MATCH(M16,'Release Calendar'!$I$5:$I$504,0))&amp;" · Start ","")&amp;IFERROR("● "&amp;INDEX('Release Calendar'!$B$5:$B$504,MATCH(M16,'Release Calendar'!$J$5:$J$504,0))&amp;" · Target ",""))</f>
        <v/>
      </c>
      <c r="N17" s="46" t="str">
        <f>IF(N16="","",IFERROR("● "&amp;INDEX('Release Calendar'!$B$5:$B$504,MATCH(N16,'Release Calendar'!$I$5:$I$504,0))&amp;" · Start ","")&amp;IFERROR("● "&amp;INDEX('Release Calendar'!$B$5:$B$504,MATCH(N16,'Release Calendar'!$J$5:$J$504,0))&amp;" · Target ",""))</f>
        <v/>
      </c>
      <c r="O17" s="46" t="str">
        <f>IF(O16="","",IFERROR("● "&amp;INDEX('Release Calendar'!$B$5:$B$504,MATCH(O16,'Release Calendar'!$I$5:$I$504,0))&amp;" · Start ","")&amp;IFERROR("● "&amp;INDEX('Release Calendar'!$B$5:$B$504,MATCH(O16,'Release Calendar'!$J$5:$J$504,0))&amp;" · Target ",""))</f>
        <v/>
      </c>
      <c r="P17" s="45" t="str">
        <f>IF(P16="","",IFERROR("● "&amp;INDEX('Release Calendar'!$B$5:$B$504,MATCH(P16,'Release Calendar'!$I$5:$I$504,0))&amp;" · Start ","")&amp;IFERROR("● "&amp;INDEX('Release Calendar'!$B$5:$B$504,MATCH(P16,'Release Calendar'!$J$5:$J$504,0))&amp;" · Target ",""))</f>
        <v/>
      </c>
      <c r="R17" s="45" t="str">
        <f>IF(R16="","",IFERROR("● "&amp;INDEX('Release Calendar'!$B$5:$B$504,MATCH(R16,'Release Calendar'!$I$5:$I$504,0))&amp;" · Start ","")&amp;IFERROR("● "&amp;INDEX('Release Calendar'!$B$5:$B$504,MATCH(R16,'Release Calendar'!$J$5:$J$504,0))&amp;" · Target ",""))</f>
        <v/>
      </c>
      <c r="S17" s="46" t="str">
        <f>IF(S16="","",IFERROR("● "&amp;INDEX('Release Calendar'!$B$5:$B$504,MATCH(S16,'Release Calendar'!$I$5:$I$504,0))&amp;" · Start ","")&amp;IFERROR("● "&amp;INDEX('Release Calendar'!$B$5:$B$504,MATCH(S16,'Release Calendar'!$J$5:$J$504,0))&amp;" · Target ",""))</f>
        <v/>
      </c>
      <c r="T17" s="46" t="str">
        <f>IF(T16="","",IFERROR("● "&amp;INDEX('Release Calendar'!$B$5:$B$504,MATCH(T16,'Release Calendar'!$I$5:$I$504,0))&amp;" · Start ","")&amp;IFERROR("● "&amp;INDEX('Release Calendar'!$B$5:$B$504,MATCH(T16,'Release Calendar'!$J$5:$J$504,0))&amp;" · Target ",""))</f>
        <v/>
      </c>
      <c r="U17" s="46" t="str">
        <f>IF(U16="","",IFERROR("● "&amp;INDEX('Release Calendar'!$B$5:$B$504,MATCH(U16,'Release Calendar'!$I$5:$I$504,0))&amp;" · Start ","")&amp;IFERROR("● "&amp;INDEX('Release Calendar'!$B$5:$B$504,MATCH(U16,'Release Calendar'!$J$5:$J$504,0))&amp;" · Target ",""))</f>
        <v/>
      </c>
      <c r="V17" s="46" t="str">
        <f>IF(V16="","",IFERROR("● "&amp;INDEX('Release Calendar'!$B$5:$B$504,MATCH(V16,'Release Calendar'!$I$5:$I$504,0))&amp;" · Start ","")&amp;IFERROR("● "&amp;INDEX('Release Calendar'!$B$5:$B$504,MATCH(V16,'Release Calendar'!$J$5:$J$504,0))&amp;" · Target ",""))</f>
        <v/>
      </c>
      <c r="W17" s="46" t="str">
        <f>IF(W16="","",IFERROR("● "&amp;INDEX('Release Calendar'!$B$5:$B$504,MATCH(W16,'Release Calendar'!$I$5:$I$504,0))&amp;" · Start ","")&amp;IFERROR("● "&amp;INDEX('Release Calendar'!$B$5:$B$504,MATCH(W16,'Release Calendar'!$J$5:$J$504,0))&amp;" · Target ",""))</f>
        <v/>
      </c>
      <c r="X17" s="45" t="str">
        <f>IF(X16="","",IFERROR("● "&amp;INDEX('Release Calendar'!$B$5:$B$504,MATCH(X16,'Release Calendar'!$I$5:$I$504,0))&amp;" · Start ","")&amp;IFERROR("● "&amp;INDEX('Release Calendar'!$B$5:$B$504,MATCH(X16,'Release Calendar'!$J$5:$J$504,0))&amp;" · Target ",""))</f>
        <v/>
      </c>
    </row>
    <row r="18" spans="2:24" ht="12.95" customHeight="1">
      <c r="B18" s="43" t="str">
        <f>IF(AND((5*7+0-($BA$1-1)+1)&gt;=1,(5*7+0-($BA$1-1)+1)&lt;=$BB$1),$AZ$1+(5*7+0-($BA$1-1)+1)-1,"")</f>
        <v/>
      </c>
      <c r="C18" s="44" t="str">
        <f>IF(AND((5*7+1-($BA$1-1)+1)&gt;=1,(5*7+1-($BA$1-1)+1)&lt;=$BB$1),$AZ$1+(5*7+1-($BA$1-1)+1)-1,"")</f>
        <v/>
      </c>
      <c r="D18" s="44" t="str">
        <f>IF(AND((5*7+2-($BA$1-1)+1)&gt;=1,(5*7+2-($BA$1-1)+1)&lt;=$BB$1),$AZ$1+(5*7+2-($BA$1-1)+1)-1,"")</f>
        <v/>
      </c>
      <c r="E18" s="44" t="str">
        <f>IF(AND((5*7+3-($BA$1-1)+1)&gt;=1,(5*7+3-($BA$1-1)+1)&lt;=$BB$1),$AZ$1+(5*7+3-($BA$1-1)+1)-1,"")</f>
        <v/>
      </c>
      <c r="F18" s="44" t="str">
        <f>IF(AND((5*7+4-($BA$1-1)+1)&gt;=1,(5*7+4-($BA$1-1)+1)&lt;=$BB$1),$AZ$1+(5*7+4-($BA$1-1)+1)-1,"")</f>
        <v/>
      </c>
      <c r="G18" s="44" t="str">
        <f>IF(AND((5*7+5-($BA$1-1)+1)&gt;=1,(5*7+5-($BA$1-1)+1)&lt;=$BB$1),$AZ$1+(5*7+5-($BA$1-1)+1)-1,"")</f>
        <v/>
      </c>
      <c r="H18" s="43" t="str">
        <f>IF(AND((5*7+6-($BA$1-1)+1)&gt;=1,(5*7+6-($BA$1-1)+1)&lt;=$BB$1),$AZ$1+(5*7+6-($BA$1-1)+1)-1,"")</f>
        <v/>
      </c>
      <c r="J18" s="43" t="str">
        <f>IF(AND((5*7+0-($BA$2-1)+1)&gt;=1,(5*7+0-($BA$2-1)+1)&lt;=$BB$2),$AZ$2+(5*7+0-($BA$2-1)+1)-1,"")</f>
        <v/>
      </c>
      <c r="K18" s="44" t="str">
        <f>IF(AND((5*7+1-($BA$2-1)+1)&gt;=1,(5*7+1-($BA$2-1)+1)&lt;=$BB$2),$AZ$2+(5*7+1-($BA$2-1)+1)-1,"")</f>
        <v/>
      </c>
      <c r="L18" s="44" t="str">
        <f>IF(AND((5*7+2-($BA$2-1)+1)&gt;=1,(5*7+2-($BA$2-1)+1)&lt;=$BB$2),$AZ$2+(5*7+2-($BA$2-1)+1)-1,"")</f>
        <v/>
      </c>
      <c r="M18" s="44" t="str">
        <f>IF(AND((5*7+3-($BA$2-1)+1)&gt;=1,(5*7+3-($BA$2-1)+1)&lt;=$BB$2),$AZ$2+(5*7+3-($BA$2-1)+1)-1,"")</f>
        <v/>
      </c>
      <c r="N18" s="44" t="str">
        <f>IF(AND((5*7+4-($BA$2-1)+1)&gt;=1,(5*7+4-($BA$2-1)+1)&lt;=$BB$2),$AZ$2+(5*7+4-($BA$2-1)+1)-1,"")</f>
        <v/>
      </c>
      <c r="O18" s="44" t="str">
        <f>IF(AND((5*7+5-($BA$2-1)+1)&gt;=1,(5*7+5-($BA$2-1)+1)&lt;=$BB$2),$AZ$2+(5*7+5-($BA$2-1)+1)-1,"")</f>
        <v/>
      </c>
      <c r="P18" s="43" t="str">
        <f>IF(AND((5*7+6-($BA$2-1)+1)&gt;=1,(5*7+6-($BA$2-1)+1)&lt;=$BB$2),$AZ$2+(5*7+6-($BA$2-1)+1)-1,"")</f>
        <v/>
      </c>
      <c r="R18" s="43" t="str">
        <f>IF(AND((5*7+0-($BA$3-1)+1)&gt;=1,(5*7+0-($BA$3-1)+1)&lt;=$BB$3),$AZ$3+(5*7+0-($BA$3-1)+1)-1,"")</f>
        <v/>
      </c>
      <c r="S18" s="44" t="str">
        <f>IF(AND((5*7+1-($BA$3-1)+1)&gt;=1,(5*7+1-($BA$3-1)+1)&lt;=$BB$3),$AZ$3+(5*7+1-($BA$3-1)+1)-1,"")</f>
        <v/>
      </c>
      <c r="T18" s="44" t="str">
        <f>IF(AND((5*7+2-($BA$3-1)+1)&gt;=1,(5*7+2-($BA$3-1)+1)&lt;=$BB$3),$AZ$3+(5*7+2-($BA$3-1)+1)-1,"")</f>
        <v/>
      </c>
      <c r="U18" s="44" t="str">
        <f>IF(AND((5*7+3-($BA$3-1)+1)&gt;=1,(5*7+3-($BA$3-1)+1)&lt;=$BB$3),$AZ$3+(5*7+3-($BA$3-1)+1)-1,"")</f>
        <v/>
      </c>
      <c r="V18" s="44" t="str">
        <f>IF(AND((5*7+4-($BA$3-1)+1)&gt;=1,(5*7+4-($BA$3-1)+1)&lt;=$BB$3),$AZ$3+(5*7+4-($BA$3-1)+1)-1,"")</f>
        <v/>
      </c>
      <c r="W18" s="44" t="str">
        <f>IF(AND((5*7+5-($BA$3-1)+1)&gt;=1,(5*7+5-($BA$3-1)+1)&lt;=$BB$3),$AZ$3+(5*7+5-($BA$3-1)+1)-1,"")</f>
        <v/>
      </c>
      <c r="X18" s="43" t="str">
        <f>IF(AND((5*7+6-($BA$3-1)+1)&gt;=1,(5*7+6-($BA$3-1)+1)&lt;=$BB$3),$AZ$3+(5*7+6-($BA$3-1)+1)-1,"")</f>
        <v/>
      </c>
    </row>
    <row r="19" spans="2:24" ht="27.95" customHeight="1">
      <c r="B19" s="45" t="str">
        <f>IF(B18="","",IFERROR("● "&amp;INDEX('Release Calendar'!$B$5:$B$504,MATCH(B18,'Release Calendar'!$I$5:$I$504,0))&amp;" · Start ","")&amp;IFERROR("● "&amp;INDEX('Release Calendar'!$B$5:$B$504,MATCH(B18,'Release Calendar'!$J$5:$J$504,0))&amp;" · Target ",""))</f>
        <v/>
      </c>
      <c r="C19" s="46" t="str">
        <f>IF(C18="","",IFERROR("● "&amp;INDEX('Release Calendar'!$B$5:$B$504,MATCH(C18,'Release Calendar'!$I$5:$I$504,0))&amp;" · Start ","")&amp;IFERROR("● "&amp;INDEX('Release Calendar'!$B$5:$B$504,MATCH(C18,'Release Calendar'!$J$5:$J$504,0))&amp;" · Target ",""))</f>
        <v/>
      </c>
      <c r="D19" s="46" t="str">
        <f>IF(D18="","",IFERROR("● "&amp;INDEX('Release Calendar'!$B$5:$B$504,MATCH(D18,'Release Calendar'!$I$5:$I$504,0))&amp;" · Start ","")&amp;IFERROR("● "&amp;INDEX('Release Calendar'!$B$5:$B$504,MATCH(D18,'Release Calendar'!$J$5:$J$504,0))&amp;" · Target ",""))</f>
        <v/>
      </c>
      <c r="E19" s="46" t="str">
        <f>IF(E18="","",IFERROR("● "&amp;INDEX('Release Calendar'!$B$5:$B$504,MATCH(E18,'Release Calendar'!$I$5:$I$504,0))&amp;" · Start ","")&amp;IFERROR("● "&amp;INDEX('Release Calendar'!$B$5:$B$504,MATCH(E18,'Release Calendar'!$J$5:$J$504,0))&amp;" · Target ",""))</f>
        <v/>
      </c>
      <c r="F19" s="46" t="str">
        <f>IF(F18="","",IFERROR("● "&amp;INDEX('Release Calendar'!$B$5:$B$504,MATCH(F18,'Release Calendar'!$I$5:$I$504,0))&amp;" · Start ","")&amp;IFERROR("● "&amp;INDEX('Release Calendar'!$B$5:$B$504,MATCH(F18,'Release Calendar'!$J$5:$J$504,0))&amp;" · Target ",""))</f>
        <v/>
      </c>
      <c r="G19" s="46" t="str">
        <f>IF(G18="","",IFERROR("● "&amp;INDEX('Release Calendar'!$B$5:$B$504,MATCH(G18,'Release Calendar'!$I$5:$I$504,0))&amp;" · Start ","")&amp;IFERROR("● "&amp;INDEX('Release Calendar'!$B$5:$B$504,MATCH(G18,'Release Calendar'!$J$5:$J$504,0))&amp;" · Target ",""))</f>
        <v/>
      </c>
      <c r="H19" s="45" t="str">
        <f>IF(H18="","",IFERROR("● "&amp;INDEX('Release Calendar'!$B$5:$B$504,MATCH(H18,'Release Calendar'!$I$5:$I$504,0))&amp;" · Start ","")&amp;IFERROR("● "&amp;INDEX('Release Calendar'!$B$5:$B$504,MATCH(H18,'Release Calendar'!$J$5:$J$504,0))&amp;" · Target ",""))</f>
        <v/>
      </c>
      <c r="J19" s="45" t="str">
        <f>IF(J18="","",IFERROR("● "&amp;INDEX('Release Calendar'!$B$5:$B$504,MATCH(J18,'Release Calendar'!$I$5:$I$504,0))&amp;" · Start ","")&amp;IFERROR("● "&amp;INDEX('Release Calendar'!$B$5:$B$504,MATCH(J18,'Release Calendar'!$J$5:$J$504,0))&amp;" · Target ",""))</f>
        <v/>
      </c>
      <c r="K19" s="46" t="str">
        <f>IF(K18="","",IFERROR("● "&amp;INDEX('Release Calendar'!$B$5:$B$504,MATCH(K18,'Release Calendar'!$I$5:$I$504,0))&amp;" · Start ","")&amp;IFERROR("● "&amp;INDEX('Release Calendar'!$B$5:$B$504,MATCH(K18,'Release Calendar'!$J$5:$J$504,0))&amp;" · Target ",""))</f>
        <v/>
      </c>
      <c r="L19" s="46" t="str">
        <f>IF(L18="","",IFERROR("● "&amp;INDEX('Release Calendar'!$B$5:$B$504,MATCH(L18,'Release Calendar'!$I$5:$I$504,0))&amp;" · Start ","")&amp;IFERROR("● "&amp;INDEX('Release Calendar'!$B$5:$B$504,MATCH(L18,'Release Calendar'!$J$5:$J$504,0))&amp;" · Target ",""))</f>
        <v/>
      </c>
      <c r="M19" s="46" t="str">
        <f>IF(M18="","",IFERROR("● "&amp;INDEX('Release Calendar'!$B$5:$B$504,MATCH(M18,'Release Calendar'!$I$5:$I$504,0))&amp;" · Start ","")&amp;IFERROR("● "&amp;INDEX('Release Calendar'!$B$5:$B$504,MATCH(M18,'Release Calendar'!$J$5:$J$504,0))&amp;" · Target ",""))</f>
        <v/>
      </c>
      <c r="N19" s="46" t="str">
        <f>IF(N18="","",IFERROR("● "&amp;INDEX('Release Calendar'!$B$5:$B$504,MATCH(N18,'Release Calendar'!$I$5:$I$504,0))&amp;" · Start ","")&amp;IFERROR("● "&amp;INDEX('Release Calendar'!$B$5:$B$504,MATCH(N18,'Release Calendar'!$J$5:$J$504,0))&amp;" · Target ",""))</f>
        <v/>
      </c>
      <c r="O19" s="46" t="str">
        <f>IF(O18="","",IFERROR("● "&amp;INDEX('Release Calendar'!$B$5:$B$504,MATCH(O18,'Release Calendar'!$I$5:$I$504,0))&amp;" · Start ","")&amp;IFERROR("● "&amp;INDEX('Release Calendar'!$B$5:$B$504,MATCH(O18,'Release Calendar'!$J$5:$J$504,0))&amp;" · Target ",""))</f>
        <v/>
      </c>
      <c r="P19" s="45" t="str">
        <f>IF(P18="","",IFERROR("● "&amp;INDEX('Release Calendar'!$B$5:$B$504,MATCH(P18,'Release Calendar'!$I$5:$I$504,0))&amp;" · Start ","")&amp;IFERROR("● "&amp;INDEX('Release Calendar'!$B$5:$B$504,MATCH(P18,'Release Calendar'!$J$5:$J$504,0))&amp;" · Target ",""))</f>
        <v/>
      </c>
      <c r="R19" s="45" t="str">
        <f>IF(R18="","",IFERROR("● "&amp;INDEX('Release Calendar'!$B$5:$B$504,MATCH(R18,'Release Calendar'!$I$5:$I$504,0))&amp;" · Start ","")&amp;IFERROR("● "&amp;INDEX('Release Calendar'!$B$5:$B$504,MATCH(R18,'Release Calendar'!$J$5:$J$504,0))&amp;" · Target ",""))</f>
        <v/>
      </c>
      <c r="S19" s="46" t="str">
        <f>IF(S18="","",IFERROR("● "&amp;INDEX('Release Calendar'!$B$5:$B$504,MATCH(S18,'Release Calendar'!$I$5:$I$504,0))&amp;" · Start ","")&amp;IFERROR("● "&amp;INDEX('Release Calendar'!$B$5:$B$504,MATCH(S18,'Release Calendar'!$J$5:$J$504,0))&amp;" · Target ",""))</f>
        <v/>
      </c>
      <c r="T19" s="46" t="str">
        <f>IF(T18="","",IFERROR("● "&amp;INDEX('Release Calendar'!$B$5:$B$504,MATCH(T18,'Release Calendar'!$I$5:$I$504,0))&amp;" · Start ","")&amp;IFERROR("● "&amp;INDEX('Release Calendar'!$B$5:$B$504,MATCH(T18,'Release Calendar'!$J$5:$J$504,0))&amp;" · Target ",""))</f>
        <v/>
      </c>
      <c r="U19" s="46" t="str">
        <f>IF(U18="","",IFERROR("● "&amp;INDEX('Release Calendar'!$B$5:$B$504,MATCH(U18,'Release Calendar'!$I$5:$I$504,0))&amp;" · Start ","")&amp;IFERROR("● "&amp;INDEX('Release Calendar'!$B$5:$B$504,MATCH(U18,'Release Calendar'!$J$5:$J$504,0))&amp;" · Target ",""))</f>
        <v/>
      </c>
      <c r="V19" s="46" t="str">
        <f>IF(V18="","",IFERROR("● "&amp;INDEX('Release Calendar'!$B$5:$B$504,MATCH(V18,'Release Calendar'!$I$5:$I$504,0))&amp;" · Start ","")&amp;IFERROR("● "&amp;INDEX('Release Calendar'!$B$5:$B$504,MATCH(V18,'Release Calendar'!$J$5:$J$504,0))&amp;" · Target ",""))</f>
        <v/>
      </c>
      <c r="W19" s="46" t="str">
        <f>IF(W18="","",IFERROR("● "&amp;INDEX('Release Calendar'!$B$5:$B$504,MATCH(W18,'Release Calendar'!$I$5:$I$504,0))&amp;" · Start ","")&amp;IFERROR("● "&amp;INDEX('Release Calendar'!$B$5:$B$504,MATCH(W18,'Release Calendar'!$J$5:$J$504,0))&amp;" · Target ",""))</f>
        <v/>
      </c>
      <c r="X19" s="45" t="str">
        <f>IF(X18="","",IFERROR("● "&amp;INDEX('Release Calendar'!$B$5:$B$504,MATCH(X18,'Release Calendar'!$I$5:$I$504,0))&amp;" · Start ","")&amp;IFERROR("● "&amp;INDEX('Release Calendar'!$B$5:$B$504,MATCH(X18,'Release Calendar'!$J$5:$J$504,0))&amp;" · Target ",""))</f>
        <v/>
      </c>
    </row>
    <row r="21" spans="2:24" ht="21.95" customHeight="1">
      <c r="B21" s="116" t="str">
        <f>TEXT(DATE($B$4,4,1),"mmmm")</f>
        <v>April</v>
      </c>
      <c r="C21" s="122"/>
      <c r="D21" s="122"/>
      <c r="E21" s="122"/>
      <c r="F21" s="122"/>
      <c r="G21" s="122"/>
      <c r="H21" s="122"/>
      <c r="J21" s="116" t="str">
        <f>TEXT(DATE($B$4,5,1),"mmmm")</f>
        <v>May</v>
      </c>
      <c r="K21" s="122"/>
      <c r="L21" s="122"/>
      <c r="M21" s="122"/>
      <c r="N21" s="122"/>
      <c r="O21" s="122"/>
      <c r="P21" s="122"/>
      <c r="R21" s="116" t="str">
        <f>TEXT(DATE($B$4,6,1),"mmmm")</f>
        <v>June</v>
      </c>
      <c r="S21" s="122"/>
      <c r="T21" s="122"/>
      <c r="U21" s="122"/>
      <c r="V21" s="122"/>
      <c r="W21" s="122"/>
      <c r="X21" s="122"/>
    </row>
    <row r="22" spans="2:24" ht="15" customHeight="1">
      <c r="B22" s="42" t="s">
        <v>179</v>
      </c>
      <c r="C22" s="42" t="s">
        <v>180</v>
      </c>
      <c r="D22" s="42" t="s">
        <v>181</v>
      </c>
      <c r="E22" s="42" t="s">
        <v>182</v>
      </c>
      <c r="F22" s="42" t="s">
        <v>183</v>
      </c>
      <c r="G22" s="42" t="s">
        <v>184</v>
      </c>
      <c r="H22" s="42" t="s">
        <v>185</v>
      </c>
      <c r="J22" s="42" t="s">
        <v>179</v>
      </c>
      <c r="K22" s="42" t="s">
        <v>180</v>
      </c>
      <c r="L22" s="42" t="s">
        <v>181</v>
      </c>
      <c r="M22" s="42" t="s">
        <v>182</v>
      </c>
      <c r="N22" s="42" t="s">
        <v>183</v>
      </c>
      <c r="O22" s="42" t="s">
        <v>184</v>
      </c>
      <c r="P22" s="42" t="s">
        <v>185</v>
      </c>
      <c r="R22" s="42" t="s">
        <v>179</v>
      </c>
      <c r="S22" s="42" t="s">
        <v>180</v>
      </c>
      <c r="T22" s="42" t="s">
        <v>181</v>
      </c>
      <c r="U22" s="42" t="s">
        <v>182</v>
      </c>
      <c r="V22" s="42" t="s">
        <v>183</v>
      </c>
      <c r="W22" s="42" t="s">
        <v>184</v>
      </c>
      <c r="X22" s="42" t="s">
        <v>185</v>
      </c>
    </row>
    <row r="23" spans="2:24" ht="12.95" customHeight="1">
      <c r="B23" s="43" t="str">
        <f>IF(AND((0*7+0-($BA$4-1)+1)&gt;=1,(0*7+0-($BA$4-1)+1)&lt;=$BB$4),$AZ$4+(0*7+0-($BA$4-1)+1)-1,"")</f>
        <v/>
      </c>
      <c r="C23" s="44" t="str">
        <f>IF(AND((0*7+1-($BA$4-1)+1)&gt;=1,(0*7+1-($BA$4-1)+1)&lt;=$BB$4),$AZ$4+(0*7+1-($BA$4-1)+1)-1,"")</f>
        <v/>
      </c>
      <c r="D23" s="44" t="str">
        <f>IF(AND((0*7+2-($BA$4-1)+1)&gt;=1,(0*7+2-($BA$4-1)+1)&lt;=$BB$4),$AZ$4+(0*7+2-($BA$4-1)+1)-1,"")</f>
        <v/>
      </c>
      <c r="E23" s="44">
        <f>IF(AND((0*7+3-($BA$4-1)+1)&gt;=1,(0*7+3-($BA$4-1)+1)&lt;=$BB$4),$AZ$4+(0*7+3-($BA$4-1)+1)-1,"")</f>
        <v>46113</v>
      </c>
      <c r="F23" s="44">
        <f>IF(AND((0*7+4-($BA$4-1)+1)&gt;=1,(0*7+4-($BA$4-1)+1)&lt;=$BB$4),$AZ$4+(0*7+4-($BA$4-1)+1)-1,"")</f>
        <v>46114</v>
      </c>
      <c r="G23" s="44">
        <f>IF(AND((0*7+5-($BA$4-1)+1)&gt;=1,(0*7+5-($BA$4-1)+1)&lt;=$BB$4),$AZ$4+(0*7+5-($BA$4-1)+1)-1,"")</f>
        <v>46115</v>
      </c>
      <c r="H23" s="43">
        <f>IF(AND((0*7+6-($BA$4-1)+1)&gt;=1,(0*7+6-($BA$4-1)+1)&lt;=$BB$4),$AZ$4+(0*7+6-($BA$4-1)+1)-1,"")</f>
        <v>46116</v>
      </c>
      <c r="J23" s="43" t="str">
        <f>IF(AND((0*7+0-($BA$5-1)+1)&gt;=1,(0*7+0-($BA$5-1)+1)&lt;=$BB$5),$AZ$5+(0*7+0-($BA$5-1)+1)-1,"")</f>
        <v/>
      </c>
      <c r="K23" s="44" t="str">
        <f>IF(AND((0*7+1-($BA$5-1)+1)&gt;=1,(0*7+1-($BA$5-1)+1)&lt;=$BB$5),$AZ$5+(0*7+1-($BA$5-1)+1)-1,"")</f>
        <v/>
      </c>
      <c r="L23" s="44" t="str">
        <f>IF(AND((0*7+2-($BA$5-1)+1)&gt;=1,(0*7+2-($BA$5-1)+1)&lt;=$BB$5),$AZ$5+(0*7+2-($BA$5-1)+1)-1,"")</f>
        <v/>
      </c>
      <c r="M23" s="44" t="str">
        <f>IF(AND((0*7+3-($BA$5-1)+1)&gt;=1,(0*7+3-($BA$5-1)+1)&lt;=$BB$5),$AZ$5+(0*7+3-($BA$5-1)+1)-1,"")</f>
        <v/>
      </c>
      <c r="N23" s="44" t="str">
        <f>IF(AND((0*7+4-($BA$5-1)+1)&gt;=1,(0*7+4-($BA$5-1)+1)&lt;=$BB$5),$AZ$5+(0*7+4-($BA$5-1)+1)-1,"")</f>
        <v/>
      </c>
      <c r="O23" s="44">
        <f>IF(AND((0*7+5-($BA$5-1)+1)&gt;=1,(0*7+5-($BA$5-1)+1)&lt;=$BB$5),$AZ$5+(0*7+5-($BA$5-1)+1)-1,"")</f>
        <v>46143</v>
      </c>
      <c r="P23" s="43">
        <f>IF(AND((0*7+6-($BA$5-1)+1)&gt;=1,(0*7+6-($BA$5-1)+1)&lt;=$BB$5),$AZ$5+(0*7+6-($BA$5-1)+1)-1,"")</f>
        <v>46144</v>
      </c>
      <c r="R23" s="43" t="str">
        <f>IF(AND((0*7+0-($BA$6-1)+1)&gt;=1,(0*7+0-($BA$6-1)+1)&lt;=$BB$6),$AZ$6+(0*7+0-($BA$6-1)+1)-1,"")</f>
        <v/>
      </c>
      <c r="S23" s="44">
        <f>IF(AND((0*7+1-($BA$6-1)+1)&gt;=1,(0*7+1-($BA$6-1)+1)&lt;=$BB$6),$AZ$6+(0*7+1-($BA$6-1)+1)-1,"")</f>
        <v>46174</v>
      </c>
      <c r="T23" s="44">
        <f>IF(AND((0*7+2-($BA$6-1)+1)&gt;=1,(0*7+2-($BA$6-1)+1)&lt;=$BB$6),$AZ$6+(0*7+2-($BA$6-1)+1)-1,"")</f>
        <v>46175</v>
      </c>
      <c r="U23" s="44">
        <f>IF(AND((0*7+3-($BA$6-1)+1)&gt;=1,(0*7+3-($BA$6-1)+1)&lt;=$BB$6),$AZ$6+(0*7+3-($BA$6-1)+1)-1,"")</f>
        <v>46176</v>
      </c>
      <c r="V23" s="44">
        <f>IF(AND((0*7+4-($BA$6-1)+1)&gt;=1,(0*7+4-($BA$6-1)+1)&lt;=$BB$6),$AZ$6+(0*7+4-($BA$6-1)+1)-1,"")</f>
        <v>46177</v>
      </c>
      <c r="W23" s="44">
        <f>IF(AND((0*7+5-($BA$6-1)+1)&gt;=1,(0*7+5-($BA$6-1)+1)&lt;=$BB$6),$AZ$6+(0*7+5-($BA$6-1)+1)-1,"")</f>
        <v>46178</v>
      </c>
      <c r="X23" s="43">
        <f>IF(AND((0*7+6-($BA$6-1)+1)&gt;=1,(0*7+6-($BA$6-1)+1)&lt;=$BB$6),$AZ$6+(0*7+6-($BA$6-1)+1)-1,"")</f>
        <v>46179</v>
      </c>
    </row>
    <row r="24" spans="2:24" ht="27.95" customHeight="1">
      <c r="B24" s="45" t="str">
        <f>IF(B23="","",IFERROR("● "&amp;INDEX('Release Calendar'!$B$5:$B$504,MATCH(B23,'Release Calendar'!$I$5:$I$504,0))&amp;" · Start ","")&amp;IFERROR("● "&amp;INDEX('Release Calendar'!$B$5:$B$504,MATCH(B23,'Release Calendar'!$J$5:$J$504,0))&amp;" · Target ",""))</f>
        <v/>
      </c>
      <c r="C24" s="46" t="str">
        <f>IF(C23="","",IFERROR("● "&amp;INDEX('Release Calendar'!$B$5:$B$504,MATCH(C23,'Release Calendar'!$I$5:$I$504,0))&amp;" · Start ","")&amp;IFERROR("● "&amp;INDEX('Release Calendar'!$B$5:$B$504,MATCH(C23,'Release Calendar'!$J$5:$J$504,0))&amp;" · Target ",""))</f>
        <v/>
      </c>
      <c r="D24" s="46" t="str">
        <f>IF(D23="","",IFERROR("● "&amp;INDEX('Release Calendar'!$B$5:$B$504,MATCH(D23,'Release Calendar'!$I$5:$I$504,0))&amp;" · Start ","")&amp;IFERROR("● "&amp;INDEX('Release Calendar'!$B$5:$B$504,MATCH(D23,'Release Calendar'!$J$5:$J$504,0))&amp;" · Target ",""))</f>
        <v/>
      </c>
      <c r="E24" s="46" t="str">
        <f>IF(E23="","",IFERROR("● "&amp;INDEX('Release Calendar'!$B$5:$B$504,MATCH(E23,'Release Calendar'!$I$5:$I$504,0))&amp;" · Start ","")&amp;IFERROR("● "&amp;INDEX('Release Calendar'!$B$5:$B$504,MATCH(E23,'Release Calendar'!$J$5:$J$504,0))&amp;" · Target ",""))</f>
        <v/>
      </c>
      <c r="F24" s="46" t="str">
        <f>IF(F23="","",IFERROR("● "&amp;INDEX('Release Calendar'!$B$5:$B$504,MATCH(F23,'Release Calendar'!$I$5:$I$504,0))&amp;" · Start ","")&amp;IFERROR("● "&amp;INDEX('Release Calendar'!$B$5:$B$504,MATCH(F23,'Release Calendar'!$J$5:$J$504,0))&amp;" · Target ",""))</f>
        <v/>
      </c>
      <c r="G24" s="46" t="str">
        <f>IF(G23="","",IFERROR("● "&amp;INDEX('Release Calendar'!$B$5:$B$504,MATCH(G23,'Release Calendar'!$I$5:$I$504,0))&amp;" · Start ","")&amp;IFERROR("● "&amp;INDEX('Release Calendar'!$B$5:$B$504,MATCH(G23,'Release Calendar'!$J$5:$J$504,0))&amp;" · Target ",""))</f>
        <v/>
      </c>
      <c r="H24" s="45" t="str">
        <f>IF(H23="","",IFERROR("● "&amp;INDEX('Release Calendar'!$B$5:$B$504,MATCH(H23,'Release Calendar'!$I$5:$I$504,0))&amp;" · Start ","")&amp;IFERROR("● "&amp;INDEX('Release Calendar'!$B$5:$B$504,MATCH(H23,'Release Calendar'!$J$5:$J$504,0))&amp;" · Target ",""))</f>
        <v/>
      </c>
      <c r="J24" s="45" t="str">
        <f>IF(J23="","",IFERROR("● "&amp;INDEX('Release Calendar'!$B$5:$B$504,MATCH(J23,'Release Calendar'!$I$5:$I$504,0))&amp;" · Start ","")&amp;IFERROR("● "&amp;INDEX('Release Calendar'!$B$5:$B$504,MATCH(J23,'Release Calendar'!$J$5:$J$504,0))&amp;" · Target ",""))</f>
        <v/>
      </c>
      <c r="K24" s="46" t="str">
        <f>IF(K23="","",IFERROR("● "&amp;INDEX('Release Calendar'!$B$5:$B$504,MATCH(K23,'Release Calendar'!$I$5:$I$504,0))&amp;" · Start ","")&amp;IFERROR("● "&amp;INDEX('Release Calendar'!$B$5:$B$504,MATCH(K23,'Release Calendar'!$J$5:$J$504,0))&amp;" · Target ",""))</f>
        <v/>
      </c>
      <c r="L24" s="46" t="str">
        <f>IF(L23="","",IFERROR("● "&amp;INDEX('Release Calendar'!$B$5:$B$504,MATCH(L23,'Release Calendar'!$I$5:$I$504,0))&amp;" · Start ","")&amp;IFERROR("● "&amp;INDEX('Release Calendar'!$B$5:$B$504,MATCH(L23,'Release Calendar'!$J$5:$J$504,0))&amp;" · Target ",""))</f>
        <v/>
      </c>
      <c r="M24" s="46" t="str">
        <f>IF(M23="","",IFERROR("● "&amp;INDEX('Release Calendar'!$B$5:$B$504,MATCH(M23,'Release Calendar'!$I$5:$I$504,0))&amp;" · Start ","")&amp;IFERROR("● "&amp;INDEX('Release Calendar'!$B$5:$B$504,MATCH(M23,'Release Calendar'!$J$5:$J$504,0))&amp;" · Target ",""))</f>
        <v/>
      </c>
      <c r="N24" s="46" t="str">
        <f>IF(N23="","",IFERROR("● "&amp;INDEX('Release Calendar'!$B$5:$B$504,MATCH(N23,'Release Calendar'!$I$5:$I$504,0))&amp;" · Start ","")&amp;IFERROR("● "&amp;INDEX('Release Calendar'!$B$5:$B$504,MATCH(N23,'Release Calendar'!$J$5:$J$504,0))&amp;" · Target ",""))</f>
        <v/>
      </c>
      <c r="O24" s="46" t="str">
        <f>IF(O23="","",IFERROR("● "&amp;INDEX('Release Calendar'!$B$5:$B$504,MATCH(O23,'Release Calendar'!$I$5:$I$504,0))&amp;" · Start ","")&amp;IFERROR("● "&amp;INDEX('Release Calendar'!$B$5:$B$504,MATCH(O23,'Release Calendar'!$J$5:$J$504,0))&amp;" · Target ",""))</f>
        <v/>
      </c>
      <c r="P24" s="45" t="str">
        <f>IF(P23="","",IFERROR("● "&amp;INDEX('Release Calendar'!$B$5:$B$504,MATCH(P23,'Release Calendar'!$I$5:$I$504,0))&amp;" · Start ","")&amp;IFERROR("● "&amp;INDEX('Release Calendar'!$B$5:$B$504,MATCH(P23,'Release Calendar'!$J$5:$J$504,0))&amp;" · Target ",""))</f>
        <v/>
      </c>
      <c r="R24" s="45" t="str">
        <f>IF(R23="","",IFERROR("● "&amp;INDEX('Release Calendar'!$B$5:$B$504,MATCH(R23,'Release Calendar'!$I$5:$I$504,0))&amp;" · Start ","")&amp;IFERROR("● "&amp;INDEX('Release Calendar'!$B$5:$B$504,MATCH(R23,'Release Calendar'!$J$5:$J$504,0))&amp;" · Target ",""))</f>
        <v/>
      </c>
      <c r="S24" s="46" t="str">
        <f>IF(S23="","",IFERROR("● "&amp;INDEX('Release Calendar'!$B$5:$B$504,MATCH(S23,'Release Calendar'!$I$5:$I$504,0))&amp;" · Start ","")&amp;IFERROR("● "&amp;INDEX('Release Calendar'!$B$5:$B$504,MATCH(S23,'Release Calendar'!$J$5:$J$504,0))&amp;" · Target ",""))</f>
        <v/>
      </c>
      <c r="T24" s="46" t="str">
        <f>IF(T23="","",IFERROR("● "&amp;INDEX('Release Calendar'!$B$5:$B$504,MATCH(T23,'Release Calendar'!$I$5:$I$504,0))&amp;" · Start ","")&amp;IFERROR("● "&amp;INDEX('Release Calendar'!$B$5:$B$504,MATCH(T23,'Release Calendar'!$J$5:$J$504,0))&amp;" · Target ",""))</f>
        <v/>
      </c>
      <c r="U24" s="46" t="str">
        <f>IF(U23="","",IFERROR("● "&amp;INDEX('Release Calendar'!$B$5:$B$504,MATCH(U23,'Release Calendar'!$I$5:$I$504,0))&amp;" · Start ","")&amp;IFERROR("● "&amp;INDEX('Release Calendar'!$B$5:$B$504,MATCH(U23,'Release Calendar'!$J$5:$J$504,0))&amp;" · Target ",""))</f>
        <v/>
      </c>
      <c r="V24" s="46" t="str">
        <f>IF(V23="","",IFERROR("● "&amp;INDEX('Release Calendar'!$B$5:$B$504,MATCH(V23,'Release Calendar'!$I$5:$I$504,0))&amp;" · Start ","")&amp;IFERROR("● "&amp;INDEX('Release Calendar'!$B$5:$B$504,MATCH(V23,'Release Calendar'!$J$5:$J$504,0))&amp;" · Target ",""))</f>
        <v/>
      </c>
      <c r="W24" s="46" t="str">
        <f>IF(W23="","",IFERROR("● "&amp;INDEX('Release Calendar'!$B$5:$B$504,MATCH(W23,'Release Calendar'!$I$5:$I$504,0))&amp;" · Start ","")&amp;IFERROR("● "&amp;INDEX('Release Calendar'!$B$5:$B$504,MATCH(W23,'Release Calendar'!$J$5:$J$504,0))&amp;" · Target ",""))</f>
        <v/>
      </c>
      <c r="X24" s="45" t="str">
        <f>IF(X23="","",IFERROR("● "&amp;INDEX('Release Calendar'!$B$5:$B$504,MATCH(X23,'Release Calendar'!$I$5:$I$504,0))&amp;" · Start ","")&amp;IFERROR("● "&amp;INDEX('Release Calendar'!$B$5:$B$504,MATCH(X23,'Release Calendar'!$J$5:$J$504,0))&amp;" · Target ",""))</f>
        <v/>
      </c>
    </row>
    <row r="25" spans="2:24" ht="12.95" customHeight="1">
      <c r="B25" s="43">
        <f>IF(AND((1*7+0-($BA$4-1)+1)&gt;=1,(1*7+0-($BA$4-1)+1)&lt;=$BB$4),$AZ$4+(1*7+0-($BA$4-1)+1)-1,"")</f>
        <v>46117</v>
      </c>
      <c r="C25" s="44">
        <f>IF(AND((1*7+1-($BA$4-1)+1)&gt;=1,(1*7+1-($BA$4-1)+1)&lt;=$BB$4),$AZ$4+(1*7+1-($BA$4-1)+1)-1,"")</f>
        <v>46118</v>
      </c>
      <c r="D25" s="44">
        <f>IF(AND((1*7+2-($BA$4-1)+1)&gt;=1,(1*7+2-($BA$4-1)+1)&lt;=$BB$4),$AZ$4+(1*7+2-($BA$4-1)+1)-1,"")</f>
        <v>46119</v>
      </c>
      <c r="E25" s="44">
        <f>IF(AND((1*7+3-($BA$4-1)+1)&gt;=1,(1*7+3-($BA$4-1)+1)&lt;=$BB$4),$AZ$4+(1*7+3-($BA$4-1)+1)-1,"")</f>
        <v>46120</v>
      </c>
      <c r="F25" s="44">
        <f>IF(AND((1*7+4-($BA$4-1)+1)&gt;=1,(1*7+4-($BA$4-1)+1)&lt;=$BB$4),$AZ$4+(1*7+4-($BA$4-1)+1)-1,"")</f>
        <v>46121</v>
      </c>
      <c r="G25" s="44">
        <f>IF(AND((1*7+5-($BA$4-1)+1)&gt;=1,(1*7+5-($BA$4-1)+1)&lt;=$BB$4),$AZ$4+(1*7+5-($BA$4-1)+1)-1,"")</f>
        <v>46122</v>
      </c>
      <c r="H25" s="43">
        <f>IF(AND((1*7+6-($BA$4-1)+1)&gt;=1,(1*7+6-($BA$4-1)+1)&lt;=$BB$4),$AZ$4+(1*7+6-($BA$4-1)+1)-1,"")</f>
        <v>46123</v>
      </c>
      <c r="J25" s="43">
        <f>IF(AND((1*7+0-($BA$5-1)+1)&gt;=1,(1*7+0-($BA$5-1)+1)&lt;=$BB$5),$AZ$5+(1*7+0-($BA$5-1)+1)-1,"")</f>
        <v>46145</v>
      </c>
      <c r="K25" s="44">
        <f>IF(AND((1*7+1-($BA$5-1)+1)&gt;=1,(1*7+1-($BA$5-1)+1)&lt;=$BB$5),$AZ$5+(1*7+1-($BA$5-1)+1)-1,"")</f>
        <v>46146</v>
      </c>
      <c r="L25" s="44">
        <f>IF(AND((1*7+2-($BA$5-1)+1)&gt;=1,(1*7+2-($BA$5-1)+1)&lt;=$BB$5),$AZ$5+(1*7+2-($BA$5-1)+1)-1,"")</f>
        <v>46147</v>
      </c>
      <c r="M25" s="44">
        <f>IF(AND((1*7+3-($BA$5-1)+1)&gt;=1,(1*7+3-($BA$5-1)+1)&lt;=$BB$5),$AZ$5+(1*7+3-($BA$5-1)+1)-1,"")</f>
        <v>46148</v>
      </c>
      <c r="N25" s="44">
        <f>IF(AND((1*7+4-($BA$5-1)+1)&gt;=1,(1*7+4-($BA$5-1)+1)&lt;=$BB$5),$AZ$5+(1*7+4-($BA$5-1)+1)-1,"")</f>
        <v>46149</v>
      </c>
      <c r="O25" s="44">
        <f>IF(AND((1*7+5-($BA$5-1)+1)&gt;=1,(1*7+5-($BA$5-1)+1)&lt;=$BB$5),$AZ$5+(1*7+5-($BA$5-1)+1)-1,"")</f>
        <v>46150</v>
      </c>
      <c r="P25" s="43">
        <f>IF(AND((1*7+6-($BA$5-1)+1)&gt;=1,(1*7+6-($BA$5-1)+1)&lt;=$BB$5),$AZ$5+(1*7+6-($BA$5-1)+1)-1,"")</f>
        <v>46151</v>
      </c>
      <c r="R25" s="43">
        <f>IF(AND((1*7+0-($BA$6-1)+1)&gt;=1,(1*7+0-($BA$6-1)+1)&lt;=$BB$6),$AZ$6+(1*7+0-($BA$6-1)+1)-1,"")</f>
        <v>46180</v>
      </c>
      <c r="S25" s="44">
        <f>IF(AND((1*7+1-($BA$6-1)+1)&gt;=1,(1*7+1-($BA$6-1)+1)&lt;=$BB$6),$AZ$6+(1*7+1-($BA$6-1)+1)-1,"")</f>
        <v>46181</v>
      </c>
      <c r="T25" s="44">
        <f>IF(AND((1*7+2-($BA$6-1)+1)&gt;=1,(1*7+2-($BA$6-1)+1)&lt;=$BB$6),$AZ$6+(1*7+2-($BA$6-1)+1)-1,"")</f>
        <v>46182</v>
      </c>
      <c r="U25" s="44">
        <f>IF(AND((1*7+3-($BA$6-1)+1)&gt;=1,(1*7+3-($BA$6-1)+1)&lt;=$BB$6),$AZ$6+(1*7+3-($BA$6-1)+1)-1,"")</f>
        <v>46183</v>
      </c>
      <c r="V25" s="44">
        <f>IF(AND((1*7+4-($BA$6-1)+1)&gt;=1,(1*7+4-($BA$6-1)+1)&lt;=$BB$6),$AZ$6+(1*7+4-($BA$6-1)+1)-1,"")</f>
        <v>46184</v>
      </c>
      <c r="W25" s="44">
        <f>IF(AND((1*7+5-($BA$6-1)+1)&gt;=1,(1*7+5-($BA$6-1)+1)&lt;=$BB$6),$AZ$6+(1*7+5-($BA$6-1)+1)-1,"")</f>
        <v>46185</v>
      </c>
      <c r="X25" s="43">
        <f>IF(AND((1*7+6-($BA$6-1)+1)&gt;=1,(1*7+6-($BA$6-1)+1)&lt;=$BB$6),$AZ$6+(1*7+6-($BA$6-1)+1)-1,"")</f>
        <v>46186</v>
      </c>
    </row>
    <row r="26" spans="2:24" ht="27.95" customHeight="1">
      <c r="B26" s="45" t="str">
        <f>IF(B25="","",IFERROR("● "&amp;INDEX('Release Calendar'!$B$5:$B$504,MATCH(B25,'Release Calendar'!$I$5:$I$504,0))&amp;" · Start ","")&amp;IFERROR("● "&amp;INDEX('Release Calendar'!$B$5:$B$504,MATCH(B25,'Release Calendar'!$J$5:$J$504,0))&amp;" · Target ",""))</f>
        <v/>
      </c>
      <c r="C26" s="46" t="str">
        <f>IF(C25="","",IFERROR("● "&amp;INDEX('Release Calendar'!$B$5:$B$504,MATCH(C25,'Release Calendar'!$I$5:$I$504,0))&amp;" · Start ","")&amp;IFERROR("● "&amp;INDEX('Release Calendar'!$B$5:$B$504,MATCH(C25,'Release Calendar'!$J$5:$J$504,0))&amp;" · Target ",""))</f>
        <v/>
      </c>
      <c r="D26" s="46" t="str">
        <f>IF(D25="","",IFERROR("● "&amp;INDEX('Release Calendar'!$B$5:$B$504,MATCH(D25,'Release Calendar'!$I$5:$I$504,0))&amp;" · Start ","")&amp;IFERROR("● "&amp;INDEX('Release Calendar'!$B$5:$B$504,MATCH(D25,'Release Calendar'!$J$5:$J$504,0))&amp;" · Target ",""))</f>
        <v/>
      </c>
      <c r="E26" s="46" t="str">
        <f>IF(E25="","",IFERROR("● "&amp;INDEX('Release Calendar'!$B$5:$B$504,MATCH(E25,'Release Calendar'!$I$5:$I$504,0))&amp;" · Start ","")&amp;IFERROR("● "&amp;INDEX('Release Calendar'!$B$5:$B$504,MATCH(E25,'Release Calendar'!$J$5:$J$504,0))&amp;" · Target ",""))</f>
        <v/>
      </c>
      <c r="F26" s="46" t="str">
        <f>IF(F25="","",IFERROR("● "&amp;INDEX('Release Calendar'!$B$5:$B$504,MATCH(F25,'Release Calendar'!$I$5:$I$504,0))&amp;" · Start ","")&amp;IFERROR("● "&amp;INDEX('Release Calendar'!$B$5:$B$504,MATCH(F25,'Release Calendar'!$J$5:$J$504,0))&amp;" · Target ",""))</f>
        <v/>
      </c>
      <c r="G26" s="46" t="str">
        <f>IF(G25="","",IFERROR("● "&amp;INDEX('Release Calendar'!$B$5:$B$504,MATCH(G25,'Release Calendar'!$I$5:$I$504,0))&amp;" · Start ","")&amp;IFERROR("● "&amp;INDEX('Release Calendar'!$B$5:$B$504,MATCH(G25,'Release Calendar'!$J$5:$J$504,0))&amp;" · Target ",""))</f>
        <v/>
      </c>
      <c r="H26" s="45" t="str">
        <f>IF(H25="","",IFERROR("● "&amp;INDEX('Release Calendar'!$B$5:$B$504,MATCH(H25,'Release Calendar'!$I$5:$I$504,0))&amp;" · Start ","")&amp;IFERROR("● "&amp;INDEX('Release Calendar'!$B$5:$B$504,MATCH(H25,'Release Calendar'!$J$5:$J$504,0))&amp;" · Target ",""))</f>
        <v/>
      </c>
      <c r="J26" s="45" t="str">
        <f>IF(J25="","",IFERROR("● "&amp;INDEX('Release Calendar'!$B$5:$B$504,MATCH(J25,'Release Calendar'!$I$5:$I$504,0))&amp;" · Start ","")&amp;IFERROR("● "&amp;INDEX('Release Calendar'!$B$5:$B$504,MATCH(J25,'Release Calendar'!$J$5:$J$504,0))&amp;" · Target ",""))</f>
        <v/>
      </c>
      <c r="K26" s="46" t="str">
        <f>IF(K25="","",IFERROR("● "&amp;INDEX('Release Calendar'!$B$5:$B$504,MATCH(K25,'Release Calendar'!$I$5:$I$504,0))&amp;" · Start ","")&amp;IFERROR("● "&amp;INDEX('Release Calendar'!$B$5:$B$504,MATCH(K25,'Release Calendar'!$J$5:$J$504,0))&amp;" · Target ",""))</f>
        <v/>
      </c>
      <c r="L26" s="46" t="str">
        <f>IF(L25="","",IFERROR("● "&amp;INDEX('Release Calendar'!$B$5:$B$504,MATCH(L25,'Release Calendar'!$I$5:$I$504,0))&amp;" · Start ","")&amp;IFERROR("● "&amp;INDEX('Release Calendar'!$B$5:$B$504,MATCH(L25,'Release Calendar'!$J$5:$J$504,0))&amp;" · Target ",""))</f>
        <v/>
      </c>
      <c r="M26" s="46" t="str">
        <f>IF(M25="","",IFERROR("● "&amp;INDEX('Release Calendar'!$B$5:$B$504,MATCH(M25,'Release Calendar'!$I$5:$I$504,0))&amp;" · Start ","")&amp;IFERROR("● "&amp;INDEX('Release Calendar'!$B$5:$B$504,MATCH(M25,'Release Calendar'!$J$5:$J$504,0))&amp;" · Target ",""))</f>
        <v/>
      </c>
      <c r="N26" s="46" t="str">
        <f>IF(N25="","",IFERROR("● "&amp;INDEX('Release Calendar'!$B$5:$B$504,MATCH(N25,'Release Calendar'!$I$5:$I$504,0))&amp;" · Start ","")&amp;IFERROR("● "&amp;INDEX('Release Calendar'!$B$5:$B$504,MATCH(N25,'Release Calendar'!$J$5:$J$504,0))&amp;" · Target ",""))</f>
        <v/>
      </c>
      <c r="O26" s="46" t="str">
        <f>IF(O25="","",IFERROR("● "&amp;INDEX('Release Calendar'!$B$5:$B$504,MATCH(O25,'Release Calendar'!$I$5:$I$504,0))&amp;" · Start ","")&amp;IFERROR("● "&amp;INDEX('Release Calendar'!$B$5:$B$504,MATCH(O25,'Release Calendar'!$J$5:$J$504,0))&amp;" · Target ",""))</f>
        <v/>
      </c>
      <c r="P26" s="45" t="str">
        <f>IF(P25="","",IFERROR("● "&amp;INDEX('Release Calendar'!$B$5:$B$504,MATCH(P25,'Release Calendar'!$I$5:$I$504,0))&amp;" · Start ","")&amp;IFERROR("● "&amp;INDEX('Release Calendar'!$B$5:$B$504,MATCH(P25,'Release Calendar'!$J$5:$J$504,0))&amp;" · Target ",""))</f>
        <v/>
      </c>
      <c r="R26" s="45" t="str">
        <f>IF(R25="","",IFERROR("● "&amp;INDEX('Release Calendar'!$B$5:$B$504,MATCH(R25,'Release Calendar'!$I$5:$I$504,0))&amp;" · Start ","")&amp;IFERROR("● "&amp;INDEX('Release Calendar'!$B$5:$B$504,MATCH(R25,'Release Calendar'!$J$5:$J$504,0))&amp;" · Target ",""))</f>
        <v/>
      </c>
      <c r="S26" s="46" t="str">
        <f>IF(S25="","",IFERROR("● "&amp;INDEX('Release Calendar'!$B$5:$B$504,MATCH(S25,'Release Calendar'!$I$5:$I$504,0))&amp;" · Start ","")&amp;IFERROR("● "&amp;INDEX('Release Calendar'!$B$5:$B$504,MATCH(S25,'Release Calendar'!$J$5:$J$504,0))&amp;" · Target ",""))</f>
        <v/>
      </c>
      <c r="T26" s="46" t="str">
        <f>IF(T25="","",IFERROR("● "&amp;INDEX('Release Calendar'!$B$5:$B$504,MATCH(T25,'Release Calendar'!$I$5:$I$504,0))&amp;" · Start ","")&amp;IFERROR("● "&amp;INDEX('Release Calendar'!$B$5:$B$504,MATCH(T25,'Release Calendar'!$J$5:$J$504,0))&amp;" · Target ",""))</f>
        <v/>
      </c>
      <c r="U26" s="46" t="str">
        <f>IF(U25="","",IFERROR("● "&amp;INDEX('Release Calendar'!$B$5:$B$504,MATCH(U25,'Release Calendar'!$I$5:$I$504,0))&amp;" · Start ","")&amp;IFERROR("● "&amp;INDEX('Release Calendar'!$B$5:$B$504,MATCH(U25,'Release Calendar'!$J$5:$J$504,0))&amp;" · Target ",""))</f>
        <v/>
      </c>
      <c r="V26" s="46" t="str">
        <f>IF(V25="","",IFERROR("● "&amp;INDEX('Release Calendar'!$B$5:$B$504,MATCH(V25,'Release Calendar'!$I$5:$I$504,0))&amp;" · Start ","")&amp;IFERROR("● "&amp;INDEX('Release Calendar'!$B$5:$B$504,MATCH(V25,'Release Calendar'!$J$5:$J$504,0))&amp;" · Target ",""))</f>
        <v/>
      </c>
      <c r="W26" s="46" t="str">
        <f>IF(W25="","",IFERROR("● "&amp;INDEX('Release Calendar'!$B$5:$B$504,MATCH(W25,'Release Calendar'!$I$5:$I$504,0))&amp;" · Start ","")&amp;IFERROR("● "&amp;INDEX('Release Calendar'!$B$5:$B$504,MATCH(W25,'Release Calendar'!$J$5:$J$504,0))&amp;" · Target ",""))</f>
        <v/>
      </c>
      <c r="X26" s="45" t="str">
        <f>IF(X25="","",IFERROR("● "&amp;INDEX('Release Calendar'!$B$5:$B$504,MATCH(X25,'Release Calendar'!$I$5:$I$504,0))&amp;" · Start ","")&amp;IFERROR("● "&amp;INDEX('Release Calendar'!$B$5:$B$504,MATCH(X25,'Release Calendar'!$J$5:$J$504,0))&amp;" · Target ",""))</f>
        <v/>
      </c>
    </row>
    <row r="27" spans="2:24" ht="12.95" customHeight="1">
      <c r="B27" s="43">
        <f>IF(AND((2*7+0-($BA$4-1)+1)&gt;=1,(2*7+0-($BA$4-1)+1)&lt;=$BB$4),$AZ$4+(2*7+0-($BA$4-1)+1)-1,"")</f>
        <v>46124</v>
      </c>
      <c r="C27" s="44">
        <f>IF(AND((2*7+1-($BA$4-1)+1)&gt;=1,(2*7+1-($BA$4-1)+1)&lt;=$BB$4),$AZ$4+(2*7+1-($BA$4-1)+1)-1,"")</f>
        <v>46125</v>
      </c>
      <c r="D27" s="44">
        <f>IF(AND((2*7+2-($BA$4-1)+1)&gt;=1,(2*7+2-($BA$4-1)+1)&lt;=$BB$4),$AZ$4+(2*7+2-($BA$4-1)+1)-1,"")</f>
        <v>46126</v>
      </c>
      <c r="E27" s="44">
        <f>IF(AND((2*7+3-($BA$4-1)+1)&gt;=1,(2*7+3-($BA$4-1)+1)&lt;=$BB$4),$AZ$4+(2*7+3-($BA$4-1)+1)-1,"")</f>
        <v>46127</v>
      </c>
      <c r="F27" s="44">
        <f>IF(AND((2*7+4-($BA$4-1)+1)&gt;=1,(2*7+4-($BA$4-1)+1)&lt;=$BB$4),$AZ$4+(2*7+4-($BA$4-1)+1)-1,"")</f>
        <v>46128</v>
      </c>
      <c r="G27" s="44">
        <f>IF(AND((2*7+5-($BA$4-1)+1)&gt;=1,(2*7+5-($BA$4-1)+1)&lt;=$BB$4),$AZ$4+(2*7+5-($BA$4-1)+1)-1,"")</f>
        <v>46129</v>
      </c>
      <c r="H27" s="43">
        <f>IF(AND((2*7+6-($BA$4-1)+1)&gt;=1,(2*7+6-($BA$4-1)+1)&lt;=$BB$4),$AZ$4+(2*7+6-($BA$4-1)+1)-1,"")</f>
        <v>46130</v>
      </c>
      <c r="J27" s="43">
        <f>IF(AND((2*7+0-($BA$5-1)+1)&gt;=1,(2*7+0-($BA$5-1)+1)&lt;=$BB$5),$AZ$5+(2*7+0-($BA$5-1)+1)-1,"")</f>
        <v>46152</v>
      </c>
      <c r="K27" s="44">
        <f>IF(AND((2*7+1-($BA$5-1)+1)&gt;=1,(2*7+1-($BA$5-1)+1)&lt;=$BB$5),$AZ$5+(2*7+1-($BA$5-1)+1)-1,"")</f>
        <v>46153</v>
      </c>
      <c r="L27" s="44">
        <f>IF(AND((2*7+2-($BA$5-1)+1)&gt;=1,(2*7+2-($BA$5-1)+1)&lt;=$BB$5),$AZ$5+(2*7+2-($BA$5-1)+1)-1,"")</f>
        <v>46154</v>
      </c>
      <c r="M27" s="44">
        <f>IF(AND((2*7+3-($BA$5-1)+1)&gt;=1,(2*7+3-($BA$5-1)+1)&lt;=$BB$5),$AZ$5+(2*7+3-($BA$5-1)+1)-1,"")</f>
        <v>46155</v>
      </c>
      <c r="N27" s="44">
        <f>IF(AND((2*7+4-($BA$5-1)+1)&gt;=1,(2*7+4-($BA$5-1)+1)&lt;=$BB$5),$AZ$5+(2*7+4-($BA$5-1)+1)-1,"")</f>
        <v>46156</v>
      </c>
      <c r="O27" s="44">
        <f>IF(AND((2*7+5-($BA$5-1)+1)&gt;=1,(2*7+5-($BA$5-1)+1)&lt;=$BB$5),$AZ$5+(2*7+5-($BA$5-1)+1)-1,"")</f>
        <v>46157</v>
      </c>
      <c r="P27" s="43">
        <f>IF(AND((2*7+6-($BA$5-1)+1)&gt;=1,(2*7+6-($BA$5-1)+1)&lt;=$BB$5),$AZ$5+(2*7+6-($BA$5-1)+1)-1,"")</f>
        <v>46158</v>
      </c>
      <c r="R27" s="43">
        <f>IF(AND((2*7+0-($BA$6-1)+1)&gt;=1,(2*7+0-($BA$6-1)+1)&lt;=$BB$6),$AZ$6+(2*7+0-($BA$6-1)+1)-1,"")</f>
        <v>46187</v>
      </c>
      <c r="S27" s="44">
        <f>IF(AND((2*7+1-($BA$6-1)+1)&gt;=1,(2*7+1-($BA$6-1)+1)&lt;=$BB$6),$AZ$6+(2*7+1-($BA$6-1)+1)-1,"")</f>
        <v>46188</v>
      </c>
      <c r="T27" s="44">
        <f>IF(AND((2*7+2-($BA$6-1)+1)&gt;=1,(2*7+2-($BA$6-1)+1)&lt;=$BB$6),$AZ$6+(2*7+2-($BA$6-1)+1)-1,"")</f>
        <v>46189</v>
      </c>
      <c r="U27" s="44">
        <f>IF(AND((2*7+3-($BA$6-1)+1)&gt;=1,(2*7+3-($BA$6-1)+1)&lt;=$BB$6),$AZ$6+(2*7+3-($BA$6-1)+1)-1,"")</f>
        <v>46190</v>
      </c>
      <c r="V27" s="44">
        <f>IF(AND((2*7+4-($BA$6-1)+1)&gt;=1,(2*7+4-($BA$6-1)+1)&lt;=$BB$6),$AZ$6+(2*7+4-($BA$6-1)+1)-1,"")</f>
        <v>46191</v>
      </c>
      <c r="W27" s="44">
        <f>IF(AND((2*7+5-($BA$6-1)+1)&gt;=1,(2*7+5-($BA$6-1)+1)&lt;=$BB$6),$AZ$6+(2*7+5-($BA$6-1)+1)-1,"")</f>
        <v>46192</v>
      </c>
      <c r="X27" s="43">
        <f>IF(AND((2*7+6-($BA$6-1)+1)&gt;=1,(2*7+6-($BA$6-1)+1)&lt;=$BB$6),$AZ$6+(2*7+6-($BA$6-1)+1)-1,"")</f>
        <v>46193</v>
      </c>
    </row>
    <row r="28" spans="2:24" ht="27.95" customHeight="1">
      <c r="B28" s="45" t="str">
        <f>IF(B27="","",IFERROR("● "&amp;INDEX('Release Calendar'!$B$5:$B$504,MATCH(B27,'Release Calendar'!$I$5:$I$504,0))&amp;" · Start ","")&amp;IFERROR("● "&amp;INDEX('Release Calendar'!$B$5:$B$504,MATCH(B27,'Release Calendar'!$J$5:$J$504,0))&amp;" · Target ",""))</f>
        <v/>
      </c>
      <c r="C28" s="46" t="str">
        <f>IF(C27="","",IFERROR("● "&amp;INDEX('Release Calendar'!$B$5:$B$504,MATCH(C27,'Release Calendar'!$I$5:$I$504,0))&amp;" · Start ","")&amp;IFERROR("● "&amp;INDEX('Release Calendar'!$B$5:$B$504,MATCH(C27,'Release Calendar'!$J$5:$J$504,0))&amp;" · Target ",""))</f>
        <v/>
      </c>
      <c r="D28" s="46" t="str">
        <f>IF(D27="","",IFERROR("● "&amp;INDEX('Release Calendar'!$B$5:$B$504,MATCH(D27,'Release Calendar'!$I$5:$I$504,0))&amp;" · Start ","")&amp;IFERROR("● "&amp;INDEX('Release Calendar'!$B$5:$B$504,MATCH(D27,'Release Calendar'!$J$5:$J$504,0))&amp;" · Target ",""))</f>
        <v/>
      </c>
      <c r="E28" s="46" t="str">
        <f>IF(E27="","",IFERROR("● "&amp;INDEX('Release Calendar'!$B$5:$B$504,MATCH(E27,'Release Calendar'!$I$5:$I$504,0))&amp;" · Start ","")&amp;IFERROR("● "&amp;INDEX('Release Calendar'!$B$5:$B$504,MATCH(E27,'Release Calendar'!$J$5:$J$504,0))&amp;" · Target ",""))</f>
        <v/>
      </c>
      <c r="F28" s="46" t="str">
        <f>IF(F27="","",IFERROR("● "&amp;INDEX('Release Calendar'!$B$5:$B$504,MATCH(F27,'Release Calendar'!$I$5:$I$504,0))&amp;" · Start ","")&amp;IFERROR("● "&amp;INDEX('Release Calendar'!$B$5:$B$504,MATCH(F27,'Release Calendar'!$J$5:$J$504,0))&amp;" · Target ",""))</f>
        <v/>
      </c>
      <c r="G28" s="46" t="str">
        <f>IF(G27="","",IFERROR("● "&amp;INDEX('Release Calendar'!$B$5:$B$504,MATCH(G27,'Release Calendar'!$I$5:$I$504,0))&amp;" · Start ","")&amp;IFERROR("● "&amp;INDEX('Release Calendar'!$B$5:$B$504,MATCH(G27,'Release Calendar'!$J$5:$J$504,0))&amp;" · Target ",""))</f>
        <v/>
      </c>
      <c r="H28" s="45" t="str">
        <f>IF(H27="","",IFERROR("● "&amp;INDEX('Release Calendar'!$B$5:$B$504,MATCH(H27,'Release Calendar'!$I$5:$I$504,0))&amp;" · Start ","")&amp;IFERROR("● "&amp;INDEX('Release Calendar'!$B$5:$B$504,MATCH(H27,'Release Calendar'!$J$5:$J$504,0))&amp;" · Target ",""))</f>
        <v/>
      </c>
      <c r="J28" s="45" t="str">
        <f>IF(J27="","",IFERROR("● "&amp;INDEX('Release Calendar'!$B$5:$B$504,MATCH(J27,'Release Calendar'!$I$5:$I$504,0))&amp;" · Start ","")&amp;IFERROR("● "&amp;INDEX('Release Calendar'!$B$5:$B$504,MATCH(J27,'Release Calendar'!$J$5:$J$504,0))&amp;" · Target ",""))</f>
        <v/>
      </c>
      <c r="K28" s="46" t="str">
        <f>IF(K27="","",IFERROR("● "&amp;INDEX('Release Calendar'!$B$5:$B$504,MATCH(K27,'Release Calendar'!$I$5:$I$504,0))&amp;" · Start ","")&amp;IFERROR("● "&amp;INDEX('Release Calendar'!$B$5:$B$504,MATCH(K27,'Release Calendar'!$J$5:$J$504,0))&amp;" · Target ",""))</f>
        <v/>
      </c>
      <c r="L28" s="46" t="str">
        <f>IF(L27="","",IFERROR("● "&amp;INDEX('Release Calendar'!$B$5:$B$504,MATCH(L27,'Release Calendar'!$I$5:$I$504,0))&amp;" · Start ","")&amp;IFERROR("● "&amp;INDEX('Release Calendar'!$B$5:$B$504,MATCH(L27,'Release Calendar'!$J$5:$J$504,0))&amp;" · Target ",""))</f>
        <v/>
      </c>
      <c r="M28" s="46" t="str">
        <f>IF(M27="","",IFERROR("● "&amp;INDEX('Release Calendar'!$B$5:$B$504,MATCH(M27,'Release Calendar'!$I$5:$I$504,0))&amp;" · Start ","")&amp;IFERROR("● "&amp;INDEX('Release Calendar'!$B$5:$B$504,MATCH(M27,'Release Calendar'!$J$5:$J$504,0))&amp;" · Target ",""))</f>
        <v/>
      </c>
      <c r="N28" s="46" t="str">
        <f>IF(N27="","",IFERROR("● "&amp;INDEX('Release Calendar'!$B$5:$B$504,MATCH(N27,'Release Calendar'!$I$5:$I$504,0))&amp;" · Start ","")&amp;IFERROR("● "&amp;INDEX('Release Calendar'!$B$5:$B$504,MATCH(N27,'Release Calendar'!$J$5:$J$504,0))&amp;" · Target ",""))</f>
        <v/>
      </c>
      <c r="O28" s="46" t="str">
        <f>IF(O27="","",IFERROR("● "&amp;INDEX('Release Calendar'!$B$5:$B$504,MATCH(O27,'Release Calendar'!$I$5:$I$504,0))&amp;" · Start ","")&amp;IFERROR("● "&amp;INDEX('Release Calendar'!$B$5:$B$504,MATCH(O27,'Release Calendar'!$J$5:$J$504,0))&amp;" · Target ",""))</f>
        <v/>
      </c>
      <c r="P28" s="45" t="str">
        <f>IF(P27="","",IFERROR("● "&amp;INDEX('Release Calendar'!$B$5:$B$504,MATCH(P27,'Release Calendar'!$I$5:$I$504,0))&amp;" · Start ","")&amp;IFERROR("● "&amp;INDEX('Release Calendar'!$B$5:$B$504,MATCH(P27,'Release Calendar'!$J$5:$J$504,0))&amp;" · Target ",""))</f>
        <v/>
      </c>
      <c r="R28" s="45" t="str">
        <f>IF(R27="","",IFERROR("● "&amp;INDEX('Release Calendar'!$B$5:$B$504,MATCH(R27,'Release Calendar'!$I$5:$I$504,0))&amp;" · Start ","")&amp;IFERROR("● "&amp;INDEX('Release Calendar'!$B$5:$B$504,MATCH(R27,'Release Calendar'!$J$5:$J$504,0))&amp;" · Target ",""))</f>
        <v/>
      </c>
      <c r="S28" s="46" t="str">
        <f>IF(S27="","",IFERROR("● "&amp;INDEX('Release Calendar'!$B$5:$B$504,MATCH(S27,'Release Calendar'!$I$5:$I$504,0))&amp;" · Start ","")&amp;IFERROR("● "&amp;INDEX('Release Calendar'!$B$5:$B$504,MATCH(S27,'Release Calendar'!$J$5:$J$504,0))&amp;" · Target ",""))</f>
        <v/>
      </c>
      <c r="T28" s="46" t="str">
        <f>IF(T27="","",IFERROR("● "&amp;INDEX('Release Calendar'!$B$5:$B$504,MATCH(T27,'Release Calendar'!$I$5:$I$504,0))&amp;" · Start ","")&amp;IFERROR("● "&amp;INDEX('Release Calendar'!$B$5:$B$504,MATCH(T27,'Release Calendar'!$J$5:$J$504,0))&amp;" · Target ",""))</f>
        <v/>
      </c>
      <c r="U28" s="46" t="str">
        <f>IF(U27="","",IFERROR("● "&amp;INDEX('Release Calendar'!$B$5:$B$504,MATCH(U27,'Release Calendar'!$I$5:$I$504,0))&amp;" · Start ","")&amp;IFERROR("● "&amp;INDEX('Release Calendar'!$B$5:$B$504,MATCH(U27,'Release Calendar'!$J$5:$J$504,0))&amp;" · Target ",""))</f>
        <v/>
      </c>
      <c r="V28" s="46" t="str">
        <f>IF(V27="","",IFERROR("● "&amp;INDEX('Release Calendar'!$B$5:$B$504,MATCH(V27,'Release Calendar'!$I$5:$I$504,0))&amp;" · Start ","")&amp;IFERROR("● "&amp;INDEX('Release Calendar'!$B$5:$B$504,MATCH(V27,'Release Calendar'!$J$5:$J$504,0))&amp;" · Target ",""))</f>
        <v/>
      </c>
      <c r="W28" s="46" t="str">
        <f>IF(W27="","",IFERROR("● "&amp;INDEX('Release Calendar'!$B$5:$B$504,MATCH(W27,'Release Calendar'!$I$5:$I$504,0))&amp;" · Start ","")&amp;IFERROR("● "&amp;INDEX('Release Calendar'!$B$5:$B$504,MATCH(W27,'Release Calendar'!$J$5:$J$504,0))&amp;" · Target ",""))</f>
        <v/>
      </c>
      <c r="X28" s="45" t="str">
        <f>IF(X27="","",IFERROR("● "&amp;INDEX('Release Calendar'!$B$5:$B$504,MATCH(X27,'Release Calendar'!$I$5:$I$504,0))&amp;" · Start ","")&amp;IFERROR("● "&amp;INDEX('Release Calendar'!$B$5:$B$504,MATCH(X27,'Release Calendar'!$J$5:$J$504,0))&amp;" · Target ",""))</f>
        <v/>
      </c>
    </row>
    <row r="29" spans="2:24" ht="12.95" customHeight="1">
      <c r="B29" s="43">
        <f>IF(AND((3*7+0-($BA$4-1)+1)&gt;=1,(3*7+0-($BA$4-1)+1)&lt;=$BB$4),$AZ$4+(3*7+0-($BA$4-1)+1)-1,"")</f>
        <v>46131</v>
      </c>
      <c r="C29" s="44">
        <f>IF(AND((3*7+1-($BA$4-1)+1)&gt;=1,(3*7+1-($BA$4-1)+1)&lt;=$BB$4),$AZ$4+(3*7+1-($BA$4-1)+1)-1,"")</f>
        <v>46132</v>
      </c>
      <c r="D29" s="44">
        <f>IF(AND((3*7+2-($BA$4-1)+1)&gt;=1,(3*7+2-($BA$4-1)+1)&lt;=$BB$4),$AZ$4+(3*7+2-($BA$4-1)+1)-1,"")</f>
        <v>46133</v>
      </c>
      <c r="E29" s="44">
        <f>IF(AND((3*7+3-($BA$4-1)+1)&gt;=1,(3*7+3-($BA$4-1)+1)&lt;=$BB$4),$AZ$4+(3*7+3-($BA$4-1)+1)-1,"")</f>
        <v>46134</v>
      </c>
      <c r="F29" s="44">
        <f>IF(AND((3*7+4-($BA$4-1)+1)&gt;=1,(3*7+4-($BA$4-1)+1)&lt;=$BB$4),$AZ$4+(3*7+4-($BA$4-1)+1)-1,"")</f>
        <v>46135</v>
      </c>
      <c r="G29" s="44">
        <f>IF(AND((3*7+5-($BA$4-1)+1)&gt;=1,(3*7+5-($BA$4-1)+1)&lt;=$BB$4),$AZ$4+(3*7+5-($BA$4-1)+1)-1,"")</f>
        <v>46136</v>
      </c>
      <c r="H29" s="43">
        <f>IF(AND((3*7+6-($BA$4-1)+1)&gt;=1,(3*7+6-($BA$4-1)+1)&lt;=$BB$4),$AZ$4+(3*7+6-($BA$4-1)+1)-1,"")</f>
        <v>46137</v>
      </c>
      <c r="J29" s="43">
        <f>IF(AND((3*7+0-($BA$5-1)+1)&gt;=1,(3*7+0-($BA$5-1)+1)&lt;=$BB$5),$AZ$5+(3*7+0-($BA$5-1)+1)-1,"")</f>
        <v>46159</v>
      </c>
      <c r="K29" s="44">
        <f>IF(AND((3*7+1-($BA$5-1)+1)&gt;=1,(3*7+1-($BA$5-1)+1)&lt;=$BB$5),$AZ$5+(3*7+1-($BA$5-1)+1)-1,"")</f>
        <v>46160</v>
      </c>
      <c r="L29" s="44">
        <f>IF(AND((3*7+2-($BA$5-1)+1)&gt;=1,(3*7+2-($BA$5-1)+1)&lt;=$BB$5),$AZ$5+(3*7+2-($BA$5-1)+1)-1,"")</f>
        <v>46161</v>
      </c>
      <c r="M29" s="44">
        <f>IF(AND((3*7+3-($BA$5-1)+1)&gt;=1,(3*7+3-($BA$5-1)+1)&lt;=$BB$5),$AZ$5+(3*7+3-($BA$5-1)+1)-1,"")</f>
        <v>46162</v>
      </c>
      <c r="N29" s="44">
        <f>IF(AND((3*7+4-($BA$5-1)+1)&gt;=1,(3*7+4-($BA$5-1)+1)&lt;=$BB$5),$AZ$5+(3*7+4-($BA$5-1)+1)-1,"")</f>
        <v>46163</v>
      </c>
      <c r="O29" s="44">
        <f>IF(AND((3*7+5-($BA$5-1)+1)&gt;=1,(3*7+5-($BA$5-1)+1)&lt;=$BB$5),$AZ$5+(3*7+5-($BA$5-1)+1)-1,"")</f>
        <v>46164</v>
      </c>
      <c r="P29" s="43">
        <f>IF(AND((3*7+6-($BA$5-1)+1)&gt;=1,(3*7+6-($BA$5-1)+1)&lt;=$BB$5),$AZ$5+(3*7+6-($BA$5-1)+1)-1,"")</f>
        <v>46165</v>
      </c>
      <c r="R29" s="43">
        <f>IF(AND((3*7+0-($BA$6-1)+1)&gt;=1,(3*7+0-($BA$6-1)+1)&lt;=$BB$6),$AZ$6+(3*7+0-($BA$6-1)+1)-1,"")</f>
        <v>46194</v>
      </c>
      <c r="S29" s="44">
        <f>IF(AND((3*7+1-($BA$6-1)+1)&gt;=1,(3*7+1-($BA$6-1)+1)&lt;=$BB$6),$AZ$6+(3*7+1-($BA$6-1)+1)-1,"")</f>
        <v>46195</v>
      </c>
      <c r="T29" s="44">
        <f>IF(AND((3*7+2-($BA$6-1)+1)&gt;=1,(3*7+2-($BA$6-1)+1)&lt;=$BB$6),$AZ$6+(3*7+2-($BA$6-1)+1)-1,"")</f>
        <v>46196</v>
      </c>
      <c r="U29" s="44">
        <f>IF(AND((3*7+3-($BA$6-1)+1)&gt;=1,(3*7+3-($BA$6-1)+1)&lt;=$BB$6),$AZ$6+(3*7+3-($BA$6-1)+1)-1,"")</f>
        <v>46197</v>
      </c>
      <c r="V29" s="44">
        <f>IF(AND((3*7+4-($BA$6-1)+1)&gt;=1,(3*7+4-($BA$6-1)+1)&lt;=$BB$6),$AZ$6+(3*7+4-($BA$6-1)+1)-1,"")</f>
        <v>46198</v>
      </c>
      <c r="W29" s="44">
        <f>IF(AND((3*7+5-($BA$6-1)+1)&gt;=1,(3*7+5-($BA$6-1)+1)&lt;=$BB$6),$AZ$6+(3*7+5-($BA$6-1)+1)-1,"")</f>
        <v>46199</v>
      </c>
      <c r="X29" s="43">
        <f>IF(AND((3*7+6-($BA$6-1)+1)&gt;=1,(3*7+6-($BA$6-1)+1)&lt;=$BB$6),$AZ$6+(3*7+6-($BA$6-1)+1)-1,"")</f>
        <v>46200</v>
      </c>
    </row>
    <row r="30" spans="2:24" ht="27.95" customHeight="1">
      <c r="B30" s="45" t="str">
        <f>IF(B29="","",IFERROR("● "&amp;INDEX('Release Calendar'!$B$5:$B$504,MATCH(B29,'Release Calendar'!$I$5:$I$504,0))&amp;" · Start ","")&amp;IFERROR("● "&amp;INDEX('Release Calendar'!$B$5:$B$504,MATCH(B29,'Release Calendar'!$J$5:$J$504,0))&amp;" · Target ",""))</f>
        <v/>
      </c>
      <c r="C30" s="46" t="str">
        <f>IF(C29="","",IFERROR("● "&amp;INDEX('Release Calendar'!$B$5:$B$504,MATCH(C29,'Release Calendar'!$I$5:$I$504,0))&amp;" · Start ","")&amp;IFERROR("● "&amp;INDEX('Release Calendar'!$B$5:$B$504,MATCH(C29,'Release Calendar'!$J$5:$J$504,0))&amp;" · Target ",""))</f>
        <v/>
      </c>
      <c r="D30" s="46" t="str">
        <f>IF(D29="","",IFERROR("● "&amp;INDEX('Release Calendar'!$B$5:$B$504,MATCH(D29,'Release Calendar'!$I$5:$I$504,0))&amp;" · Start ","")&amp;IFERROR("● "&amp;INDEX('Release Calendar'!$B$5:$B$504,MATCH(D29,'Release Calendar'!$J$5:$J$504,0))&amp;" · Target ",""))</f>
        <v/>
      </c>
      <c r="E30" s="46" t="str">
        <f>IF(E29="","",IFERROR("● "&amp;INDEX('Release Calendar'!$B$5:$B$504,MATCH(E29,'Release Calendar'!$I$5:$I$504,0))&amp;" · Start ","")&amp;IFERROR("● "&amp;INDEX('Release Calendar'!$B$5:$B$504,MATCH(E29,'Release Calendar'!$J$5:$J$504,0))&amp;" · Target ",""))</f>
        <v/>
      </c>
      <c r="F30" s="46" t="str">
        <f>IF(F29="","",IFERROR("● "&amp;INDEX('Release Calendar'!$B$5:$B$504,MATCH(F29,'Release Calendar'!$I$5:$I$504,0))&amp;" · Start ","")&amp;IFERROR("● "&amp;INDEX('Release Calendar'!$B$5:$B$504,MATCH(F29,'Release Calendar'!$J$5:$J$504,0))&amp;" · Target ",""))</f>
        <v/>
      </c>
      <c r="G30" s="46" t="str">
        <f>IF(G29="","",IFERROR("● "&amp;INDEX('Release Calendar'!$B$5:$B$504,MATCH(G29,'Release Calendar'!$I$5:$I$504,0))&amp;" · Start ","")&amp;IFERROR("● "&amp;INDEX('Release Calendar'!$B$5:$B$504,MATCH(G29,'Release Calendar'!$J$5:$J$504,0))&amp;" · Target ",""))</f>
        <v/>
      </c>
      <c r="H30" s="45" t="str">
        <f>IF(H29="","",IFERROR("● "&amp;INDEX('Release Calendar'!$B$5:$B$504,MATCH(H29,'Release Calendar'!$I$5:$I$504,0))&amp;" · Start ","")&amp;IFERROR("● "&amp;INDEX('Release Calendar'!$B$5:$B$504,MATCH(H29,'Release Calendar'!$J$5:$J$504,0))&amp;" · Target ",""))</f>
        <v/>
      </c>
      <c r="J30" s="45" t="str">
        <f>IF(J29="","",IFERROR("● "&amp;INDEX('Release Calendar'!$B$5:$B$504,MATCH(J29,'Release Calendar'!$I$5:$I$504,0))&amp;" · Start ","")&amp;IFERROR("● "&amp;INDEX('Release Calendar'!$B$5:$B$504,MATCH(J29,'Release Calendar'!$J$5:$J$504,0))&amp;" · Target ",""))</f>
        <v/>
      </c>
      <c r="K30" s="46" t="str">
        <f>IF(K29="","",IFERROR("● "&amp;INDEX('Release Calendar'!$B$5:$B$504,MATCH(K29,'Release Calendar'!$I$5:$I$504,0))&amp;" · Start ","")&amp;IFERROR("● "&amp;INDEX('Release Calendar'!$B$5:$B$504,MATCH(K29,'Release Calendar'!$J$5:$J$504,0))&amp;" · Target ",""))</f>
        <v/>
      </c>
      <c r="L30" s="46" t="str">
        <f>IF(L29="","",IFERROR("● "&amp;INDEX('Release Calendar'!$B$5:$B$504,MATCH(L29,'Release Calendar'!$I$5:$I$504,0))&amp;" · Start ","")&amp;IFERROR("● "&amp;INDEX('Release Calendar'!$B$5:$B$504,MATCH(L29,'Release Calendar'!$J$5:$J$504,0))&amp;" · Target ",""))</f>
        <v/>
      </c>
      <c r="M30" s="46" t="str">
        <f>IF(M29="","",IFERROR("● "&amp;INDEX('Release Calendar'!$B$5:$B$504,MATCH(M29,'Release Calendar'!$I$5:$I$504,0))&amp;" · Start ","")&amp;IFERROR("● "&amp;INDEX('Release Calendar'!$B$5:$B$504,MATCH(M29,'Release Calendar'!$J$5:$J$504,0))&amp;" · Target ",""))</f>
        <v/>
      </c>
      <c r="N30" s="46" t="str">
        <f>IF(N29="","",IFERROR("● "&amp;INDEX('Release Calendar'!$B$5:$B$504,MATCH(N29,'Release Calendar'!$I$5:$I$504,0))&amp;" · Start ","")&amp;IFERROR("● "&amp;INDEX('Release Calendar'!$B$5:$B$504,MATCH(N29,'Release Calendar'!$J$5:$J$504,0))&amp;" · Target ",""))</f>
        <v/>
      </c>
      <c r="O30" s="46" t="str">
        <f>IF(O29="","",IFERROR("● "&amp;INDEX('Release Calendar'!$B$5:$B$504,MATCH(O29,'Release Calendar'!$I$5:$I$504,0))&amp;" · Start ","")&amp;IFERROR("● "&amp;INDEX('Release Calendar'!$B$5:$B$504,MATCH(O29,'Release Calendar'!$J$5:$J$504,0))&amp;" · Target ",""))</f>
        <v/>
      </c>
      <c r="P30" s="45" t="str">
        <f>IF(P29="","",IFERROR("● "&amp;INDEX('Release Calendar'!$B$5:$B$504,MATCH(P29,'Release Calendar'!$I$5:$I$504,0))&amp;" · Start ","")&amp;IFERROR("● "&amp;INDEX('Release Calendar'!$B$5:$B$504,MATCH(P29,'Release Calendar'!$J$5:$J$504,0))&amp;" · Target ",""))</f>
        <v/>
      </c>
      <c r="R30" s="45" t="str">
        <f>IF(R29="","",IFERROR("● "&amp;INDEX('Release Calendar'!$B$5:$B$504,MATCH(R29,'Release Calendar'!$I$5:$I$504,0))&amp;" · Start ","")&amp;IFERROR("● "&amp;INDEX('Release Calendar'!$B$5:$B$504,MATCH(R29,'Release Calendar'!$J$5:$J$504,0))&amp;" · Target ",""))</f>
        <v/>
      </c>
      <c r="S30" s="46" t="str">
        <f>IF(S29="","",IFERROR("● "&amp;INDEX('Release Calendar'!$B$5:$B$504,MATCH(S29,'Release Calendar'!$I$5:$I$504,0))&amp;" · Start ","")&amp;IFERROR("● "&amp;INDEX('Release Calendar'!$B$5:$B$504,MATCH(S29,'Release Calendar'!$J$5:$J$504,0))&amp;" · Target ",""))</f>
        <v/>
      </c>
      <c r="T30" s="46" t="str">
        <f>IF(T29="","",IFERROR("● "&amp;INDEX('Release Calendar'!$B$5:$B$504,MATCH(T29,'Release Calendar'!$I$5:$I$504,0))&amp;" · Start ","")&amp;IFERROR("● "&amp;INDEX('Release Calendar'!$B$5:$B$504,MATCH(T29,'Release Calendar'!$J$5:$J$504,0))&amp;" · Target ",""))</f>
        <v/>
      </c>
      <c r="U30" s="46" t="str">
        <f>IF(U29="","",IFERROR("● "&amp;INDEX('Release Calendar'!$B$5:$B$504,MATCH(U29,'Release Calendar'!$I$5:$I$504,0))&amp;" · Start ","")&amp;IFERROR("● "&amp;INDEX('Release Calendar'!$B$5:$B$504,MATCH(U29,'Release Calendar'!$J$5:$J$504,0))&amp;" · Target ",""))</f>
        <v/>
      </c>
      <c r="V30" s="46" t="str">
        <f>IF(V29="","",IFERROR("● "&amp;INDEX('Release Calendar'!$B$5:$B$504,MATCH(V29,'Release Calendar'!$I$5:$I$504,0))&amp;" · Start ","")&amp;IFERROR("● "&amp;INDEX('Release Calendar'!$B$5:$B$504,MATCH(V29,'Release Calendar'!$J$5:$J$504,0))&amp;" · Target ",""))</f>
        <v/>
      </c>
      <c r="W30" s="46" t="str">
        <f>IF(W29="","",IFERROR("● "&amp;INDEX('Release Calendar'!$B$5:$B$504,MATCH(W29,'Release Calendar'!$I$5:$I$504,0))&amp;" · Start ","")&amp;IFERROR("● "&amp;INDEX('Release Calendar'!$B$5:$B$504,MATCH(W29,'Release Calendar'!$J$5:$J$504,0))&amp;" · Target ",""))</f>
        <v/>
      </c>
      <c r="X30" s="45" t="str">
        <f>IF(X29="","",IFERROR("● "&amp;INDEX('Release Calendar'!$B$5:$B$504,MATCH(X29,'Release Calendar'!$I$5:$I$504,0))&amp;" · Start ","")&amp;IFERROR("● "&amp;INDEX('Release Calendar'!$B$5:$B$504,MATCH(X29,'Release Calendar'!$J$5:$J$504,0))&amp;" · Target ",""))</f>
        <v/>
      </c>
    </row>
    <row r="31" spans="2:24" ht="12.95" customHeight="1">
      <c r="B31" s="43">
        <f>IF(AND((4*7+0-($BA$4-1)+1)&gt;=1,(4*7+0-($BA$4-1)+1)&lt;=$BB$4),$AZ$4+(4*7+0-($BA$4-1)+1)-1,"")</f>
        <v>46138</v>
      </c>
      <c r="C31" s="44">
        <f>IF(AND((4*7+1-($BA$4-1)+1)&gt;=1,(4*7+1-($BA$4-1)+1)&lt;=$BB$4),$AZ$4+(4*7+1-($BA$4-1)+1)-1,"")</f>
        <v>46139</v>
      </c>
      <c r="D31" s="44">
        <f>IF(AND((4*7+2-($BA$4-1)+1)&gt;=1,(4*7+2-($BA$4-1)+1)&lt;=$BB$4),$AZ$4+(4*7+2-($BA$4-1)+1)-1,"")</f>
        <v>46140</v>
      </c>
      <c r="E31" s="44">
        <f>IF(AND((4*7+3-($BA$4-1)+1)&gt;=1,(4*7+3-($BA$4-1)+1)&lt;=$BB$4),$AZ$4+(4*7+3-($BA$4-1)+1)-1,"")</f>
        <v>46141</v>
      </c>
      <c r="F31" s="44">
        <f>IF(AND((4*7+4-($BA$4-1)+1)&gt;=1,(4*7+4-($BA$4-1)+1)&lt;=$BB$4),$AZ$4+(4*7+4-($BA$4-1)+1)-1,"")</f>
        <v>46142</v>
      </c>
      <c r="G31" s="44" t="str">
        <f>IF(AND((4*7+5-($BA$4-1)+1)&gt;=1,(4*7+5-($BA$4-1)+1)&lt;=$BB$4),$AZ$4+(4*7+5-($BA$4-1)+1)-1,"")</f>
        <v/>
      </c>
      <c r="H31" s="43" t="str">
        <f>IF(AND((4*7+6-($BA$4-1)+1)&gt;=1,(4*7+6-($BA$4-1)+1)&lt;=$BB$4),$AZ$4+(4*7+6-($BA$4-1)+1)-1,"")</f>
        <v/>
      </c>
      <c r="J31" s="43">
        <f>IF(AND((4*7+0-($BA$5-1)+1)&gt;=1,(4*7+0-($BA$5-1)+1)&lt;=$BB$5),$AZ$5+(4*7+0-($BA$5-1)+1)-1,"")</f>
        <v>46166</v>
      </c>
      <c r="K31" s="44">
        <f>IF(AND((4*7+1-($BA$5-1)+1)&gt;=1,(4*7+1-($BA$5-1)+1)&lt;=$BB$5),$AZ$5+(4*7+1-($BA$5-1)+1)-1,"")</f>
        <v>46167</v>
      </c>
      <c r="L31" s="44">
        <f>IF(AND((4*7+2-($BA$5-1)+1)&gt;=1,(4*7+2-($BA$5-1)+1)&lt;=$BB$5),$AZ$5+(4*7+2-($BA$5-1)+1)-1,"")</f>
        <v>46168</v>
      </c>
      <c r="M31" s="44">
        <f>IF(AND((4*7+3-($BA$5-1)+1)&gt;=1,(4*7+3-($BA$5-1)+1)&lt;=$BB$5),$AZ$5+(4*7+3-($BA$5-1)+1)-1,"")</f>
        <v>46169</v>
      </c>
      <c r="N31" s="44">
        <f>IF(AND((4*7+4-($BA$5-1)+1)&gt;=1,(4*7+4-($BA$5-1)+1)&lt;=$BB$5),$AZ$5+(4*7+4-($BA$5-1)+1)-1,"")</f>
        <v>46170</v>
      </c>
      <c r="O31" s="44">
        <f>IF(AND((4*7+5-($BA$5-1)+1)&gt;=1,(4*7+5-($BA$5-1)+1)&lt;=$BB$5),$AZ$5+(4*7+5-($BA$5-1)+1)-1,"")</f>
        <v>46171</v>
      </c>
      <c r="P31" s="43">
        <f>IF(AND((4*7+6-($BA$5-1)+1)&gt;=1,(4*7+6-($BA$5-1)+1)&lt;=$BB$5),$AZ$5+(4*7+6-($BA$5-1)+1)-1,"")</f>
        <v>46172</v>
      </c>
      <c r="R31" s="43">
        <f>IF(AND((4*7+0-($BA$6-1)+1)&gt;=1,(4*7+0-($BA$6-1)+1)&lt;=$BB$6),$AZ$6+(4*7+0-($BA$6-1)+1)-1,"")</f>
        <v>46201</v>
      </c>
      <c r="S31" s="44">
        <f>IF(AND((4*7+1-($BA$6-1)+1)&gt;=1,(4*7+1-($BA$6-1)+1)&lt;=$BB$6),$AZ$6+(4*7+1-($BA$6-1)+1)-1,"")</f>
        <v>46202</v>
      </c>
      <c r="T31" s="44">
        <f>IF(AND((4*7+2-($BA$6-1)+1)&gt;=1,(4*7+2-($BA$6-1)+1)&lt;=$BB$6),$AZ$6+(4*7+2-($BA$6-1)+1)-1,"")</f>
        <v>46203</v>
      </c>
      <c r="U31" s="44" t="str">
        <f>IF(AND((4*7+3-($BA$6-1)+1)&gt;=1,(4*7+3-($BA$6-1)+1)&lt;=$BB$6),$AZ$6+(4*7+3-($BA$6-1)+1)-1,"")</f>
        <v/>
      </c>
      <c r="V31" s="44" t="str">
        <f>IF(AND((4*7+4-($BA$6-1)+1)&gt;=1,(4*7+4-($BA$6-1)+1)&lt;=$BB$6),$AZ$6+(4*7+4-($BA$6-1)+1)-1,"")</f>
        <v/>
      </c>
      <c r="W31" s="44" t="str">
        <f>IF(AND((4*7+5-($BA$6-1)+1)&gt;=1,(4*7+5-($BA$6-1)+1)&lt;=$BB$6),$AZ$6+(4*7+5-($BA$6-1)+1)-1,"")</f>
        <v/>
      </c>
      <c r="X31" s="43" t="str">
        <f>IF(AND((4*7+6-($BA$6-1)+1)&gt;=1,(4*7+6-($BA$6-1)+1)&lt;=$BB$6),$AZ$6+(4*7+6-($BA$6-1)+1)-1,"")</f>
        <v/>
      </c>
    </row>
    <row r="32" spans="2:24" ht="27.95" customHeight="1">
      <c r="B32" s="45" t="str">
        <f>IF(B31="","",IFERROR("● "&amp;INDEX('Release Calendar'!$B$5:$B$504,MATCH(B31,'Release Calendar'!$I$5:$I$504,0))&amp;" · Start ","")&amp;IFERROR("● "&amp;INDEX('Release Calendar'!$B$5:$B$504,MATCH(B31,'Release Calendar'!$J$5:$J$504,0))&amp;" · Target ",""))</f>
        <v/>
      </c>
      <c r="C32" s="46" t="str">
        <f>IF(C31="","",IFERROR("● "&amp;INDEX('Release Calendar'!$B$5:$B$504,MATCH(C31,'Release Calendar'!$I$5:$I$504,0))&amp;" · Start ","")&amp;IFERROR("● "&amp;INDEX('Release Calendar'!$B$5:$B$504,MATCH(C31,'Release Calendar'!$J$5:$J$504,0))&amp;" · Target ",""))</f>
        <v/>
      </c>
      <c r="D32" s="46" t="str">
        <f>IF(D31="","",IFERROR("● "&amp;INDEX('Release Calendar'!$B$5:$B$504,MATCH(D31,'Release Calendar'!$I$5:$I$504,0))&amp;" · Start ","")&amp;IFERROR("● "&amp;INDEX('Release Calendar'!$B$5:$B$504,MATCH(D31,'Release Calendar'!$J$5:$J$504,0))&amp;" · Target ",""))</f>
        <v/>
      </c>
      <c r="E32" s="46" t="str">
        <f>IF(E31="","",IFERROR("● "&amp;INDEX('Release Calendar'!$B$5:$B$504,MATCH(E31,'Release Calendar'!$I$5:$I$504,0))&amp;" · Start ","")&amp;IFERROR("● "&amp;INDEX('Release Calendar'!$B$5:$B$504,MATCH(E31,'Release Calendar'!$J$5:$J$504,0))&amp;" · Target ",""))</f>
        <v/>
      </c>
      <c r="F32" s="46" t="str">
        <f>IF(F31="","",IFERROR("● "&amp;INDEX('Release Calendar'!$B$5:$B$504,MATCH(F31,'Release Calendar'!$I$5:$I$504,0))&amp;" · Start ","")&amp;IFERROR("● "&amp;INDEX('Release Calendar'!$B$5:$B$504,MATCH(F31,'Release Calendar'!$J$5:$J$504,0))&amp;" · Target ",""))</f>
        <v/>
      </c>
      <c r="G32" s="46" t="str">
        <f>IF(G31="","",IFERROR("● "&amp;INDEX('Release Calendar'!$B$5:$B$504,MATCH(G31,'Release Calendar'!$I$5:$I$504,0))&amp;" · Start ","")&amp;IFERROR("● "&amp;INDEX('Release Calendar'!$B$5:$B$504,MATCH(G31,'Release Calendar'!$J$5:$J$504,0))&amp;" · Target ",""))</f>
        <v/>
      </c>
      <c r="H32" s="45" t="str">
        <f>IF(H31="","",IFERROR("● "&amp;INDEX('Release Calendar'!$B$5:$B$504,MATCH(H31,'Release Calendar'!$I$5:$I$504,0))&amp;" · Start ","")&amp;IFERROR("● "&amp;INDEX('Release Calendar'!$B$5:$B$504,MATCH(H31,'Release Calendar'!$J$5:$J$504,0))&amp;" · Target ",""))</f>
        <v/>
      </c>
      <c r="J32" s="45" t="str">
        <f>IF(J31="","",IFERROR("● "&amp;INDEX('Release Calendar'!$B$5:$B$504,MATCH(J31,'Release Calendar'!$I$5:$I$504,0))&amp;" · Start ","")&amp;IFERROR("● "&amp;INDEX('Release Calendar'!$B$5:$B$504,MATCH(J31,'Release Calendar'!$J$5:$J$504,0))&amp;" · Target ",""))</f>
        <v/>
      </c>
      <c r="K32" s="46" t="str">
        <f>IF(K31="","",IFERROR("● "&amp;INDEX('Release Calendar'!$B$5:$B$504,MATCH(K31,'Release Calendar'!$I$5:$I$504,0))&amp;" · Start ","")&amp;IFERROR("● "&amp;INDEX('Release Calendar'!$B$5:$B$504,MATCH(K31,'Release Calendar'!$J$5:$J$504,0))&amp;" · Target ",""))</f>
        <v/>
      </c>
      <c r="L32" s="46" t="str">
        <f>IF(L31="","",IFERROR("● "&amp;INDEX('Release Calendar'!$B$5:$B$504,MATCH(L31,'Release Calendar'!$I$5:$I$504,0))&amp;" · Start ","")&amp;IFERROR("● "&amp;INDEX('Release Calendar'!$B$5:$B$504,MATCH(L31,'Release Calendar'!$J$5:$J$504,0))&amp;" · Target ",""))</f>
        <v/>
      </c>
      <c r="M32" s="46" t="str">
        <f>IF(M31="","",IFERROR("● "&amp;INDEX('Release Calendar'!$B$5:$B$504,MATCH(M31,'Release Calendar'!$I$5:$I$504,0))&amp;" · Start ","")&amp;IFERROR("● "&amp;INDEX('Release Calendar'!$B$5:$B$504,MATCH(M31,'Release Calendar'!$J$5:$J$504,0))&amp;" · Target ",""))</f>
        <v/>
      </c>
      <c r="N32" s="46" t="str">
        <f>IF(N31="","",IFERROR("● "&amp;INDEX('Release Calendar'!$B$5:$B$504,MATCH(N31,'Release Calendar'!$I$5:$I$504,0))&amp;" · Start ","")&amp;IFERROR("● "&amp;INDEX('Release Calendar'!$B$5:$B$504,MATCH(N31,'Release Calendar'!$J$5:$J$504,0))&amp;" · Target ",""))</f>
        <v/>
      </c>
      <c r="O32" s="46" t="str">
        <f>IF(O31="","",IFERROR("● "&amp;INDEX('Release Calendar'!$B$5:$B$504,MATCH(O31,'Release Calendar'!$I$5:$I$504,0))&amp;" · Start ","")&amp;IFERROR("● "&amp;INDEX('Release Calendar'!$B$5:$B$504,MATCH(O31,'Release Calendar'!$J$5:$J$504,0))&amp;" · Target ",""))</f>
        <v/>
      </c>
      <c r="P32" s="45" t="str">
        <f>IF(P31="","",IFERROR("● "&amp;INDEX('Release Calendar'!$B$5:$B$504,MATCH(P31,'Release Calendar'!$I$5:$I$504,0))&amp;" · Start ","")&amp;IFERROR("● "&amp;INDEX('Release Calendar'!$B$5:$B$504,MATCH(P31,'Release Calendar'!$J$5:$J$504,0))&amp;" · Target ",""))</f>
        <v/>
      </c>
      <c r="R32" s="45" t="str">
        <f>IF(R31="","",IFERROR("● "&amp;INDEX('Release Calendar'!$B$5:$B$504,MATCH(R31,'Release Calendar'!$I$5:$I$504,0))&amp;" · Start ","")&amp;IFERROR("● "&amp;INDEX('Release Calendar'!$B$5:$B$504,MATCH(R31,'Release Calendar'!$J$5:$J$504,0))&amp;" · Target ",""))</f>
        <v/>
      </c>
      <c r="S32" s="46" t="str">
        <f>IF(S31="","",IFERROR("● "&amp;INDEX('Release Calendar'!$B$5:$B$504,MATCH(S31,'Release Calendar'!$I$5:$I$504,0))&amp;" · Start ","")&amp;IFERROR("● "&amp;INDEX('Release Calendar'!$B$5:$B$504,MATCH(S31,'Release Calendar'!$J$5:$J$504,0))&amp;" · Target ",""))</f>
        <v/>
      </c>
      <c r="T32" s="46" t="str">
        <f>IF(T31="","",IFERROR("● "&amp;INDEX('Release Calendar'!$B$5:$B$504,MATCH(T31,'Release Calendar'!$I$5:$I$504,0))&amp;" · Start ","")&amp;IFERROR("● "&amp;INDEX('Release Calendar'!$B$5:$B$504,MATCH(T31,'Release Calendar'!$J$5:$J$504,0))&amp;" · Target ",""))</f>
        <v/>
      </c>
      <c r="U32" s="46" t="str">
        <f>IF(U31="","",IFERROR("● "&amp;INDEX('Release Calendar'!$B$5:$B$504,MATCH(U31,'Release Calendar'!$I$5:$I$504,0))&amp;" · Start ","")&amp;IFERROR("● "&amp;INDEX('Release Calendar'!$B$5:$B$504,MATCH(U31,'Release Calendar'!$J$5:$J$504,0))&amp;" · Target ",""))</f>
        <v/>
      </c>
      <c r="V32" s="46" t="str">
        <f>IF(V31="","",IFERROR("● "&amp;INDEX('Release Calendar'!$B$5:$B$504,MATCH(V31,'Release Calendar'!$I$5:$I$504,0))&amp;" · Start ","")&amp;IFERROR("● "&amp;INDEX('Release Calendar'!$B$5:$B$504,MATCH(V31,'Release Calendar'!$J$5:$J$504,0))&amp;" · Target ",""))</f>
        <v/>
      </c>
      <c r="W32" s="46" t="str">
        <f>IF(W31="","",IFERROR("● "&amp;INDEX('Release Calendar'!$B$5:$B$504,MATCH(W31,'Release Calendar'!$I$5:$I$504,0))&amp;" · Start ","")&amp;IFERROR("● "&amp;INDEX('Release Calendar'!$B$5:$B$504,MATCH(W31,'Release Calendar'!$J$5:$J$504,0))&amp;" · Target ",""))</f>
        <v/>
      </c>
      <c r="X32" s="45" t="str">
        <f>IF(X31="","",IFERROR("● "&amp;INDEX('Release Calendar'!$B$5:$B$504,MATCH(X31,'Release Calendar'!$I$5:$I$504,0))&amp;" · Start ","")&amp;IFERROR("● "&amp;INDEX('Release Calendar'!$B$5:$B$504,MATCH(X31,'Release Calendar'!$J$5:$J$504,0))&amp;" · Target ",""))</f>
        <v/>
      </c>
    </row>
    <row r="33" spans="2:24" ht="12.95" customHeight="1">
      <c r="B33" s="43" t="str">
        <f>IF(AND((5*7+0-($BA$4-1)+1)&gt;=1,(5*7+0-($BA$4-1)+1)&lt;=$BB$4),$AZ$4+(5*7+0-($BA$4-1)+1)-1,"")</f>
        <v/>
      </c>
      <c r="C33" s="44" t="str">
        <f>IF(AND((5*7+1-($BA$4-1)+1)&gt;=1,(5*7+1-($BA$4-1)+1)&lt;=$BB$4),$AZ$4+(5*7+1-($BA$4-1)+1)-1,"")</f>
        <v/>
      </c>
      <c r="D33" s="44" t="str">
        <f>IF(AND((5*7+2-($BA$4-1)+1)&gt;=1,(5*7+2-($BA$4-1)+1)&lt;=$BB$4),$AZ$4+(5*7+2-($BA$4-1)+1)-1,"")</f>
        <v/>
      </c>
      <c r="E33" s="44" t="str">
        <f>IF(AND((5*7+3-($BA$4-1)+1)&gt;=1,(5*7+3-($BA$4-1)+1)&lt;=$BB$4),$AZ$4+(5*7+3-($BA$4-1)+1)-1,"")</f>
        <v/>
      </c>
      <c r="F33" s="44" t="str">
        <f>IF(AND((5*7+4-($BA$4-1)+1)&gt;=1,(5*7+4-($BA$4-1)+1)&lt;=$BB$4),$AZ$4+(5*7+4-($BA$4-1)+1)-1,"")</f>
        <v/>
      </c>
      <c r="G33" s="44" t="str">
        <f>IF(AND((5*7+5-($BA$4-1)+1)&gt;=1,(5*7+5-($BA$4-1)+1)&lt;=$BB$4),$AZ$4+(5*7+5-($BA$4-1)+1)-1,"")</f>
        <v/>
      </c>
      <c r="H33" s="43" t="str">
        <f>IF(AND((5*7+6-($BA$4-1)+1)&gt;=1,(5*7+6-($BA$4-1)+1)&lt;=$BB$4),$AZ$4+(5*7+6-($BA$4-1)+1)-1,"")</f>
        <v/>
      </c>
      <c r="J33" s="43">
        <f>IF(AND((5*7+0-($BA$5-1)+1)&gt;=1,(5*7+0-($BA$5-1)+1)&lt;=$BB$5),$AZ$5+(5*7+0-($BA$5-1)+1)-1,"")</f>
        <v>46173</v>
      </c>
      <c r="K33" s="44" t="str">
        <f>IF(AND((5*7+1-($BA$5-1)+1)&gt;=1,(5*7+1-($BA$5-1)+1)&lt;=$BB$5),$AZ$5+(5*7+1-($BA$5-1)+1)-1,"")</f>
        <v/>
      </c>
      <c r="L33" s="44" t="str">
        <f>IF(AND((5*7+2-($BA$5-1)+1)&gt;=1,(5*7+2-($BA$5-1)+1)&lt;=$BB$5),$AZ$5+(5*7+2-($BA$5-1)+1)-1,"")</f>
        <v/>
      </c>
      <c r="M33" s="44" t="str">
        <f>IF(AND((5*7+3-($BA$5-1)+1)&gt;=1,(5*7+3-($BA$5-1)+1)&lt;=$BB$5),$AZ$5+(5*7+3-($BA$5-1)+1)-1,"")</f>
        <v/>
      </c>
      <c r="N33" s="44" t="str">
        <f>IF(AND((5*7+4-($BA$5-1)+1)&gt;=1,(5*7+4-($BA$5-1)+1)&lt;=$BB$5),$AZ$5+(5*7+4-($BA$5-1)+1)-1,"")</f>
        <v/>
      </c>
      <c r="O33" s="44" t="str">
        <f>IF(AND((5*7+5-($BA$5-1)+1)&gt;=1,(5*7+5-($BA$5-1)+1)&lt;=$BB$5),$AZ$5+(5*7+5-($BA$5-1)+1)-1,"")</f>
        <v/>
      </c>
      <c r="P33" s="43" t="str">
        <f>IF(AND((5*7+6-($BA$5-1)+1)&gt;=1,(5*7+6-($BA$5-1)+1)&lt;=$BB$5),$AZ$5+(5*7+6-($BA$5-1)+1)-1,"")</f>
        <v/>
      </c>
      <c r="R33" s="43" t="str">
        <f>IF(AND((5*7+0-($BA$6-1)+1)&gt;=1,(5*7+0-($BA$6-1)+1)&lt;=$BB$6),$AZ$6+(5*7+0-($BA$6-1)+1)-1,"")</f>
        <v/>
      </c>
      <c r="S33" s="44" t="str">
        <f>IF(AND((5*7+1-($BA$6-1)+1)&gt;=1,(5*7+1-($BA$6-1)+1)&lt;=$BB$6),$AZ$6+(5*7+1-($BA$6-1)+1)-1,"")</f>
        <v/>
      </c>
      <c r="T33" s="44" t="str">
        <f>IF(AND((5*7+2-($BA$6-1)+1)&gt;=1,(5*7+2-($BA$6-1)+1)&lt;=$BB$6),$AZ$6+(5*7+2-($BA$6-1)+1)-1,"")</f>
        <v/>
      </c>
      <c r="U33" s="44" t="str">
        <f>IF(AND((5*7+3-($BA$6-1)+1)&gt;=1,(5*7+3-($BA$6-1)+1)&lt;=$BB$6),$AZ$6+(5*7+3-($BA$6-1)+1)-1,"")</f>
        <v/>
      </c>
      <c r="V33" s="44" t="str">
        <f>IF(AND((5*7+4-($BA$6-1)+1)&gt;=1,(5*7+4-($BA$6-1)+1)&lt;=$BB$6),$AZ$6+(5*7+4-($BA$6-1)+1)-1,"")</f>
        <v/>
      </c>
      <c r="W33" s="44" t="str">
        <f>IF(AND((5*7+5-($BA$6-1)+1)&gt;=1,(5*7+5-($BA$6-1)+1)&lt;=$BB$6),$AZ$6+(5*7+5-($BA$6-1)+1)-1,"")</f>
        <v/>
      </c>
      <c r="X33" s="43" t="str">
        <f>IF(AND((5*7+6-($BA$6-1)+1)&gt;=1,(5*7+6-($BA$6-1)+1)&lt;=$BB$6),$AZ$6+(5*7+6-($BA$6-1)+1)-1,"")</f>
        <v/>
      </c>
    </row>
    <row r="34" spans="2:24" ht="27.95" customHeight="1">
      <c r="B34" s="45" t="str">
        <f>IF(B33="","",IFERROR("● "&amp;INDEX('Release Calendar'!$B$5:$B$504,MATCH(B33,'Release Calendar'!$I$5:$I$504,0))&amp;" · Start ","")&amp;IFERROR("● "&amp;INDEX('Release Calendar'!$B$5:$B$504,MATCH(B33,'Release Calendar'!$J$5:$J$504,0))&amp;" · Target ",""))</f>
        <v/>
      </c>
      <c r="C34" s="46" t="str">
        <f>IF(C33="","",IFERROR("● "&amp;INDEX('Release Calendar'!$B$5:$B$504,MATCH(C33,'Release Calendar'!$I$5:$I$504,0))&amp;" · Start ","")&amp;IFERROR("● "&amp;INDEX('Release Calendar'!$B$5:$B$504,MATCH(C33,'Release Calendar'!$J$5:$J$504,0))&amp;" · Target ",""))</f>
        <v/>
      </c>
      <c r="D34" s="46" t="str">
        <f>IF(D33="","",IFERROR("● "&amp;INDEX('Release Calendar'!$B$5:$B$504,MATCH(D33,'Release Calendar'!$I$5:$I$504,0))&amp;" · Start ","")&amp;IFERROR("● "&amp;INDEX('Release Calendar'!$B$5:$B$504,MATCH(D33,'Release Calendar'!$J$5:$J$504,0))&amp;" · Target ",""))</f>
        <v/>
      </c>
      <c r="E34" s="46" t="str">
        <f>IF(E33="","",IFERROR("● "&amp;INDEX('Release Calendar'!$B$5:$B$504,MATCH(E33,'Release Calendar'!$I$5:$I$504,0))&amp;" · Start ","")&amp;IFERROR("● "&amp;INDEX('Release Calendar'!$B$5:$B$504,MATCH(E33,'Release Calendar'!$J$5:$J$504,0))&amp;" · Target ",""))</f>
        <v/>
      </c>
      <c r="F34" s="46" t="str">
        <f>IF(F33="","",IFERROR("● "&amp;INDEX('Release Calendar'!$B$5:$B$504,MATCH(F33,'Release Calendar'!$I$5:$I$504,0))&amp;" · Start ","")&amp;IFERROR("● "&amp;INDEX('Release Calendar'!$B$5:$B$504,MATCH(F33,'Release Calendar'!$J$5:$J$504,0))&amp;" · Target ",""))</f>
        <v/>
      </c>
      <c r="G34" s="46" t="str">
        <f>IF(G33="","",IFERROR("● "&amp;INDEX('Release Calendar'!$B$5:$B$504,MATCH(G33,'Release Calendar'!$I$5:$I$504,0))&amp;" · Start ","")&amp;IFERROR("● "&amp;INDEX('Release Calendar'!$B$5:$B$504,MATCH(G33,'Release Calendar'!$J$5:$J$504,0))&amp;" · Target ",""))</f>
        <v/>
      </c>
      <c r="H34" s="45" t="str">
        <f>IF(H33="","",IFERROR("● "&amp;INDEX('Release Calendar'!$B$5:$B$504,MATCH(H33,'Release Calendar'!$I$5:$I$504,0))&amp;" · Start ","")&amp;IFERROR("● "&amp;INDEX('Release Calendar'!$B$5:$B$504,MATCH(H33,'Release Calendar'!$J$5:$J$504,0))&amp;" · Target ",""))</f>
        <v/>
      </c>
      <c r="J34" s="45" t="str">
        <f>IF(J33="","",IFERROR("● "&amp;INDEX('Release Calendar'!$B$5:$B$504,MATCH(J33,'Release Calendar'!$I$5:$I$504,0))&amp;" · Start ","")&amp;IFERROR("● "&amp;INDEX('Release Calendar'!$B$5:$B$504,MATCH(J33,'Release Calendar'!$J$5:$J$504,0))&amp;" · Target ",""))</f>
        <v/>
      </c>
      <c r="K34" s="46" t="str">
        <f>IF(K33="","",IFERROR("● "&amp;INDEX('Release Calendar'!$B$5:$B$504,MATCH(K33,'Release Calendar'!$I$5:$I$504,0))&amp;" · Start ","")&amp;IFERROR("● "&amp;INDEX('Release Calendar'!$B$5:$B$504,MATCH(K33,'Release Calendar'!$J$5:$J$504,0))&amp;" · Target ",""))</f>
        <v/>
      </c>
      <c r="L34" s="46" t="str">
        <f>IF(L33="","",IFERROR("● "&amp;INDEX('Release Calendar'!$B$5:$B$504,MATCH(L33,'Release Calendar'!$I$5:$I$504,0))&amp;" · Start ","")&amp;IFERROR("● "&amp;INDEX('Release Calendar'!$B$5:$B$504,MATCH(L33,'Release Calendar'!$J$5:$J$504,0))&amp;" · Target ",""))</f>
        <v/>
      </c>
      <c r="M34" s="46" t="str">
        <f>IF(M33="","",IFERROR("● "&amp;INDEX('Release Calendar'!$B$5:$B$504,MATCH(M33,'Release Calendar'!$I$5:$I$504,0))&amp;" · Start ","")&amp;IFERROR("● "&amp;INDEX('Release Calendar'!$B$5:$B$504,MATCH(M33,'Release Calendar'!$J$5:$J$504,0))&amp;" · Target ",""))</f>
        <v/>
      </c>
      <c r="N34" s="46" t="str">
        <f>IF(N33="","",IFERROR("● "&amp;INDEX('Release Calendar'!$B$5:$B$504,MATCH(N33,'Release Calendar'!$I$5:$I$504,0))&amp;" · Start ","")&amp;IFERROR("● "&amp;INDEX('Release Calendar'!$B$5:$B$504,MATCH(N33,'Release Calendar'!$J$5:$J$504,0))&amp;" · Target ",""))</f>
        <v/>
      </c>
      <c r="O34" s="46" t="str">
        <f>IF(O33="","",IFERROR("● "&amp;INDEX('Release Calendar'!$B$5:$B$504,MATCH(O33,'Release Calendar'!$I$5:$I$504,0))&amp;" · Start ","")&amp;IFERROR("● "&amp;INDEX('Release Calendar'!$B$5:$B$504,MATCH(O33,'Release Calendar'!$J$5:$J$504,0))&amp;" · Target ",""))</f>
        <v/>
      </c>
      <c r="P34" s="45" t="str">
        <f>IF(P33="","",IFERROR("● "&amp;INDEX('Release Calendar'!$B$5:$B$504,MATCH(P33,'Release Calendar'!$I$5:$I$504,0))&amp;" · Start ","")&amp;IFERROR("● "&amp;INDEX('Release Calendar'!$B$5:$B$504,MATCH(P33,'Release Calendar'!$J$5:$J$504,0))&amp;" · Target ",""))</f>
        <v/>
      </c>
      <c r="R34" s="45" t="str">
        <f>IF(R33="","",IFERROR("● "&amp;INDEX('Release Calendar'!$B$5:$B$504,MATCH(R33,'Release Calendar'!$I$5:$I$504,0))&amp;" · Start ","")&amp;IFERROR("● "&amp;INDEX('Release Calendar'!$B$5:$B$504,MATCH(R33,'Release Calendar'!$J$5:$J$504,0))&amp;" · Target ",""))</f>
        <v/>
      </c>
      <c r="S34" s="46" t="str">
        <f>IF(S33="","",IFERROR("● "&amp;INDEX('Release Calendar'!$B$5:$B$504,MATCH(S33,'Release Calendar'!$I$5:$I$504,0))&amp;" · Start ","")&amp;IFERROR("● "&amp;INDEX('Release Calendar'!$B$5:$B$504,MATCH(S33,'Release Calendar'!$J$5:$J$504,0))&amp;" · Target ",""))</f>
        <v/>
      </c>
      <c r="T34" s="46" t="str">
        <f>IF(T33="","",IFERROR("● "&amp;INDEX('Release Calendar'!$B$5:$B$504,MATCH(T33,'Release Calendar'!$I$5:$I$504,0))&amp;" · Start ","")&amp;IFERROR("● "&amp;INDEX('Release Calendar'!$B$5:$B$504,MATCH(T33,'Release Calendar'!$J$5:$J$504,0))&amp;" · Target ",""))</f>
        <v/>
      </c>
      <c r="U34" s="46" t="str">
        <f>IF(U33="","",IFERROR("● "&amp;INDEX('Release Calendar'!$B$5:$B$504,MATCH(U33,'Release Calendar'!$I$5:$I$504,0))&amp;" · Start ","")&amp;IFERROR("● "&amp;INDEX('Release Calendar'!$B$5:$B$504,MATCH(U33,'Release Calendar'!$J$5:$J$504,0))&amp;" · Target ",""))</f>
        <v/>
      </c>
      <c r="V34" s="46" t="str">
        <f>IF(V33="","",IFERROR("● "&amp;INDEX('Release Calendar'!$B$5:$B$504,MATCH(V33,'Release Calendar'!$I$5:$I$504,0))&amp;" · Start ","")&amp;IFERROR("● "&amp;INDEX('Release Calendar'!$B$5:$B$504,MATCH(V33,'Release Calendar'!$J$5:$J$504,0))&amp;" · Target ",""))</f>
        <v/>
      </c>
      <c r="W34" s="46" t="str">
        <f>IF(W33="","",IFERROR("● "&amp;INDEX('Release Calendar'!$B$5:$B$504,MATCH(W33,'Release Calendar'!$I$5:$I$504,0))&amp;" · Start ","")&amp;IFERROR("● "&amp;INDEX('Release Calendar'!$B$5:$B$504,MATCH(W33,'Release Calendar'!$J$5:$J$504,0))&amp;" · Target ",""))</f>
        <v/>
      </c>
      <c r="X34" s="45" t="str">
        <f>IF(X33="","",IFERROR("● "&amp;INDEX('Release Calendar'!$B$5:$B$504,MATCH(X33,'Release Calendar'!$I$5:$I$504,0))&amp;" · Start ","")&amp;IFERROR("● "&amp;INDEX('Release Calendar'!$B$5:$B$504,MATCH(X33,'Release Calendar'!$J$5:$J$504,0))&amp;" · Target ",""))</f>
        <v/>
      </c>
    </row>
    <row r="36" spans="2:24" ht="21.95" customHeight="1">
      <c r="B36" s="116" t="str">
        <f>TEXT(DATE($B$4,7,1),"mmmm")</f>
        <v>July</v>
      </c>
      <c r="C36" s="122"/>
      <c r="D36" s="122"/>
      <c r="E36" s="122"/>
      <c r="F36" s="122"/>
      <c r="G36" s="122"/>
      <c r="H36" s="122"/>
      <c r="J36" s="116" t="str">
        <f>TEXT(DATE($B$4,8,1),"mmmm")</f>
        <v>August</v>
      </c>
      <c r="K36" s="122"/>
      <c r="L36" s="122"/>
      <c r="M36" s="122"/>
      <c r="N36" s="122"/>
      <c r="O36" s="122"/>
      <c r="P36" s="122"/>
      <c r="R36" s="116" t="str">
        <f>TEXT(DATE($B$4,9,1),"mmmm")</f>
        <v>September</v>
      </c>
      <c r="S36" s="122"/>
      <c r="T36" s="122"/>
      <c r="U36" s="122"/>
      <c r="V36" s="122"/>
      <c r="W36" s="122"/>
      <c r="X36" s="122"/>
    </row>
    <row r="37" spans="2:24" ht="15" customHeight="1">
      <c r="B37" s="42" t="s">
        <v>179</v>
      </c>
      <c r="C37" s="42" t="s">
        <v>180</v>
      </c>
      <c r="D37" s="42" t="s">
        <v>181</v>
      </c>
      <c r="E37" s="42" t="s">
        <v>182</v>
      </c>
      <c r="F37" s="42" t="s">
        <v>183</v>
      </c>
      <c r="G37" s="42" t="s">
        <v>184</v>
      </c>
      <c r="H37" s="42" t="s">
        <v>185</v>
      </c>
      <c r="J37" s="42" t="s">
        <v>179</v>
      </c>
      <c r="K37" s="42" t="s">
        <v>180</v>
      </c>
      <c r="L37" s="42" t="s">
        <v>181</v>
      </c>
      <c r="M37" s="42" t="s">
        <v>182</v>
      </c>
      <c r="N37" s="42" t="s">
        <v>183</v>
      </c>
      <c r="O37" s="42" t="s">
        <v>184</v>
      </c>
      <c r="P37" s="42" t="s">
        <v>185</v>
      </c>
      <c r="R37" s="42" t="s">
        <v>179</v>
      </c>
      <c r="S37" s="42" t="s">
        <v>180</v>
      </c>
      <c r="T37" s="42" t="s">
        <v>181</v>
      </c>
      <c r="U37" s="42" t="s">
        <v>182</v>
      </c>
      <c r="V37" s="42" t="s">
        <v>183</v>
      </c>
      <c r="W37" s="42" t="s">
        <v>184</v>
      </c>
      <c r="X37" s="42" t="s">
        <v>185</v>
      </c>
    </row>
    <row r="38" spans="2:24" ht="12.95" customHeight="1">
      <c r="B38" s="43" t="str">
        <f>IF(AND((0*7+0-($BA$7-1)+1)&gt;=1,(0*7+0-($BA$7-1)+1)&lt;=$BB$7),$AZ$7+(0*7+0-($BA$7-1)+1)-1,"")</f>
        <v/>
      </c>
      <c r="C38" s="44" t="str">
        <f>IF(AND((0*7+1-($BA$7-1)+1)&gt;=1,(0*7+1-($BA$7-1)+1)&lt;=$BB$7),$AZ$7+(0*7+1-($BA$7-1)+1)-1,"")</f>
        <v/>
      </c>
      <c r="D38" s="44" t="str">
        <f>IF(AND((0*7+2-($BA$7-1)+1)&gt;=1,(0*7+2-($BA$7-1)+1)&lt;=$BB$7),$AZ$7+(0*7+2-($BA$7-1)+1)-1,"")</f>
        <v/>
      </c>
      <c r="E38" s="44">
        <f>IF(AND((0*7+3-($BA$7-1)+1)&gt;=1,(0*7+3-($BA$7-1)+1)&lt;=$BB$7),$AZ$7+(0*7+3-($BA$7-1)+1)-1,"")</f>
        <v>46204</v>
      </c>
      <c r="F38" s="44">
        <f>IF(AND((0*7+4-($BA$7-1)+1)&gt;=1,(0*7+4-($BA$7-1)+1)&lt;=$BB$7),$AZ$7+(0*7+4-($BA$7-1)+1)-1,"")</f>
        <v>46205</v>
      </c>
      <c r="G38" s="44">
        <f>IF(AND((0*7+5-($BA$7-1)+1)&gt;=1,(0*7+5-($BA$7-1)+1)&lt;=$BB$7),$AZ$7+(0*7+5-($BA$7-1)+1)-1,"")</f>
        <v>46206</v>
      </c>
      <c r="H38" s="43">
        <f>IF(AND((0*7+6-($BA$7-1)+1)&gt;=1,(0*7+6-($BA$7-1)+1)&lt;=$BB$7),$AZ$7+(0*7+6-($BA$7-1)+1)-1,"")</f>
        <v>46207</v>
      </c>
      <c r="J38" s="43" t="str">
        <f>IF(AND((0*7+0-($BA$8-1)+1)&gt;=1,(0*7+0-($BA$8-1)+1)&lt;=$BB$8),$AZ$8+(0*7+0-($BA$8-1)+1)-1,"")</f>
        <v/>
      </c>
      <c r="K38" s="44" t="str">
        <f>IF(AND((0*7+1-($BA$8-1)+1)&gt;=1,(0*7+1-($BA$8-1)+1)&lt;=$BB$8),$AZ$8+(0*7+1-($BA$8-1)+1)-1,"")</f>
        <v/>
      </c>
      <c r="L38" s="44" t="str">
        <f>IF(AND((0*7+2-($BA$8-1)+1)&gt;=1,(0*7+2-($BA$8-1)+1)&lt;=$BB$8),$AZ$8+(0*7+2-($BA$8-1)+1)-1,"")</f>
        <v/>
      </c>
      <c r="M38" s="44" t="str">
        <f>IF(AND((0*7+3-($BA$8-1)+1)&gt;=1,(0*7+3-($BA$8-1)+1)&lt;=$BB$8),$AZ$8+(0*7+3-($BA$8-1)+1)-1,"")</f>
        <v/>
      </c>
      <c r="N38" s="44" t="str">
        <f>IF(AND((0*7+4-($BA$8-1)+1)&gt;=1,(0*7+4-($BA$8-1)+1)&lt;=$BB$8),$AZ$8+(0*7+4-($BA$8-1)+1)-1,"")</f>
        <v/>
      </c>
      <c r="O38" s="44" t="str">
        <f>IF(AND((0*7+5-($BA$8-1)+1)&gt;=1,(0*7+5-($BA$8-1)+1)&lt;=$BB$8),$AZ$8+(0*7+5-($BA$8-1)+1)-1,"")</f>
        <v/>
      </c>
      <c r="P38" s="43">
        <f>IF(AND((0*7+6-($BA$8-1)+1)&gt;=1,(0*7+6-($BA$8-1)+1)&lt;=$BB$8),$AZ$8+(0*7+6-($BA$8-1)+1)-1,"")</f>
        <v>46235</v>
      </c>
      <c r="R38" s="43" t="str">
        <f>IF(AND((0*7+0-($BA$9-1)+1)&gt;=1,(0*7+0-($BA$9-1)+1)&lt;=$BB$9),$AZ$9+(0*7+0-($BA$9-1)+1)-1,"")</f>
        <v/>
      </c>
      <c r="S38" s="44" t="str">
        <f>IF(AND((0*7+1-($BA$9-1)+1)&gt;=1,(0*7+1-($BA$9-1)+1)&lt;=$BB$9),$AZ$9+(0*7+1-($BA$9-1)+1)-1,"")</f>
        <v/>
      </c>
      <c r="T38" s="44">
        <f>IF(AND((0*7+2-($BA$9-1)+1)&gt;=1,(0*7+2-($BA$9-1)+1)&lt;=$BB$9),$AZ$9+(0*7+2-($BA$9-1)+1)-1,"")</f>
        <v>46266</v>
      </c>
      <c r="U38" s="44">
        <f>IF(AND((0*7+3-($BA$9-1)+1)&gt;=1,(0*7+3-($BA$9-1)+1)&lt;=$BB$9),$AZ$9+(0*7+3-($BA$9-1)+1)-1,"")</f>
        <v>46267</v>
      </c>
      <c r="V38" s="44">
        <f>IF(AND((0*7+4-($BA$9-1)+1)&gt;=1,(0*7+4-($BA$9-1)+1)&lt;=$BB$9),$AZ$9+(0*7+4-($BA$9-1)+1)-1,"")</f>
        <v>46268</v>
      </c>
      <c r="W38" s="44">
        <f>IF(AND((0*7+5-($BA$9-1)+1)&gt;=1,(0*7+5-($BA$9-1)+1)&lt;=$BB$9),$AZ$9+(0*7+5-($BA$9-1)+1)-1,"")</f>
        <v>46269</v>
      </c>
      <c r="X38" s="43">
        <f>IF(AND((0*7+6-($BA$9-1)+1)&gt;=1,(0*7+6-($BA$9-1)+1)&lt;=$BB$9),$AZ$9+(0*7+6-($BA$9-1)+1)-1,"")</f>
        <v>46270</v>
      </c>
    </row>
    <row r="39" spans="2:24" ht="27.95" customHeight="1">
      <c r="B39" s="45" t="str">
        <f>IF(B38="","",IFERROR("● "&amp;INDEX('Release Calendar'!$B$5:$B$504,MATCH(B38,'Release Calendar'!$I$5:$I$504,0))&amp;" · Start ","")&amp;IFERROR("● "&amp;INDEX('Release Calendar'!$B$5:$B$504,MATCH(B38,'Release Calendar'!$J$5:$J$504,0))&amp;" · Target ",""))</f>
        <v/>
      </c>
      <c r="C39" s="46" t="str">
        <f>IF(C38="","",IFERROR("● "&amp;INDEX('Release Calendar'!$B$5:$B$504,MATCH(C38,'Release Calendar'!$I$5:$I$504,0))&amp;" · Start ","")&amp;IFERROR("● "&amp;INDEX('Release Calendar'!$B$5:$B$504,MATCH(C38,'Release Calendar'!$J$5:$J$504,0))&amp;" · Target ",""))</f>
        <v/>
      </c>
      <c r="D39" s="46" t="str">
        <f>IF(D38="","",IFERROR("● "&amp;INDEX('Release Calendar'!$B$5:$B$504,MATCH(D38,'Release Calendar'!$I$5:$I$504,0))&amp;" · Start ","")&amp;IFERROR("● "&amp;INDEX('Release Calendar'!$B$5:$B$504,MATCH(D38,'Release Calendar'!$J$5:$J$504,0))&amp;" · Target ",""))</f>
        <v/>
      </c>
      <c r="E39" s="46" t="str">
        <f>IF(E38="","",IFERROR("● "&amp;INDEX('Release Calendar'!$B$5:$B$504,MATCH(E38,'Release Calendar'!$I$5:$I$504,0))&amp;" · Start ","")&amp;IFERROR("● "&amp;INDEX('Release Calendar'!$B$5:$B$504,MATCH(E38,'Release Calendar'!$J$5:$J$504,0))&amp;" · Target ",""))</f>
        <v/>
      </c>
      <c r="F39" s="46" t="str">
        <f>IF(F38="","",IFERROR("● "&amp;INDEX('Release Calendar'!$B$5:$B$504,MATCH(F38,'Release Calendar'!$I$5:$I$504,0))&amp;" · Start ","")&amp;IFERROR("● "&amp;INDEX('Release Calendar'!$B$5:$B$504,MATCH(F38,'Release Calendar'!$J$5:$J$504,0))&amp;" · Target ",""))</f>
        <v/>
      </c>
      <c r="G39" s="46" t="str">
        <f>IF(G38="","",IFERROR("● "&amp;INDEX('Release Calendar'!$B$5:$B$504,MATCH(G38,'Release Calendar'!$I$5:$I$504,0))&amp;" · Start ","")&amp;IFERROR("● "&amp;INDEX('Release Calendar'!$B$5:$B$504,MATCH(G38,'Release Calendar'!$J$5:$J$504,0))&amp;" · Target ",""))</f>
        <v/>
      </c>
      <c r="H39" s="45" t="str">
        <f>IF(H38="","",IFERROR("● "&amp;INDEX('Release Calendar'!$B$5:$B$504,MATCH(H38,'Release Calendar'!$I$5:$I$504,0))&amp;" · Start ","")&amp;IFERROR("● "&amp;INDEX('Release Calendar'!$B$5:$B$504,MATCH(H38,'Release Calendar'!$J$5:$J$504,0))&amp;" · Target ",""))</f>
        <v/>
      </c>
      <c r="J39" s="45" t="str">
        <f>IF(J38="","",IFERROR("● "&amp;INDEX('Release Calendar'!$B$5:$B$504,MATCH(J38,'Release Calendar'!$I$5:$I$504,0))&amp;" · Start ","")&amp;IFERROR("● "&amp;INDEX('Release Calendar'!$B$5:$B$504,MATCH(J38,'Release Calendar'!$J$5:$J$504,0))&amp;" · Target ",""))</f>
        <v/>
      </c>
      <c r="K39" s="46" t="str">
        <f>IF(K38="","",IFERROR("● "&amp;INDEX('Release Calendar'!$B$5:$B$504,MATCH(K38,'Release Calendar'!$I$5:$I$504,0))&amp;" · Start ","")&amp;IFERROR("● "&amp;INDEX('Release Calendar'!$B$5:$B$504,MATCH(K38,'Release Calendar'!$J$5:$J$504,0))&amp;" · Target ",""))</f>
        <v/>
      </c>
      <c r="L39" s="46" t="str">
        <f>IF(L38="","",IFERROR("● "&amp;INDEX('Release Calendar'!$B$5:$B$504,MATCH(L38,'Release Calendar'!$I$5:$I$504,0))&amp;" · Start ","")&amp;IFERROR("● "&amp;INDEX('Release Calendar'!$B$5:$B$504,MATCH(L38,'Release Calendar'!$J$5:$J$504,0))&amp;" · Target ",""))</f>
        <v/>
      </c>
      <c r="M39" s="46" t="str">
        <f>IF(M38="","",IFERROR("● "&amp;INDEX('Release Calendar'!$B$5:$B$504,MATCH(M38,'Release Calendar'!$I$5:$I$504,0))&amp;" · Start ","")&amp;IFERROR("● "&amp;INDEX('Release Calendar'!$B$5:$B$504,MATCH(M38,'Release Calendar'!$J$5:$J$504,0))&amp;" · Target ",""))</f>
        <v/>
      </c>
      <c r="N39" s="46" t="str">
        <f>IF(N38="","",IFERROR("● "&amp;INDEX('Release Calendar'!$B$5:$B$504,MATCH(N38,'Release Calendar'!$I$5:$I$504,0))&amp;" · Start ","")&amp;IFERROR("● "&amp;INDEX('Release Calendar'!$B$5:$B$504,MATCH(N38,'Release Calendar'!$J$5:$J$504,0))&amp;" · Target ",""))</f>
        <v/>
      </c>
      <c r="O39" s="46" t="str">
        <f>IF(O38="","",IFERROR("● "&amp;INDEX('Release Calendar'!$B$5:$B$504,MATCH(O38,'Release Calendar'!$I$5:$I$504,0))&amp;" · Start ","")&amp;IFERROR("● "&amp;INDEX('Release Calendar'!$B$5:$B$504,MATCH(O38,'Release Calendar'!$J$5:$J$504,0))&amp;" · Target ",""))</f>
        <v/>
      </c>
      <c r="P39" s="45" t="str">
        <f>IF(P38="","",IFERROR("● "&amp;INDEX('Release Calendar'!$B$5:$B$504,MATCH(P38,'Release Calendar'!$I$5:$I$504,0))&amp;" · Start ","")&amp;IFERROR("● "&amp;INDEX('Release Calendar'!$B$5:$B$504,MATCH(P38,'Release Calendar'!$J$5:$J$504,0))&amp;" · Target ",""))</f>
        <v/>
      </c>
      <c r="R39" s="45" t="str">
        <f>IF(R38="","",IFERROR("● "&amp;INDEX('Release Calendar'!$B$5:$B$504,MATCH(R38,'Release Calendar'!$I$5:$I$504,0))&amp;" · Start ","")&amp;IFERROR("● "&amp;INDEX('Release Calendar'!$B$5:$B$504,MATCH(R38,'Release Calendar'!$J$5:$J$504,0))&amp;" · Target ",""))</f>
        <v/>
      </c>
      <c r="S39" s="46" t="str">
        <f>IF(S38="","",IFERROR("● "&amp;INDEX('Release Calendar'!$B$5:$B$504,MATCH(S38,'Release Calendar'!$I$5:$I$504,0))&amp;" · Start ","")&amp;IFERROR("● "&amp;INDEX('Release Calendar'!$B$5:$B$504,MATCH(S38,'Release Calendar'!$J$5:$J$504,0))&amp;" · Target ",""))</f>
        <v/>
      </c>
      <c r="T39" s="46" t="str">
        <f>IF(T38="","",IFERROR("● "&amp;INDEX('Release Calendar'!$B$5:$B$504,MATCH(T38,'Release Calendar'!$I$5:$I$504,0))&amp;" · Start ","")&amp;IFERROR("● "&amp;INDEX('Release Calendar'!$B$5:$B$504,MATCH(T38,'Release Calendar'!$J$5:$J$504,0))&amp;" · Target ",""))</f>
        <v xml:space="preserve">● Reward Hub Ceo Category · Start </v>
      </c>
      <c r="U39" s="46" t="str">
        <f>IF(U38="","",IFERROR("● "&amp;INDEX('Release Calendar'!$B$5:$B$504,MATCH(U38,'Release Calendar'!$I$5:$I$504,0))&amp;" · Start ","")&amp;IFERROR("● "&amp;INDEX('Release Calendar'!$B$5:$B$504,MATCH(U38,'Release Calendar'!$J$5:$J$504,0))&amp;" · Target ",""))</f>
        <v xml:space="preserve">● Daily Kpi Report - Addition of KPIs · Start ● Daily Kpi Report - Addition of KPIs · Target </v>
      </c>
      <c r="V39" s="46" t="str">
        <f>IF(V38="","",IFERROR("● "&amp;INDEX('Release Calendar'!$B$5:$B$504,MATCH(V38,'Release Calendar'!$I$5:$I$504,0))&amp;" · Start ","")&amp;IFERROR("● "&amp;INDEX('Release Calendar'!$B$5:$B$504,MATCH(V38,'Release Calendar'!$J$5:$J$504,0))&amp;" · Target ",""))</f>
        <v/>
      </c>
      <c r="W39" s="46" t="str">
        <f>IF(W38="","",IFERROR("● "&amp;INDEX('Release Calendar'!$B$5:$B$504,MATCH(W38,'Release Calendar'!$I$5:$I$504,0))&amp;" · Start ","")&amp;IFERROR("● "&amp;INDEX('Release Calendar'!$B$5:$B$504,MATCH(W38,'Release Calendar'!$J$5:$J$504,0))&amp;" · Target ",""))</f>
        <v xml:space="preserve">● Reward Hub Ceo Category · Target </v>
      </c>
      <c r="X39" s="45" t="str">
        <f>IF(X38="","",IFERROR("● "&amp;INDEX('Release Calendar'!$B$5:$B$504,MATCH(X38,'Release Calendar'!$I$5:$I$504,0))&amp;" · Start ","")&amp;IFERROR("● "&amp;INDEX('Release Calendar'!$B$5:$B$504,MATCH(X38,'Release Calendar'!$J$5:$J$504,0))&amp;" · Target ",""))</f>
        <v/>
      </c>
    </row>
    <row r="40" spans="2:24" ht="12.95" customHeight="1">
      <c r="B40" s="43">
        <f>IF(AND((1*7+0-($BA$7-1)+1)&gt;=1,(1*7+0-($BA$7-1)+1)&lt;=$BB$7),$AZ$7+(1*7+0-($BA$7-1)+1)-1,"")</f>
        <v>46208</v>
      </c>
      <c r="C40" s="44">
        <f>IF(AND((1*7+1-($BA$7-1)+1)&gt;=1,(1*7+1-($BA$7-1)+1)&lt;=$BB$7),$AZ$7+(1*7+1-($BA$7-1)+1)-1,"")</f>
        <v>46209</v>
      </c>
      <c r="D40" s="44">
        <f>IF(AND((1*7+2-($BA$7-1)+1)&gt;=1,(1*7+2-($BA$7-1)+1)&lt;=$BB$7),$AZ$7+(1*7+2-($BA$7-1)+1)-1,"")</f>
        <v>46210</v>
      </c>
      <c r="E40" s="44">
        <f>IF(AND((1*7+3-($BA$7-1)+1)&gt;=1,(1*7+3-($BA$7-1)+1)&lt;=$BB$7),$AZ$7+(1*7+3-($BA$7-1)+1)-1,"")</f>
        <v>46211</v>
      </c>
      <c r="F40" s="44">
        <f>IF(AND((1*7+4-($BA$7-1)+1)&gt;=1,(1*7+4-($BA$7-1)+1)&lt;=$BB$7),$AZ$7+(1*7+4-($BA$7-1)+1)-1,"")</f>
        <v>46212</v>
      </c>
      <c r="G40" s="44">
        <f>IF(AND((1*7+5-($BA$7-1)+1)&gt;=1,(1*7+5-($BA$7-1)+1)&lt;=$BB$7),$AZ$7+(1*7+5-($BA$7-1)+1)-1,"")</f>
        <v>46213</v>
      </c>
      <c r="H40" s="43">
        <f>IF(AND((1*7+6-($BA$7-1)+1)&gt;=1,(1*7+6-($BA$7-1)+1)&lt;=$BB$7),$AZ$7+(1*7+6-($BA$7-1)+1)-1,"")</f>
        <v>46214</v>
      </c>
      <c r="J40" s="43">
        <f>IF(AND((1*7+0-($BA$8-1)+1)&gt;=1,(1*7+0-($BA$8-1)+1)&lt;=$BB$8),$AZ$8+(1*7+0-($BA$8-1)+1)-1,"")</f>
        <v>46236</v>
      </c>
      <c r="K40" s="44">
        <f>IF(AND((1*7+1-($BA$8-1)+1)&gt;=1,(1*7+1-($BA$8-1)+1)&lt;=$BB$8),$AZ$8+(1*7+1-($BA$8-1)+1)-1,"")</f>
        <v>46237</v>
      </c>
      <c r="L40" s="44">
        <f>IF(AND((1*7+2-($BA$8-1)+1)&gt;=1,(1*7+2-($BA$8-1)+1)&lt;=$BB$8),$AZ$8+(1*7+2-($BA$8-1)+1)-1,"")</f>
        <v>46238</v>
      </c>
      <c r="M40" s="44">
        <f>IF(AND((1*7+3-($BA$8-1)+1)&gt;=1,(1*7+3-($BA$8-1)+1)&lt;=$BB$8),$AZ$8+(1*7+3-($BA$8-1)+1)-1,"")</f>
        <v>46239</v>
      </c>
      <c r="N40" s="44">
        <f>IF(AND((1*7+4-($BA$8-1)+1)&gt;=1,(1*7+4-($BA$8-1)+1)&lt;=$BB$8),$AZ$8+(1*7+4-($BA$8-1)+1)-1,"")</f>
        <v>46240</v>
      </c>
      <c r="O40" s="44">
        <f>IF(AND((1*7+5-($BA$8-1)+1)&gt;=1,(1*7+5-($BA$8-1)+1)&lt;=$BB$8),$AZ$8+(1*7+5-($BA$8-1)+1)-1,"")</f>
        <v>46241</v>
      </c>
      <c r="P40" s="43">
        <f>IF(AND((1*7+6-($BA$8-1)+1)&gt;=1,(1*7+6-($BA$8-1)+1)&lt;=$BB$8),$AZ$8+(1*7+6-($BA$8-1)+1)-1,"")</f>
        <v>46242</v>
      </c>
      <c r="R40" s="43">
        <f>IF(AND((1*7+0-($BA$9-1)+1)&gt;=1,(1*7+0-($BA$9-1)+1)&lt;=$BB$9),$AZ$9+(1*7+0-($BA$9-1)+1)-1,"")</f>
        <v>46271</v>
      </c>
      <c r="S40" s="44">
        <f>IF(AND((1*7+1-($BA$9-1)+1)&gt;=1,(1*7+1-($BA$9-1)+1)&lt;=$BB$9),$AZ$9+(1*7+1-($BA$9-1)+1)-1,"")</f>
        <v>46272</v>
      </c>
      <c r="T40" s="44">
        <f>IF(AND((1*7+2-($BA$9-1)+1)&gt;=1,(1*7+2-($BA$9-1)+1)&lt;=$BB$9),$AZ$9+(1*7+2-($BA$9-1)+1)-1,"")</f>
        <v>46273</v>
      </c>
      <c r="U40" s="44">
        <f>IF(AND((1*7+3-($BA$9-1)+1)&gt;=1,(1*7+3-($BA$9-1)+1)&lt;=$BB$9),$AZ$9+(1*7+3-($BA$9-1)+1)-1,"")</f>
        <v>46274</v>
      </c>
      <c r="V40" s="44">
        <f>IF(AND((1*7+4-($BA$9-1)+1)&gt;=1,(1*7+4-($BA$9-1)+1)&lt;=$BB$9),$AZ$9+(1*7+4-($BA$9-1)+1)-1,"")</f>
        <v>46275</v>
      </c>
      <c r="W40" s="44">
        <f>IF(AND((1*7+5-($BA$9-1)+1)&gt;=1,(1*7+5-($BA$9-1)+1)&lt;=$BB$9),$AZ$9+(1*7+5-($BA$9-1)+1)-1,"")</f>
        <v>46276</v>
      </c>
      <c r="X40" s="43">
        <f>IF(AND((1*7+6-($BA$9-1)+1)&gt;=1,(1*7+6-($BA$9-1)+1)&lt;=$BB$9),$AZ$9+(1*7+6-($BA$9-1)+1)-1,"")</f>
        <v>46277</v>
      </c>
    </row>
    <row r="41" spans="2:24" ht="27.95" customHeight="1">
      <c r="B41" s="45" t="str">
        <f>IF(B40="","",IFERROR("● "&amp;INDEX('Release Calendar'!$B$5:$B$504,MATCH(B40,'Release Calendar'!$I$5:$I$504,0))&amp;" · Start ","")&amp;IFERROR("● "&amp;INDEX('Release Calendar'!$B$5:$B$504,MATCH(B40,'Release Calendar'!$J$5:$J$504,0))&amp;" · Target ",""))</f>
        <v/>
      </c>
      <c r="C41" s="46" t="str">
        <f>IF(C40="","",IFERROR("● "&amp;INDEX('Release Calendar'!$B$5:$B$504,MATCH(C40,'Release Calendar'!$I$5:$I$504,0))&amp;" · Start ","")&amp;IFERROR("● "&amp;INDEX('Release Calendar'!$B$5:$B$504,MATCH(C40,'Release Calendar'!$J$5:$J$504,0))&amp;" · Target ",""))</f>
        <v/>
      </c>
      <c r="D41" s="46" t="str">
        <f>IF(D40="","",IFERROR("● "&amp;INDEX('Release Calendar'!$B$5:$B$504,MATCH(D40,'Release Calendar'!$I$5:$I$504,0))&amp;" · Start ","")&amp;IFERROR("● "&amp;INDEX('Release Calendar'!$B$5:$B$504,MATCH(D40,'Release Calendar'!$J$5:$J$504,0))&amp;" · Target ",""))</f>
        <v/>
      </c>
      <c r="E41" s="46" t="str">
        <f>IF(E40="","",IFERROR("● "&amp;INDEX('Release Calendar'!$B$5:$B$504,MATCH(E40,'Release Calendar'!$I$5:$I$504,0))&amp;" · Start ","")&amp;IFERROR("● "&amp;INDEX('Release Calendar'!$B$5:$B$504,MATCH(E40,'Release Calendar'!$J$5:$J$504,0))&amp;" · Target ",""))</f>
        <v/>
      </c>
      <c r="F41" s="46" t="str">
        <f>IF(F40="","",IFERROR("● "&amp;INDEX('Release Calendar'!$B$5:$B$504,MATCH(F40,'Release Calendar'!$I$5:$I$504,0))&amp;" · Start ","")&amp;IFERROR("● "&amp;INDEX('Release Calendar'!$B$5:$B$504,MATCH(F40,'Release Calendar'!$J$5:$J$504,0))&amp;" · Target ",""))</f>
        <v/>
      </c>
      <c r="G41" s="46" t="str">
        <f>IF(G40="","",IFERROR("● "&amp;INDEX('Release Calendar'!$B$5:$B$504,MATCH(G40,'Release Calendar'!$I$5:$I$504,0))&amp;" · Start ","")&amp;IFERROR("● "&amp;INDEX('Release Calendar'!$B$5:$B$504,MATCH(G40,'Release Calendar'!$J$5:$J$504,0))&amp;" · Target ",""))</f>
        <v/>
      </c>
      <c r="H41" s="45" t="str">
        <f>IF(H40="","",IFERROR("● "&amp;INDEX('Release Calendar'!$B$5:$B$504,MATCH(H40,'Release Calendar'!$I$5:$I$504,0))&amp;" · Start ","")&amp;IFERROR("● "&amp;INDEX('Release Calendar'!$B$5:$B$504,MATCH(H40,'Release Calendar'!$J$5:$J$504,0))&amp;" · Target ",""))</f>
        <v/>
      </c>
      <c r="J41" s="45" t="str">
        <f>IF(J40="","",IFERROR("● "&amp;INDEX('Release Calendar'!$B$5:$B$504,MATCH(J40,'Release Calendar'!$I$5:$I$504,0))&amp;" · Start ","")&amp;IFERROR("● "&amp;INDEX('Release Calendar'!$B$5:$B$504,MATCH(J40,'Release Calendar'!$J$5:$J$504,0))&amp;" · Target ",""))</f>
        <v/>
      </c>
      <c r="K41" s="46" t="str">
        <f>IF(K40="","",IFERROR("● "&amp;INDEX('Release Calendar'!$B$5:$B$504,MATCH(K40,'Release Calendar'!$I$5:$I$504,0))&amp;" · Start ","")&amp;IFERROR("● "&amp;INDEX('Release Calendar'!$B$5:$B$504,MATCH(K40,'Release Calendar'!$J$5:$J$504,0))&amp;" · Target ",""))</f>
        <v xml:space="preserve">● Multiplay 90 Days (Pre and Post) · Start </v>
      </c>
      <c r="L41" s="46" t="str">
        <f>IF(L40="","",IFERROR("● "&amp;INDEX('Release Calendar'!$B$5:$B$504,MATCH(L40,'Release Calendar'!$I$5:$I$504,0))&amp;" · Start ","")&amp;IFERROR("● "&amp;INDEX('Release Calendar'!$B$5:$B$504,MATCH(L40,'Release Calendar'!$J$5:$J$504,0))&amp;" · Target ",""))</f>
        <v xml:space="preserve">● BVS Sales Old Age flag Core · Start </v>
      </c>
      <c r="M41" s="46" t="str">
        <f>IF(M40="","",IFERROR("● "&amp;INDEX('Release Calendar'!$B$5:$B$504,MATCH(M40,'Release Calendar'!$I$5:$I$504,0))&amp;" · Start ","")&amp;IFERROR("● "&amp;INDEX('Release Calendar'!$B$5:$B$504,MATCH(M40,'Release Calendar'!$J$5:$J$504,0))&amp;" · Target ",""))</f>
        <v/>
      </c>
      <c r="N41" s="46" t="str">
        <f>IF(N40="","",IFERROR("● "&amp;INDEX('Release Calendar'!$B$5:$B$504,MATCH(N40,'Release Calendar'!$I$5:$I$504,0))&amp;" · Start ","")&amp;IFERROR("● "&amp;INDEX('Release Calendar'!$B$5:$B$504,MATCH(N40,'Release Calendar'!$J$5:$J$504,0))&amp;" · Target ",""))</f>
        <v/>
      </c>
      <c r="O41" s="46" t="str">
        <f>IF(O40="","",IFERROR("● "&amp;INDEX('Release Calendar'!$B$5:$B$504,MATCH(O40,'Release Calendar'!$I$5:$I$504,0))&amp;" · Start ","")&amp;IFERROR("● "&amp;INDEX('Release Calendar'!$B$5:$B$504,MATCH(O40,'Release Calendar'!$J$5:$J$504,0))&amp;" · Target ",""))</f>
        <v/>
      </c>
      <c r="P41" s="45" t="str">
        <f>IF(P40="","",IFERROR("● "&amp;INDEX('Release Calendar'!$B$5:$B$504,MATCH(P40,'Release Calendar'!$I$5:$I$504,0))&amp;" · Start ","")&amp;IFERROR("● "&amp;INDEX('Release Calendar'!$B$5:$B$504,MATCH(P40,'Release Calendar'!$J$5:$J$504,0))&amp;" · Target ",""))</f>
        <v/>
      </c>
      <c r="R41" s="45" t="str">
        <f>IF(R40="","",IFERROR("● "&amp;INDEX('Release Calendar'!$B$5:$B$504,MATCH(R40,'Release Calendar'!$I$5:$I$504,0))&amp;" · Start ","")&amp;IFERROR("● "&amp;INDEX('Release Calendar'!$B$5:$B$504,MATCH(R40,'Release Calendar'!$J$5:$J$504,0))&amp;" · Target ",""))</f>
        <v/>
      </c>
      <c r="S41" s="46" t="str">
        <f>IF(S40="","",IFERROR("● "&amp;INDEX('Release Calendar'!$B$5:$B$504,MATCH(S40,'Release Calendar'!$I$5:$I$504,0))&amp;" · Start ","")&amp;IFERROR("● "&amp;INDEX('Release Calendar'!$B$5:$B$504,MATCH(S40,'Release Calendar'!$J$5:$J$504,0))&amp;" · Target ",""))</f>
        <v xml:space="preserve">● Reward Hub - CEO addition · Start </v>
      </c>
      <c r="T41" s="46" t="str">
        <f>IF(T40="","",IFERROR("● "&amp;INDEX('Release Calendar'!$B$5:$B$504,MATCH(T40,'Release Calendar'!$I$5:$I$504,0))&amp;" · Start ","")&amp;IFERROR("● "&amp;INDEX('Release Calendar'!$B$5:$B$504,MATCH(T40,'Release Calendar'!$J$5:$J$504,0))&amp;" · Target ",""))</f>
        <v xml:space="preserve">● Simosa Parent Child Sourcing · Start </v>
      </c>
      <c r="U41" s="46" t="str">
        <f>IF(U40="","",IFERROR("● "&amp;INDEX('Release Calendar'!$B$5:$B$504,MATCH(U40,'Release Calendar'!$I$5:$I$504,0))&amp;" · Start ","")&amp;IFERROR("● "&amp;INDEX('Release Calendar'!$B$5:$B$504,MATCH(U40,'Release Calendar'!$J$5:$J$504,0))&amp;" · Target ",""))</f>
        <v xml:space="preserve">● Daily KPI Report- Addition of App Kpis · Start ● Daily KPI Report- Addition of App Kpis · Target </v>
      </c>
      <c r="V41" s="46" t="str">
        <f>IF(V40="","",IFERROR("● "&amp;INDEX('Release Calendar'!$B$5:$B$504,MATCH(V40,'Release Calendar'!$I$5:$I$504,0))&amp;" · Start ","")&amp;IFERROR("● "&amp;INDEX('Release Calendar'!$B$5:$B$504,MATCH(V40,'Release Calendar'!$J$5:$J$504,0))&amp;" · Target ",""))</f>
        <v xml:space="preserve">● CPS License Log &amp; Daily OFT Report · Start ● Reward Hub - CEO addition · Target </v>
      </c>
      <c r="W41" s="46" t="str">
        <f>IF(W40="","",IFERROR("● "&amp;INDEX('Release Calendar'!$B$5:$B$504,MATCH(W40,'Release Calendar'!$I$5:$I$504,0))&amp;" · Start ","")&amp;IFERROR("● "&amp;INDEX('Release Calendar'!$B$5:$B$504,MATCH(W40,'Release Calendar'!$J$5:$J$504,0))&amp;" · Target ",""))</f>
        <v/>
      </c>
      <c r="X41" s="45" t="str">
        <f>IF(X40="","",IFERROR("● "&amp;INDEX('Release Calendar'!$B$5:$B$504,MATCH(X40,'Release Calendar'!$I$5:$I$504,0))&amp;" · Start ","")&amp;IFERROR("● "&amp;INDEX('Release Calendar'!$B$5:$B$504,MATCH(X40,'Release Calendar'!$J$5:$J$504,0))&amp;" · Target ",""))</f>
        <v/>
      </c>
    </row>
    <row r="42" spans="2:24" ht="12.95" customHeight="1">
      <c r="B42" s="43">
        <f>IF(AND((2*7+0-($BA$7-1)+1)&gt;=1,(2*7+0-($BA$7-1)+1)&lt;=$BB$7),$AZ$7+(2*7+0-($BA$7-1)+1)-1,"")</f>
        <v>46215</v>
      </c>
      <c r="C42" s="44">
        <f>IF(AND((2*7+1-($BA$7-1)+1)&gt;=1,(2*7+1-($BA$7-1)+1)&lt;=$BB$7),$AZ$7+(2*7+1-($BA$7-1)+1)-1,"")</f>
        <v>46216</v>
      </c>
      <c r="D42" s="44">
        <f>IF(AND((2*7+2-($BA$7-1)+1)&gt;=1,(2*7+2-($BA$7-1)+1)&lt;=$BB$7),$AZ$7+(2*7+2-($BA$7-1)+1)-1,"")</f>
        <v>46217</v>
      </c>
      <c r="E42" s="44">
        <f>IF(AND((2*7+3-($BA$7-1)+1)&gt;=1,(2*7+3-($BA$7-1)+1)&lt;=$BB$7),$AZ$7+(2*7+3-($BA$7-1)+1)-1,"")</f>
        <v>46218</v>
      </c>
      <c r="F42" s="44">
        <f>IF(AND((2*7+4-($BA$7-1)+1)&gt;=1,(2*7+4-($BA$7-1)+1)&lt;=$BB$7),$AZ$7+(2*7+4-($BA$7-1)+1)-1,"")</f>
        <v>46219</v>
      </c>
      <c r="G42" s="44">
        <f>IF(AND((2*7+5-($BA$7-1)+1)&gt;=1,(2*7+5-($BA$7-1)+1)&lt;=$BB$7),$AZ$7+(2*7+5-($BA$7-1)+1)-1,"")</f>
        <v>46220</v>
      </c>
      <c r="H42" s="43">
        <f>IF(AND((2*7+6-($BA$7-1)+1)&gt;=1,(2*7+6-($BA$7-1)+1)&lt;=$BB$7),$AZ$7+(2*7+6-($BA$7-1)+1)-1,"")</f>
        <v>46221</v>
      </c>
      <c r="J42" s="43">
        <f>IF(AND((2*7+0-($BA$8-1)+1)&gt;=1,(2*7+0-($BA$8-1)+1)&lt;=$BB$8),$AZ$8+(2*7+0-($BA$8-1)+1)-1,"")</f>
        <v>46243</v>
      </c>
      <c r="K42" s="44">
        <f>IF(AND((2*7+1-($BA$8-1)+1)&gt;=1,(2*7+1-($BA$8-1)+1)&lt;=$BB$8),$AZ$8+(2*7+1-($BA$8-1)+1)-1,"")</f>
        <v>46244</v>
      </c>
      <c r="L42" s="44">
        <f>IF(AND((2*7+2-($BA$8-1)+1)&gt;=1,(2*7+2-($BA$8-1)+1)&lt;=$BB$8),$AZ$8+(2*7+2-($BA$8-1)+1)-1,"")</f>
        <v>46245</v>
      </c>
      <c r="M42" s="44">
        <f>IF(AND((2*7+3-($BA$8-1)+1)&gt;=1,(2*7+3-($BA$8-1)+1)&lt;=$BB$8),$AZ$8+(2*7+3-($BA$8-1)+1)-1,"")</f>
        <v>46246</v>
      </c>
      <c r="N42" s="44">
        <f>IF(AND((2*7+4-($BA$8-1)+1)&gt;=1,(2*7+4-($BA$8-1)+1)&lt;=$BB$8),$AZ$8+(2*7+4-($BA$8-1)+1)-1,"")</f>
        <v>46247</v>
      </c>
      <c r="O42" s="44">
        <f>IF(AND((2*7+5-($BA$8-1)+1)&gt;=1,(2*7+5-($BA$8-1)+1)&lt;=$BB$8),$AZ$8+(2*7+5-($BA$8-1)+1)-1,"")</f>
        <v>46248</v>
      </c>
      <c r="P42" s="43">
        <f>IF(AND((2*7+6-($BA$8-1)+1)&gt;=1,(2*7+6-($BA$8-1)+1)&lt;=$BB$8),$AZ$8+(2*7+6-($BA$8-1)+1)-1,"")</f>
        <v>46249</v>
      </c>
      <c r="R42" s="43">
        <f>IF(AND((2*7+0-($BA$9-1)+1)&gt;=1,(2*7+0-($BA$9-1)+1)&lt;=$BB$9),$AZ$9+(2*7+0-($BA$9-1)+1)-1,"")</f>
        <v>46278</v>
      </c>
      <c r="S42" s="44">
        <f>IF(AND((2*7+1-($BA$9-1)+1)&gt;=1,(2*7+1-($BA$9-1)+1)&lt;=$BB$9),$AZ$9+(2*7+1-($BA$9-1)+1)-1,"")</f>
        <v>46279</v>
      </c>
      <c r="T42" s="44">
        <f>IF(AND((2*7+2-($BA$9-1)+1)&gt;=1,(2*7+2-($BA$9-1)+1)&lt;=$BB$9),$AZ$9+(2*7+2-($BA$9-1)+1)-1,"")</f>
        <v>46280</v>
      </c>
      <c r="U42" s="44">
        <f>IF(AND((2*7+3-($BA$9-1)+1)&gt;=1,(2*7+3-($BA$9-1)+1)&lt;=$BB$9),$AZ$9+(2*7+3-($BA$9-1)+1)-1,"")</f>
        <v>46281</v>
      </c>
      <c r="V42" s="44">
        <f>IF(AND((2*7+4-($BA$9-1)+1)&gt;=1,(2*7+4-($BA$9-1)+1)&lt;=$BB$9),$AZ$9+(2*7+4-($BA$9-1)+1)-1,"")</f>
        <v>46282</v>
      </c>
      <c r="W42" s="44">
        <f>IF(AND((2*7+5-($BA$9-1)+1)&gt;=1,(2*7+5-($BA$9-1)+1)&lt;=$BB$9),$AZ$9+(2*7+5-($BA$9-1)+1)-1,"")</f>
        <v>46283</v>
      </c>
      <c r="X42" s="43">
        <f>IF(AND((2*7+6-($BA$9-1)+1)&gt;=1,(2*7+6-($BA$9-1)+1)&lt;=$BB$9),$AZ$9+(2*7+6-($BA$9-1)+1)-1,"")</f>
        <v>46284</v>
      </c>
    </row>
    <row r="43" spans="2:24" ht="27.95" customHeight="1">
      <c r="B43" s="45" t="str">
        <f>IF(B42="","",IFERROR("● "&amp;INDEX('Release Calendar'!$B$5:$B$504,MATCH(B42,'Release Calendar'!$I$5:$I$504,0))&amp;" · Start ","")&amp;IFERROR("● "&amp;INDEX('Release Calendar'!$B$5:$B$504,MATCH(B42,'Release Calendar'!$J$5:$J$504,0))&amp;" · Target ",""))</f>
        <v/>
      </c>
      <c r="C43" s="46" t="str">
        <f>IF(C42="","",IFERROR("● "&amp;INDEX('Release Calendar'!$B$5:$B$504,MATCH(C42,'Release Calendar'!$I$5:$I$504,0))&amp;" · Start ","")&amp;IFERROR("● "&amp;INDEX('Release Calendar'!$B$5:$B$504,MATCH(C42,'Release Calendar'!$J$5:$J$504,0))&amp;" · Target ",""))</f>
        <v/>
      </c>
      <c r="D43" s="46" t="str">
        <f>IF(D42="","",IFERROR("● "&amp;INDEX('Release Calendar'!$B$5:$B$504,MATCH(D42,'Release Calendar'!$I$5:$I$504,0))&amp;" · Start ","")&amp;IFERROR("● "&amp;INDEX('Release Calendar'!$B$5:$B$504,MATCH(D42,'Release Calendar'!$J$5:$J$504,0))&amp;" · Target ",""))</f>
        <v/>
      </c>
      <c r="E43" s="46" t="str">
        <f>IF(E42="","",IFERROR("● "&amp;INDEX('Release Calendar'!$B$5:$B$504,MATCH(E42,'Release Calendar'!$I$5:$I$504,0))&amp;" · Start ","")&amp;IFERROR("● "&amp;INDEX('Release Calendar'!$B$5:$B$504,MATCH(E42,'Release Calendar'!$J$5:$J$504,0))&amp;" · Target ",""))</f>
        <v/>
      </c>
      <c r="F43" s="46" t="str">
        <f>IF(F42="","",IFERROR("● "&amp;INDEX('Release Calendar'!$B$5:$B$504,MATCH(F42,'Release Calendar'!$I$5:$I$504,0))&amp;" · Start ","")&amp;IFERROR("● "&amp;INDEX('Release Calendar'!$B$5:$B$504,MATCH(F42,'Release Calendar'!$J$5:$J$504,0))&amp;" · Target ",""))</f>
        <v/>
      </c>
      <c r="G43" s="46" t="str">
        <f>IF(G42="","",IFERROR("● "&amp;INDEX('Release Calendar'!$B$5:$B$504,MATCH(G42,'Release Calendar'!$I$5:$I$504,0))&amp;" · Start ","")&amp;IFERROR("● "&amp;INDEX('Release Calendar'!$B$5:$B$504,MATCH(G42,'Release Calendar'!$J$5:$J$504,0))&amp;" · Target ",""))</f>
        <v/>
      </c>
      <c r="H43" s="45" t="str">
        <f>IF(H42="","",IFERROR("● "&amp;INDEX('Release Calendar'!$B$5:$B$504,MATCH(H42,'Release Calendar'!$I$5:$I$504,0))&amp;" · Start ","")&amp;IFERROR("● "&amp;INDEX('Release Calendar'!$B$5:$B$504,MATCH(H42,'Release Calendar'!$J$5:$J$504,0))&amp;" · Target ",""))</f>
        <v/>
      </c>
      <c r="J43" s="45" t="str">
        <f>IF(J42="","",IFERROR("● "&amp;INDEX('Release Calendar'!$B$5:$B$504,MATCH(J42,'Release Calendar'!$I$5:$I$504,0))&amp;" · Start ","")&amp;IFERROR("● "&amp;INDEX('Release Calendar'!$B$5:$B$504,MATCH(J42,'Release Calendar'!$J$5:$J$504,0))&amp;" · Target ",""))</f>
        <v xml:space="preserve">● live app hierarchy fix · Start ● live app hierarchy fix · Target </v>
      </c>
      <c r="K43" s="46" t="str">
        <f>IF(K42="","",IFERROR("● "&amp;INDEX('Release Calendar'!$B$5:$B$504,MATCH(K42,'Release Calendar'!$I$5:$I$504,0))&amp;" · Start ","")&amp;IFERROR("● "&amp;INDEX('Release Calendar'!$B$5:$B$504,MATCH(K42,'Release Calendar'!$J$5:$J$504,0))&amp;" · Target ",""))</f>
        <v xml:space="preserve">● OMNI API table export · Start </v>
      </c>
      <c r="L43" s="46" t="str">
        <f>IF(L42="","",IFERROR("● "&amp;INDEX('Release Calendar'!$B$5:$B$504,MATCH(L42,'Release Calendar'!$I$5:$I$504,0))&amp;" · Start ","")&amp;IFERROR("● "&amp;INDEX('Release Calendar'!$B$5:$B$504,MATCH(L42,'Release Calendar'!$J$5:$J$504,0))&amp;" · Target ",""))</f>
        <v/>
      </c>
      <c r="M43" s="46" t="str">
        <f>IF(M42="","",IFERROR("● "&amp;INDEX('Release Calendar'!$B$5:$B$504,MATCH(M42,'Release Calendar'!$I$5:$I$504,0))&amp;" · Start ","")&amp;IFERROR("● "&amp;INDEX('Release Calendar'!$B$5:$B$504,MATCH(M42,'Release Calendar'!$J$5:$J$504,0))&amp;" · Target ",""))</f>
        <v xml:space="preserve">● BVS Sales Old Age flag Semantic · Start ● BVS Sales Old Age flag Core · Target </v>
      </c>
      <c r="N43" s="46" t="str">
        <f>IF(N42="","",IFERROR("● "&amp;INDEX('Release Calendar'!$B$5:$B$504,MATCH(N42,'Release Calendar'!$I$5:$I$504,0))&amp;" · Start ","")&amp;IFERROR("● "&amp;INDEX('Release Calendar'!$B$5:$B$504,MATCH(N42,'Release Calendar'!$J$5:$J$504,0))&amp;" · Target ",""))</f>
        <v/>
      </c>
      <c r="O43" s="46" t="str">
        <f>IF(O42="","",IFERROR("● "&amp;INDEX('Release Calendar'!$B$5:$B$504,MATCH(O42,'Release Calendar'!$I$5:$I$504,0))&amp;" · Start ","")&amp;IFERROR("● "&amp;INDEX('Release Calendar'!$B$5:$B$504,MATCH(O42,'Release Calendar'!$J$5:$J$504,0))&amp;" · Target ",""))</f>
        <v/>
      </c>
      <c r="P43" s="45" t="str">
        <f>IF(P42="","",IFERROR("● "&amp;INDEX('Release Calendar'!$B$5:$B$504,MATCH(P42,'Release Calendar'!$I$5:$I$504,0))&amp;" · Start ","")&amp;IFERROR("● "&amp;INDEX('Release Calendar'!$B$5:$B$504,MATCH(P42,'Release Calendar'!$J$5:$J$504,0))&amp;" · Target ",""))</f>
        <v/>
      </c>
      <c r="R43" s="45" t="str">
        <f>IF(R42="","",IFERROR("● "&amp;INDEX('Release Calendar'!$B$5:$B$504,MATCH(R42,'Release Calendar'!$I$5:$I$504,0))&amp;" · Start ","")&amp;IFERROR("● "&amp;INDEX('Release Calendar'!$B$5:$B$504,MATCH(R42,'Release Calendar'!$J$5:$J$504,0))&amp;" · Target ",""))</f>
        <v/>
      </c>
      <c r="S43" s="46" t="str">
        <f>IF(S42="","",IFERROR("● "&amp;INDEX('Release Calendar'!$B$5:$B$504,MATCH(S42,'Release Calendar'!$I$5:$I$504,0))&amp;" · Start ","")&amp;IFERROR("● "&amp;INDEX('Release Calendar'!$B$5:$B$504,MATCH(S42,'Release Calendar'!$J$5:$J$504,0))&amp;" · Target ",""))</f>
        <v/>
      </c>
      <c r="T43" s="46" t="str">
        <f>IF(T42="","",IFERROR("● "&amp;INDEX('Release Calendar'!$B$5:$B$504,MATCH(T42,'Release Calendar'!$I$5:$I$504,0))&amp;" · Start ","")&amp;IFERROR("● "&amp;INDEX('Release Calendar'!$B$5:$B$504,MATCH(T42,'Release Calendar'!$J$5:$J$504,0))&amp;" · Target ",""))</f>
        <v/>
      </c>
      <c r="U43" s="46" t="str">
        <f>IF(U42="","",IFERROR("● "&amp;INDEX('Release Calendar'!$B$5:$B$504,MATCH(U42,'Release Calendar'!$I$5:$I$504,0))&amp;" · Start ","")&amp;IFERROR("● "&amp;INDEX('Release Calendar'!$B$5:$B$504,MATCH(U42,'Release Calendar'!$J$5:$J$504,0))&amp;" · Target ",""))</f>
        <v xml:space="preserve">● DFS Lifecycle new columns addition · Start ● DFS Lifecycle new columns addition · Target </v>
      </c>
      <c r="V43" s="46" t="str">
        <f>IF(V42="","",IFERROR("● "&amp;INDEX('Release Calendar'!$B$5:$B$504,MATCH(V42,'Release Calendar'!$I$5:$I$504,0))&amp;" · Start ","")&amp;IFERROR("● "&amp;INDEX('Release Calendar'!$B$5:$B$504,MATCH(V42,'Release Calendar'!$J$5:$J$504,0))&amp;" · Target ",""))</f>
        <v/>
      </c>
      <c r="W43" s="46" t="str">
        <f>IF(W42="","",IFERROR("● "&amp;INDEX('Release Calendar'!$B$5:$B$504,MATCH(W42,'Release Calendar'!$I$5:$I$504,0))&amp;" · Start ","")&amp;IFERROR("● "&amp;INDEX('Release Calendar'!$B$5:$B$504,MATCH(W42,'Release Calendar'!$J$5:$J$504,0))&amp;" · Target ",""))</f>
        <v/>
      </c>
      <c r="X43" s="45" t="str">
        <f>IF(X42="","",IFERROR("● "&amp;INDEX('Release Calendar'!$B$5:$B$504,MATCH(X42,'Release Calendar'!$I$5:$I$504,0))&amp;" · Start ","")&amp;IFERROR("● "&amp;INDEX('Release Calendar'!$B$5:$B$504,MATCH(X42,'Release Calendar'!$J$5:$J$504,0))&amp;" · Target ",""))</f>
        <v/>
      </c>
    </row>
    <row r="44" spans="2:24" ht="12.95" customHeight="1">
      <c r="B44" s="43">
        <f>IF(AND((3*7+0-($BA$7-1)+1)&gt;=1,(3*7+0-($BA$7-1)+1)&lt;=$BB$7),$AZ$7+(3*7+0-($BA$7-1)+1)-1,"")</f>
        <v>46222</v>
      </c>
      <c r="C44" s="44">
        <f>IF(AND((3*7+1-($BA$7-1)+1)&gt;=1,(3*7+1-($BA$7-1)+1)&lt;=$BB$7),$AZ$7+(3*7+1-($BA$7-1)+1)-1,"")</f>
        <v>46223</v>
      </c>
      <c r="D44" s="44">
        <f>IF(AND((3*7+2-($BA$7-1)+1)&gt;=1,(3*7+2-($BA$7-1)+1)&lt;=$BB$7),$AZ$7+(3*7+2-($BA$7-1)+1)-1,"")</f>
        <v>46224</v>
      </c>
      <c r="E44" s="44">
        <f>IF(AND((3*7+3-($BA$7-1)+1)&gt;=1,(3*7+3-($BA$7-1)+1)&lt;=$BB$7),$AZ$7+(3*7+3-($BA$7-1)+1)-1,"")</f>
        <v>46225</v>
      </c>
      <c r="F44" s="44">
        <f>IF(AND((3*7+4-($BA$7-1)+1)&gt;=1,(3*7+4-($BA$7-1)+1)&lt;=$BB$7),$AZ$7+(3*7+4-($BA$7-1)+1)-1,"")</f>
        <v>46226</v>
      </c>
      <c r="G44" s="44">
        <f>IF(AND((3*7+5-($BA$7-1)+1)&gt;=1,(3*7+5-($BA$7-1)+1)&lt;=$BB$7),$AZ$7+(3*7+5-($BA$7-1)+1)-1,"")</f>
        <v>46227</v>
      </c>
      <c r="H44" s="43">
        <f>IF(AND((3*7+6-($BA$7-1)+1)&gt;=1,(3*7+6-($BA$7-1)+1)&lt;=$BB$7),$AZ$7+(3*7+6-($BA$7-1)+1)-1,"")</f>
        <v>46228</v>
      </c>
      <c r="J44" s="43">
        <f>IF(AND((3*7+0-($BA$8-1)+1)&gt;=1,(3*7+0-($BA$8-1)+1)&lt;=$BB$8),$AZ$8+(3*7+0-($BA$8-1)+1)-1,"")</f>
        <v>46250</v>
      </c>
      <c r="K44" s="44">
        <f>IF(AND((3*7+1-($BA$8-1)+1)&gt;=1,(3*7+1-($BA$8-1)+1)&lt;=$BB$8),$AZ$8+(3*7+1-($BA$8-1)+1)-1,"")</f>
        <v>46251</v>
      </c>
      <c r="L44" s="44">
        <f>IF(AND((3*7+2-($BA$8-1)+1)&gt;=1,(3*7+2-($BA$8-1)+1)&lt;=$BB$8),$AZ$8+(3*7+2-($BA$8-1)+1)-1,"")</f>
        <v>46252</v>
      </c>
      <c r="M44" s="44">
        <f>IF(AND((3*7+3-($BA$8-1)+1)&gt;=1,(3*7+3-($BA$8-1)+1)&lt;=$BB$8),$AZ$8+(3*7+3-($BA$8-1)+1)-1,"")</f>
        <v>46253</v>
      </c>
      <c r="N44" s="44">
        <f>IF(AND((3*7+4-($BA$8-1)+1)&gt;=1,(3*7+4-($BA$8-1)+1)&lt;=$BB$8),$AZ$8+(3*7+4-($BA$8-1)+1)-1,"")</f>
        <v>46254</v>
      </c>
      <c r="O44" s="44">
        <f>IF(AND((3*7+5-($BA$8-1)+1)&gt;=1,(3*7+5-($BA$8-1)+1)&lt;=$BB$8),$AZ$8+(3*7+5-($BA$8-1)+1)-1,"")</f>
        <v>46255</v>
      </c>
      <c r="P44" s="43">
        <f>IF(AND((3*7+6-($BA$8-1)+1)&gt;=1,(3*7+6-($BA$8-1)+1)&lt;=$BB$8),$AZ$8+(3*7+6-($BA$8-1)+1)-1,"")</f>
        <v>46256</v>
      </c>
      <c r="R44" s="43">
        <f>IF(AND((3*7+0-($BA$9-1)+1)&gt;=1,(3*7+0-($BA$9-1)+1)&lt;=$BB$9),$AZ$9+(3*7+0-($BA$9-1)+1)-1,"")</f>
        <v>46285</v>
      </c>
      <c r="S44" s="44">
        <f>IF(AND((3*7+1-($BA$9-1)+1)&gt;=1,(3*7+1-($BA$9-1)+1)&lt;=$BB$9),$AZ$9+(3*7+1-($BA$9-1)+1)-1,"")</f>
        <v>46286</v>
      </c>
      <c r="T44" s="44">
        <f>IF(AND((3*7+2-($BA$9-1)+1)&gt;=1,(3*7+2-($BA$9-1)+1)&lt;=$BB$9),$AZ$9+(3*7+2-($BA$9-1)+1)-1,"")</f>
        <v>46287</v>
      </c>
      <c r="U44" s="44">
        <f>IF(AND((3*7+3-($BA$9-1)+1)&gt;=1,(3*7+3-($BA$9-1)+1)&lt;=$BB$9),$AZ$9+(3*7+3-($BA$9-1)+1)-1,"")</f>
        <v>46288</v>
      </c>
      <c r="V44" s="44">
        <f>IF(AND((3*7+4-($BA$9-1)+1)&gt;=1,(3*7+4-($BA$9-1)+1)&lt;=$BB$9),$AZ$9+(3*7+4-($BA$9-1)+1)-1,"")</f>
        <v>46289</v>
      </c>
      <c r="W44" s="44">
        <f>IF(AND((3*7+5-($BA$9-1)+1)&gt;=1,(3*7+5-($BA$9-1)+1)&lt;=$BB$9),$AZ$9+(3*7+5-($BA$9-1)+1)-1,"")</f>
        <v>46290</v>
      </c>
      <c r="X44" s="43">
        <f>IF(AND((3*7+6-($BA$9-1)+1)&gt;=1,(3*7+6-($BA$9-1)+1)&lt;=$BB$9),$AZ$9+(3*7+6-($BA$9-1)+1)-1,"")</f>
        <v>46291</v>
      </c>
    </row>
    <row r="45" spans="2:24" ht="27.95" customHeight="1">
      <c r="B45" s="45" t="str">
        <f>IF(B44="","",IFERROR("● "&amp;INDEX('Release Calendar'!$B$5:$B$504,MATCH(B44,'Release Calendar'!$I$5:$I$504,0))&amp;" · Start ","")&amp;IFERROR("● "&amp;INDEX('Release Calendar'!$B$5:$B$504,MATCH(B44,'Release Calendar'!$J$5:$J$504,0))&amp;" · Target ",""))</f>
        <v/>
      </c>
      <c r="C45" s="46" t="str">
        <f>IF(C44="","",IFERROR("● "&amp;INDEX('Release Calendar'!$B$5:$B$504,MATCH(C44,'Release Calendar'!$I$5:$I$504,0))&amp;" · Start ","")&amp;IFERROR("● "&amp;INDEX('Release Calendar'!$B$5:$B$504,MATCH(C44,'Release Calendar'!$J$5:$J$504,0))&amp;" · Target ",""))</f>
        <v/>
      </c>
      <c r="D45" s="46" t="str">
        <f>IF(D44="","",IFERROR("● "&amp;INDEX('Release Calendar'!$B$5:$B$504,MATCH(D44,'Release Calendar'!$I$5:$I$504,0))&amp;" · Start ","")&amp;IFERROR("● "&amp;INDEX('Release Calendar'!$B$5:$B$504,MATCH(D44,'Release Calendar'!$J$5:$J$504,0))&amp;" · Target ",""))</f>
        <v/>
      </c>
      <c r="E45" s="46" t="str">
        <f>IF(E44="","",IFERROR("● "&amp;INDEX('Release Calendar'!$B$5:$B$504,MATCH(E44,'Release Calendar'!$I$5:$I$504,0))&amp;" · Start ","")&amp;IFERROR("● "&amp;INDEX('Release Calendar'!$B$5:$B$504,MATCH(E44,'Release Calendar'!$J$5:$J$504,0))&amp;" · Target ",""))</f>
        <v/>
      </c>
      <c r="F45" s="46" t="str">
        <f>IF(F44="","",IFERROR("● "&amp;INDEX('Release Calendar'!$B$5:$B$504,MATCH(F44,'Release Calendar'!$I$5:$I$504,0))&amp;" · Start ","")&amp;IFERROR("● "&amp;INDEX('Release Calendar'!$B$5:$B$504,MATCH(F44,'Release Calendar'!$J$5:$J$504,0))&amp;" · Target ",""))</f>
        <v/>
      </c>
      <c r="G45" s="46" t="str">
        <f>IF(G44="","",IFERROR("● "&amp;INDEX('Release Calendar'!$B$5:$B$504,MATCH(G44,'Release Calendar'!$I$5:$I$504,0))&amp;" · Start ","")&amp;IFERROR("● "&amp;INDEX('Release Calendar'!$B$5:$B$504,MATCH(G44,'Release Calendar'!$J$5:$J$504,0))&amp;" · Target ",""))</f>
        <v/>
      </c>
      <c r="H45" s="45" t="str">
        <f>IF(H44="","",IFERROR("● "&amp;INDEX('Release Calendar'!$B$5:$B$504,MATCH(H44,'Release Calendar'!$I$5:$I$504,0))&amp;" · Start ","")&amp;IFERROR("● "&amp;INDEX('Release Calendar'!$B$5:$B$504,MATCH(H44,'Release Calendar'!$J$5:$J$504,0))&amp;" · Target ",""))</f>
        <v/>
      </c>
      <c r="J45" s="45" t="str">
        <f>IF(J44="","",IFERROR("● "&amp;INDEX('Release Calendar'!$B$5:$B$504,MATCH(J44,'Release Calendar'!$I$5:$I$504,0))&amp;" · Start ","")&amp;IFERROR("● "&amp;INDEX('Release Calendar'!$B$5:$B$504,MATCH(J44,'Release Calendar'!$J$5:$J$504,0))&amp;" · Target ",""))</f>
        <v/>
      </c>
      <c r="K45" s="46" t="str">
        <f>IF(K44="","",IFERROR("● "&amp;INDEX('Release Calendar'!$B$5:$B$504,MATCH(K44,'Release Calendar'!$I$5:$I$504,0))&amp;" · Start ","")&amp;IFERROR("● "&amp;INDEX('Release Calendar'!$B$5:$B$504,MATCH(K44,'Release Calendar'!$J$5:$J$504,0))&amp;" · Target ",""))</f>
        <v xml:space="preserve">● Addition in Universal Charging Base · Start ● postpaid lifecycle hotfix · Target </v>
      </c>
      <c r="L45" s="46" t="str">
        <f>IF(L44="","",IFERROR("● "&amp;INDEX('Release Calendar'!$B$5:$B$504,MATCH(L44,'Release Calendar'!$I$5:$I$504,0))&amp;" · Start ","")&amp;IFERROR("● "&amp;INDEX('Release Calendar'!$B$5:$B$504,MATCH(L44,'Release Calendar'!$J$5:$J$504,0))&amp;" · Target ",""))</f>
        <v xml:space="preserve">● UCIP_LKP update · Start ● Multiplay 90 Days (Pre and Post) · Target </v>
      </c>
      <c r="M45" s="46" t="str">
        <f>IF(M44="","",IFERROR("● "&amp;INDEX('Release Calendar'!$B$5:$B$504,MATCH(M44,'Release Calendar'!$I$5:$I$504,0))&amp;" · Start ","")&amp;IFERROR("● "&amp;INDEX('Release Calendar'!$B$5:$B$504,MATCH(M44,'Release Calendar'!$J$5:$J$504,0))&amp;" · Target ",""))</f>
        <v xml:space="preserve">● Addition in Universal Charging Base · Target </v>
      </c>
      <c r="N45" s="46" t="str">
        <f>IF(N44="","",IFERROR("● "&amp;INDEX('Release Calendar'!$B$5:$B$504,MATCH(N44,'Release Calendar'!$I$5:$I$504,0))&amp;" · Start ","")&amp;IFERROR("● "&amp;INDEX('Release Calendar'!$B$5:$B$504,MATCH(N44,'Release Calendar'!$J$5:$J$504,0))&amp;" · Target ",""))</f>
        <v/>
      </c>
      <c r="O45" s="46" t="str">
        <f>IF(O44="","",IFERROR("● "&amp;INDEX('Release Calendar'!$B$5:$B$504,MATCH(O44,'Release Calendar'!$I$5:$I$504,0))&amp;" · Start ","")&amp;IFERROR("● "&amp;INDEX('Release Calendar'!$B$5:$B$504,MATCH(O44,'Release Calendar'!$J$5:$J$504,0))&amp;" · Target ",""))</f>
        <v/>
      </c>
      <c r="P45" s="45" t="str">
        <f>IF(P44="","",IFERROR("● "&amp;INDEX('Release Calendar'!$B$5:$B$504,MATCH(P44,'Release Calendar'!$I$5:$I$504,0))&amp;" · Start ","")&amp;IFERROR("● "&amp;INDEX('Release Calendar'!$B$5:$B$504,MATCH(P44,'Release Calendar'!$J$5:$J$504,0))&amp;" · Target ",""))</f>
        <v/>
      </c>
      <c r="R45" s="45" t="str">
        <f>IF(R44="","",IFERROR("● "&amp;INDEX('Release Calendar'!$B$5:$B$504,MATCH(R44,'Release Calendar'!$I$5:$I$504,0))&amp;" · Start ","")&amp;IFERROR("● "&amp;INDEX('Release Calendar'!$B$5:$B$504,MATCH(R44,'Release Calendar'!$J$5:$J$504,0))&amp;" · Target ",""))</f>
        <v/>
      </c>
      <c r="S45" s="46" t="str">
        <f>IF(S44="","",IFERROR("● "&amp;INDEX('Release Calendar'!$B$5:$B$504,MATCH(S44,'Release Calendar'!$I$5:$I$504,0))&amp;" · Start ","")&amp;IFERROR("● "&amp;INDEX('Release Calendar'!$B$5:$B$504,MATCH(S44,'Release Calendar'!$J$5:$J$504,0))&amp;" · Target ",""))</f>
        <v xml:space="preserve">● Rox Achievement Fix · Start ● Rox Achievement Fix · Target </v>
      </c>
      <c r="T45" s="46" t="str">
        <f>IF(T44="","",IFERROR("● "&amp;INDEX('Release Calendar'!$B$5:$B$504,MATCH(T44,'Release Calendar'!$I$5:$I$504,0))&amp;" · Start ","")&amp;IFERROR("● "&amp;INDEX('Release Calendar'!$B$5:$B$504,MATCH(T44,'Release Calendar'!$J$5:$J$504,0))&amp;" · Target ",""))</f>
        <v xml:space="preserve">● CPS License Log &amp; Daily OFT Report · Target </v>
      </c>
      <c r="U45" s="46" t="str">
        <f>IF(U44="","",IFERROR("● "&amp;INDEX('Release Calendar'!$B$5:$B$504,MATCH(U44,'Release Calendar'!$I$5:$I$504,0))&amp;" · Start ","")&amp;IFERROR("● "&amp;INDEX('Release Calendar'!$B$5:$B$504,MATCH(U44,'Release Calendar'!$J$5:$J$504,0))&amp;" · Target ",""))</f>
        <v xml:space="preserve">● NBO Lookup - New Sourcing · Start ● NBO Lookup - New Sourcing · Target </v>
      </c>
      <c r="V45" s="46" t="str">
        <f>IF(V44="","",IFERROR("● "&amp;INDEX('Release Calendar'!$B$5:$B$504,MATCH(V44,'Release Calendar'!$I$5:$I$504,0))&amp;" · Start ","")&amp;IFERROR("● "&amp;INDEX('Release Calendar'!$B$5:$B$504,MATCH(V44,'Release Calendar'!$J$5:$J$504,0))&amp;" · Target ",""))</f>
        <v/>
      </c>
      <c r="W45" s="46" t="str">
        <f>IF(W44="","",IFERROR("● "&amp;INDEX('Release Calendar'!$B$5:$B$504,MATCH(W44,'Release Calendar'!$I$5:$I$504,0))&amp;" · Start ","")&amp;IFERROR("● "&amp;INDEX('Release Calendar'!$B$5:$B$504,MATCH(W44,'Release Calendar'!$J$5:$J$504,0))&amp;" · Target ",""))</f>
        <v xml:space="preserve">● Sales Fact 5G Date Addition · Start </v>
      </c>
      <c r="X45" s="45" t="str">
        <f>IF(X44="","",IFERROR("● "&amp;INDEX('Release Calendar'!$B$5:$B$504,MATCH(X44,'Release Calendar'!$I$5:$I$504,0))&amp;" · Start ","")&amp;IFERROR("● "&amp;INDEX('Release Calendar'!$B$5:$B$504,MATCH(X44,'Release Calendar'!$J$5:$J$504,0))&amp;" · Target ",""))</f>
        <v/>
      </c>
    </row>
    <row r="46" spans="2:24" ht="12.95" customHeight="1">
      <c r="B46" s="43">
        <f>IF(AND((4*7+0-($BA$7-1)+1)&gt;=1,(4*7+0-($BA$7-1)+1)&lt;=$BB$7),$AZ$7+(4*7+0-($BA$7-1)+1)-1,"")</f>
        <v>46229</v>
      </c>
      <c r="C46" s="44">
        <f>IF(AND((4*7+1-($BA$7-1)+1)&gt;=1,(4*7+1-($BA$7-1)+1)&lt;=$BB$7),$AZ$7+(4*7+1-($BA$7-1)+1)-1,"")</f>
        <v>46230</v>
      </c>
      <c r="D46" s="44">
        <f>IF(AND((4*7+2-($BA$7-1)+1)&gt;=1,(4*7+2-($BA$7-1)+1)&lt;=$BB$7),$AZ$7+(4*7+2-($BA$7-1)+1)-1,"")</f>
        <v>46231</v>
      </c>
      <c r="E46" s="44">
        <f>IF(AND((4*7+3-($BA$7-1)+1)&gt;=1,(4*7+3-($BA$7-1)+1)&lt;=$BB$7),$AZ$7+(4*7+3-($BA$7-1)+1)-1,"")</f>
        <v>46232</v>
      </c>
      <c r="F46" s="44">
        <f>IF(AND((4*7+4-($BA$7-1)+1)&gt;=1,(4*7+4-($BA$7-1)+1)&lt;=$BB$7),$AZ$7+(4*7+4-($BA$7-1)+1)-1,"")</f>
        <v>46233</v>
      </c>
      <c r="G46" s="44">
        <f>IF(AND((4*7+5-($BA$7-1)+1)&gt;=1,(4*7+5-($BA$7-1)+1)&lt;=$BB$7),$AZ$7+(4*7+5-($BA$7-1)+1)-1,"")</f>
        <v>46234</v>
      </c>
      <c r="H46" s="43" t="str">
        <f>IF(AND((4*7+6-($BA$7-1)+1)&gt;=1,(4*7+6-($BA$7-1)+1)&lt;=$BB$7),$AZ$7+(4*7+6-($BA$7-1)+1)-1,"")</f>
        <v/>
      </c>
      <c r="J46" s="43">
        <f>IF(AND((4*7+0-($BA$8-1)+1)&gt;=1,(4*7+0-($BA$8-1)+1)&lt;=$BB$8),$AZ$8+(4*7+0-($BA$8-1)+1)-1,"")</f>
        <v>46257</v>
      </c>
      <c r="K46" s="44">
        <f>IF(AND((4*7+1-($BA$8-1)+1)&gt;=1,(4*7+1-($BA$8-1)+1)&lt;=$BB$8),$AZ$8+(4*7+1-($BA$8-1)+1)-1,"")</f>
        <v>46258</v>
      </c>
      <c r="L46" s="44">
        <f>IF(AND((4*7+2-($BA$8-1)+1)&gt;=1,(4*7+2-($BA$8-1)+1)&lt;=$BB$8),$AZ$8+(4*7+2-($BA$8-1)+1)-1,"")</f>
        <v>46259</v>
      </c>
      <c r="M46" s="44">
        <f>IF(AND((4*7+3-($BA$8-1)+1)&gt;=1,(4*7+3-($BA$8-1)+1)&lt;=$BB$8),$AZ$8+(4*7+3-($BA$8-1)+1)-1,"")</f>
        <v>46260</v>
      </c>
      <c r="N46" s="44">
        <f>IF(AND((4*7+4-($BA$8-1)+1)&gt;=1,(4*7+4-($BA$8-1)+1)&lt;=$BB$8),$AZ$8+(4*7+4-($BA$8-1)+1)-1,"")</f>
        <v>46261</v>
      </c>
      <c r="O46" s="44">
        <f>IF(AND((4*7+5-($BA$8-1)+1)&gt;=1,(4*7+5-($BA$8-1)+1)&lt;=$BB$8),$AZ$8+(4*7+5-($BA$8-1)+1)-1,"")</f>
        <v>46262</v>
      </c>
      <c r="P46" s="43">
        <f>IF(AND((4*7+6-($BA$8-1)+1)&gt;=1,(4*7+6-($BA$8-1)+1)&lt;=$BB$8),$AZ$8+(4*7+6-($BA$8-1)+1)-1,"")</f>
        <v>46263</v>
      </c>
      <c r="R46" s="43">
        <f>IF(AND((4*7+0-($BA$9-1)+1)&gt;=1,(4*7+0-($BA$9-1)+1)&lt;=$BB$9),$AZ$9+(4*7+0-($BA$9-1)+1)-1,"")</f>
        <v>46292</v>
      </c>
      <c r="S46" s="44">
        <f>IF(AND((4*7+1-($BA$9-1)+1)&gt;=1,(4*7+1-($BA$9-1)+1)&lt;=$BB$9),$AZ$9+(4*7+1-($BA$9-1)+1)-1,"")</f>
        <v>46293</v>
      </c>
      <c r="T46" s="44">
        <f>IF(AND((4*7+2-($BA$9-1)+1)&gt;=1,(4*7+2-($BA$9-1)+1)&lt;=$BB$9),$AZ$9+(4*7+2-($BA$9-1)+1)-1,"")</f>
        <v>46294</v>
      </c>
      <c r="U46" s="44">
        <f>IF(AND((4*7+3-($BA$9-1)+1)&gt;=1,(4*7+3-($BA$9-1)+1)&lt;=$BB$9),$AZ$9+(4*7+3-($BA$9-1)+1)-1,"")</f>
        <v>46295</v>
      </c>
      <c r="V46" s="44" t="str">
        <f>IF(AND((4*7+4-($BA$9-1)+1)&gt;=1,(4*7+4-($BA$9-1)+1)&lt;=$BB$9),$AZ$9+(4*7+4-($BA$9-1)+1)-1,"")</f>
        <v/>
      </c>
      <c r="W46" s="44" t="str">
        <f>IF(AND((4*7+5-($BA$9-1)+1)&gt;=1,(4*7+5-($BA$9-1)+1)&lt;=$BB$9),$AZ$9+(4*7+5-($BA$9-1)+1)-1,"")</f>
        <v/>
      </c>
      <c r="X46" s="43" t="str">
        <f>IF(AND((4*7+6-($BA$9-1)+1)&gt;=1,(4*7+6-($BA$9-1)+1)&lt;=$BB$9),$AZ$9+(4*7+6-($BA$9-1)+1)-1,"")</f>
        <v/>
      </c>
    </row>
    <row r="47" spans="2:24" ht="27.95" customHeight="1">
      <c r="B47" s="45" t="str">
        <f>IF(B46="","",IFERROR("● "&amp;INDEX('Release Calendar'!$B$5:$B$504,MATCH(B46,'Release Calendar'!$I$5:$I$504,0))&amp;" · Start ","")&amp;IFERROR("● "&amp;INDEX('Release Calendar'!$B$5:$B$504,MATCH(B46,'Release Calendar'!$J$5:$J$504,0))&amp;" · Target ",""))</f>
        <v/>
      </c>
      <c r="C47" s="46" t="str">
        <f>IF(C46="","",IFERROR("● "&amp;INDEX('Release Calendar'!$B$5:$B$504,MATCH(C46,'Release Calendar'!$I$5:$I$504,0))&amp;" · Start ","")&amp;IFERROR("● "&amp;INDEX('Release Calendar'!$B$5:$B$504,MATCH(C46,'Release Calendar'!$J$5:$J$504,0))&amp;" · Target ",""))</f>
        <v/>
      </c>
      <c r="D47" s="46" t="str">
        <f>IF(D46="","",IFERROR("● "&amp;INDEX('Release Calendar'!$B$5:$B$504,MATCH(D46,'Release Calendar'!$I$5:$I$504,0))&amp;" · Start ","")&amp;IFERROR("● "&amp;INDEX('Release Calendar'!$B$5:$B$504,MATCH(D46,'Release Calendar'!$J$5:$J$504,0))&amp;" · Target ",""))</f>
        <v/>
      </c>
      <c r="E47" s="46" t="str">
        <f>IF(E46="","",IFERROR("● "&amp;INDEX('Release Calendar'!$B$5:$B$504,MATCH(E46,'Release Calendar'!$I$5:$I$504,0))&amp;" · Start ","")&amp;IFERROR("● "&amp;INDEX('Release Calendar'!$B$5:$B$504,MATCH(E46,'Release Calendar'!$J$5:$J$504,0))&amp;" · Target ",""))</f>
        <v/>
      </c>
      <c r="F47" s="46" t="str">
        <f>IF(F46="","",IFERROR("● "&amp;INDEX('Release Calendar'!$B$5:$B$504,MATCH(F46,'Release Calendar'!$I$5:$I$504,0))&amp;" · Start ","")&amp;IFERROR("● "&amp;INDEX('Release Calendar'!$B$5:$B$504,MATCH(F46,'Release Calendar'!$J$5:$J$504,0))&amp;" · Target ",""))</f>
        <v/>
      </c>
      <c r="G47" s="46" t="str">
        <f>IF(G46="","",IFERROR("● "&amp;INDEX('Release Calendar'!$B$5:$B$504,MATCH(G46,'Release Calendar'!$I$5:$I$504,0))&amp;" · Start ","")&amp;IFERROR("● "&amp;INDEX('Release Calendar'!$B$5:$B$504,MATCH(G46,'Release Calendar'!$J$5:$J$504,0))&amp;" · Target ",""))</f>
        <v/>
      </c>
      <c r="H47" s="45" t="str">
        <f>IF(H46="","",IFERROR("● "&amp;INDEX('Release Calendar'!$B$5:$B$504,MATCH(H46,'Release Calendar'!$I$5:$I$504,0))&amp;" · Start ","")&amp;IFERROR("● "&amp;INDEX('Release Calendar'!$B$5:$B$504,MATCH(H46,'Release Calendar'!$J$5:$J$504,0))&amp;" · Target ",""))</f>
        <v/>
      </c>
      <c r="J47" s="45" t="str">
        <f>IF(J46="","",IFERROR("● "&amp;INDEX('Release Calendar'!$B$5:$B$504,MATCH(J46,'Release Calendar'!$I$5:$I$504,0))&amp;" · Start ","")&amp;IFERROR("● "&amp;INDEX('Release Calendar'!$B$5:$B$504,MATCH(J46,'Release Calendar'!$J$5:$J$504,0))&amp;" · Target ",""))</f>
        <v/>
      </c>
      <c r="K47" s="46" t="str">
        <f>IF(K46="","",IFERROR("● "&amp;INDEX('Release Calendar'!$B$5:$B$504,MATCH(K46,'Release Calendar'!$I$5:$I$504,0))&amp;" · Start ","")&amp;IFERROR("● "&amp;INDEX('Release Calendar'!$B$5:$B$504,MATCH(K46,'Release Calendar'!$J$5:$J$504,0))&amp;" · Target ",""))</f>
        <v/>
      </c>
      <c r="L47" s="46" t="str">
        <f>IF(L46="","",IFERROR("● "&amp;INDEX('Release Calendar'!$B$5:$B$504,MATCH(L46,'Release Calendar'!$I$5:$I$504,0))&amp;" · Start ","")&amp;IFERROR("● "&amp;INDEX('Release Calendar'!$B$5:$B$504,MATCH(L46,'Release Calendar'!$J$5:$J$504,0))&amp;" · Target ",""))</f>
        <v/>
      </c>
      <c r="M47" s="46" t="str">
        <f>IF(M46="","",IFERROR("● "&amp;INDEX('Release Calendar'!$B$5:$B$504,MATCH(M46,'Release Calendar'!$I$5:$I$504,0))&amp;" · Start ","")&amp;IFERROR("● "&amp;INDEX('Release Calendar'!$B$5:$B$504,MATCH(M46,'Release Calendar'!$J$5:$J$504,0))&amp;" · Target ",""))</f>
        <v/>
      </c>
      <c r="N47" s="46" t="str">
        <f>IF(N46="","",IFERROR("● "&amp;INDEX('Release Calendar'!$B$5:$B$504,MATCH(N46,'Release Calendar'!$I$5:$I$504,0))&amp;" · Start ","")&amp;IFERROR("● "&amp;INDEX('Release Calendar'!$B$5:$B$504,MATCH(N46,'Release Calendar'!$J$5:$J$504,0))&amp;" · Target ",""))</f>
        <v/>
      </c>
      <c r="O47" s="46" t="str">
        <f>IF(O46="","",IFERROR("● "&amp;INDEX('Release Calendar'!$B$5:$B$504,MATCH(O46,'Release Calendar'!$I$5:$I$504,0))&amp;" · Start ","")&amp;IFERROR("● "&amp;INDEX('Release Calendar'!$B$5:$B$504,MATCH(O46,'Release Calendar'!$J$5:$J$504,0))&amp;" · Target ",""))</f>
        <v/>
      </c>
      <c r="P47" s="45" t="str">
        <f>IF(P46="","",IFERROR("● "&amp;INDEX('Release Calendar'!$B$5:$B$504,MATCH(P46,'Release Calendar'!$I$5:$I$504,0))&amp;" · Start ","")&amp;IFERROR("● "&amp;INDEX('Release Calendar'!$B$5:$B$504,MATCH(P46,'Release Calendar'!$J$5:$J$504,0))&amp;" · Target ",""))</f>
        <v/>
      </c>
      <c r="R47" s="45" t="str">
        <f>IF(R46="","",IFERROR("● "&amp;INDEX('Release Calendar'!$B$5:$B$504,MATCH(R46,'Release Calendar'!$I$5:$I$504,0))&amp;" · Start ","")&amp;IFERROR("● "&amp;INDEX('Release Calendar'!$B$5:$B$504,MATCH(R46,'Release Calendar'!$J$5:$J$504,0))&amp;" · Target ",""))</f>
        <v/>
      </c>
      <c r="S47" s="46" t="str">
        <f>IF(S46="","",IFERROR("● "&amp;INDEX('Release Calendar'!$B$5:$B$504,MATCH(S46,'Release Calendar'!$I$5:$I$504,0))&amp;" · Start ","")&amp;IFERROR("● "&amp;INDEX('Release Calendar'!$B$5:$B$504,MATCH(S46,'Release Calendar'!$J$5:$J$504,0))&amp;" · Target ",""))</f>
        <v xml:space="preserve">● Postpaid Conversion API · Start </v>
      </c>
      <c r="T47" s="46" t="str">
        <f>IF(T46="","",IFERROR("● "&amp;INDEX('Release Calendar'!$B$5:$B$504,MATCH(T46,'Release Calendar'!$I$5:$I$504,0))&amp;" · Start ","")&amp;IFERROR("● "&amp;INDEX('Release Calendar'!$B$5:$B$504,MATCH(T46,'Release Calendar'!$J$5:$J$504,0))&amp;" · Target ",""))</f>
        <v xml:space="preserve">● FikrFree New Sourcing · Start </v>
      </c>
      <c r="U47" s="46" t="str">
        <f>IF(U46="","",IFERROR("● "&amp;INDEX('Release Calendar'!$B$5:$B$504,MATCH(U46,'Release Calendar'!$I$5:$I$504,0))&amp;" · Start ","")&amp;IFERROR("● "&amp;INDEX('Release Calendar'!$B$5:$B$504,MATCH(U46,'Release Calendar'!$J$5:$J$504,0))&amp;" · Target ",""))</f>
        <v xml:space="preserve">● postpaid live · Start ● Sales Fact 5G Date Addition · Target </v>
      </c>
      <c r="V47" s="46" t="str">
        <f>IF(V46="","",IFERROR("● "&amp;INDEX('Release Calendar'!$B$5:$B$504,MATCH(V46,'Release Calendar'!$I$5:$I$504,0))&amp;" · Start ","")&amp;IFERROR("● "&amp;INDEX('Release Calendar'!$B$5:$B$504,MATCH(V46,'Release Calendar'!$J$5:$J$504,0))&amp;" · Target ",""))</f>
        <v/>
      </c>
      <c r="W47" s="46" t="str">
        <f>IF(W46="","",IFERROR("● "&amp;INDEX('Release Calendar'!$B$5:$B$504,MATCH(W46,'Release Calendar'!$I$5:$I$504,0))&amp;" · Start ","")&amp;IFERROR("● "&amp;INDEX('Release Calendar'!$B$5:$B$504,MATCH(W46,'Release Calendar'!$J$5:$J$504,0))&amp;" · Target ",""))</f>
        <v/>
      </c>
      <c r="X47" s="45" t="str">
        <f>IF(X46="","",IFERROR("● "&amp;INDEX('Release Calendar'!$B$5:$B$504,MATCH(X46,'Release Calendar'!$I$5:$I$504,0))&amp;" · Start ","")&amp;IFERROR("● "&amp;INDEX('Release Calendar'!$B$5:$B$504,MATCH(X46,'Release Calendar'!$J$5:$J$504,0))&amp;" · Target ",""))</f>
        <v/>
      </c>
    </row>
    <row r="48" spans="2:24" ht="12.95" customHeight="1">
      <c r="B48" s="43" t="str">
        <f>IF(AND((5*7+0-($BA$7-1)+1)&gt;=1,(5*7+0-($BA$7-1)+1)&lt;=$BB$7),$AZ$7+(5*7+0-($BA$7-1)+1)-1,"")</f>
        <v/>
      </c>
      <c r="C48" s="44" t="str">
        <f>IF(AND((5*7+1-($BA$7-1)+1)&gt;=1,(5*7+1-($BA$7-1)+1)&lt;=$BB$7),$AZ$7+(5*7+1-($BA$7-1)+1)-1,"")</f>
        <v/>
      </c>
      <c r="D48" s="44" t="str">
        <f>IF(AND((5*7+2-($BA$7-1)+1)&gt;=1,(5*7+2-($BA$7-1)+1)&lt;=$BB$7),$AZ$7+(5*7+2-($BA$7-1)+1)-1,"")</f>
        <v/>
      </c>
      <c r="E48" s="44" t="str">
        <f>IF(AND((5*7+3-($BA$7-1)+1)&gt;=1,(5*7+3-($BA$7-1)+1)&lt;=$BB$7),$AZ$7+(5*7+3-($BA$7-1)+1)-1,"")</f>
        <v/>
      </c>
      <c r="F48" s="44" t="str">
        <f>IF(AND((5*7+4-($BA$7-1)+1)&gt;=1,(5*7+4-($BA$7-1)+1)&lt;=$BB$7),$AZ$7+(5*7+4-($BA$7-1)+1)-1,"")</f>
        <v/>
      </c>
      <c r="G48" s="44" t="str">
        <f>IF(AND((5*7+5-($BA$7-1)+1)&gt;=1,(5*7+5-($BA$7-1)+1)&lt;=$BB$7),$AZ$7+(5*7+5-($BA$7-1)+1)-1,"")</f>
        <v/>
      </c>
      <c r="H48" s="43" t="str">
        <f>IF(AND((5*7+6-($BA$7-1)+1)&gt;=1,(5*7+6-($BA$7-1)+1)&lt;=$BB$7),$AZ$7+(5*7+6-($BA$7-1)+1)-1,"")</f>
        <v/>
      </c>
      <c r="J48" s="43">
        <f>IF(AND((5*7+0-($BA$8-1)+1)&gt;=1,(5*7+0-($BA$8-1)+1)&lt;=$BB$8),$AZ$8+(5*7+0-($BA$8-1)+1)-1,"")</f>
        <v>46264</v>
      </c>
      <c r="K48" s="44">
        <f>IF(AND((5*7+1-($BA$8-1)+1)&gt;=1,(5*7+1-($BA$8-1)+1)&lt;=$BB$8),$AZ$8+(5*7+1-($BA$8-1)+1)-1,"")</f>
        <v>46265</v>
      </c>
      <c r="L48" s="44" t="str">
        <f>IF(AND((5*7+2-($BA$8-1)+1)&gt;=1,(5*7+2-($BA$8-1)+1)&lt;=$BB$8),$AZ$8+(5*7+2-($BA$8-1)+1)-1,"")</f>
        <v/>
      </c>
      <c r="M48" s="44" t="str">
        <f>IF(AND((5*7+3-($BA$8-1)+1)&gt;=1,(5*7+3-($BA$8-1)+1)&lt;=$BB$8),$AZ$8+(5*7+3-($BA$8-1)+1)-1,"")</f>
        <v/>
      </c>
      <c r="N48" s="44" t="str">
        <f>IF(AND((5*7+4-($BA$8-1)+1)&gt;=1,(5*7+4-($BA$8-1)+1)&lt;=$BB$8),$AZ$8+(5*7+4-($BA$8-1)+1)-1,"")</f>
        <v/>
      </c>
      <c r="O48" s="44" t="str">
        <f>IF(AND((5*7+5-($BA$8-1)+1)&gt;=1,(5*7+5-($BA$8-1)+1)&lt;=$BB$8),$AZ$8+(5*7+5-($BA$8-1)+1)-1,"")</f>
        <v/>
      </c>
      <c r="P48" s="43" t="str">
        <f>IF(AND((5*7+6-($BA$8-1)+1)&gt;=1,(5*7+6-($BA$8-1)+1)&lt;=$BB$8),$AZ$8+(5*7+6-($BA$8-1)+1)-1,"")</f>
        <v/>
      </c>
      <c r="R48" s="43" t="str">
        <f>IF(AND((5*7+0-($BA$9-1)+1)&gt;=1,(5*7+0-($BA$9-1)+1)&lt;=$BB$9),$AZ$9+(5*7+0-($BA$9-1)+1)-1,"")</f>
        <v/>
      </c>
      <c r="S48" s="44" t="str">
        <f>IF(AND((5*7+1-($BA$9-1)+1)&gt;=1,(5*7+1-($BA$9-1)+1)&lt;=$BB$9),$AZ$9+(5*7+1-($BA$9-1)+1)-1,"")</f>
        <v/>
      </c>
      <c r="T48" s="44" t="str">
        <f>IF(AND((5*7+2-($BA$9-1)+1)&gt;=1,(5*7+2-($BA$9-1)+1)&lt;=$BB$9),$AZ$9+(5*7+2-($BA$9-1)+1)-1,"")</f>
        <v/>
      </c>
      <c r="U48" s="44" t="str">
        <f>IF(AND((5*7+3-($BA$9-1)+1)&gt;=1,(5*7+3-($BA$9-1)+1)&lt;=$BB$9),$AZ$9+(5*7+3-($BA$9-1)+1)-1,"")</f>
        <v/>
      </c>
      <c r="V48" s="44" t="str">
        <f>IF(AND((5*7+4-($BA$9-1)+1)&gt;=1,(5*7+4-($BA$9-1)+1)&lt;=$BB$9),$AZ$9+(5*7+4-($BA$9-1)+1)-1,"")</f>
        <v/>
      </c>
      <c r="W48" s="44" t="str">
        <f>IF(AND((5*7+5-($BA$9-1)+1)&gt;=1,(5*7+5-($BA$9-1)+1)&lt;=$BB$9),$AZ$9+(5*7+5-($BA$9-1)+1)-1,"")</f>
        <v/>
      </c>
      <c r="X48" s="43" t="str">
        <f>IF(AND((5*7+6-($BA$9-1)+1)&gt;=1,(5*7+6-($BA$9-1)+1)&lt;=$BB$9),$AZ$9+(5*7+6-($BA$9-1)+1)-1,"")</f>
        <v/>
      </c>
    </row>
    <row r="49" spans="2:24" ht="27.95" customHeight="1">
      <c r="B49" s="45" t="str">
        <f>IF(B48="","",IFERROR("● "&amp;INDEX('Release Calendar'!$B$5:$B$504,MATCH(B48,'Release Calendar'!$I$5:$I$504,0))&amp;" · Start ","")&amp;IFERROR("● "&amp;INDEX('Release Calendar'!$B$5:$B$504,MATCH(B48,'Release Calendar'!$J$5:$J$504,0))&amp;" · Target ",""))</f>
        <v/>
      </c>
      <c r="C49" s="46" t="str">
        <f>IF(C48="","",IFERROR("● "&amp;INDEX('Release Calendar'!$B$5:$B$504,MATCH(C48,'Release Calendar'!$I$5:$I$504,0))&amp;" · Start ","")&amp;IFERROR("● "&amp;INDEX('Release Calendar'!$B$5:$B$504,MATCH(C48,'Release Calendar'!$J$5:$J$504,0))&amp;" · Target ",""))</f>
        <v/>
      </c>
      <c r="D49" s="46" t="str">
        <f>IF(D48="","",IFERROR("● "&amp;INDEX('Release Calendar'!$B$5:$B$504,MATCH(D48,'Release Calendar'!$I$5:$I$504,0))&amp;" · Start ","")&amp;IFERROR("● "&amp;INDEX('Release Calendar'!$B$5:$B$504,MATCH(D48,'Release Calendar'!$J$5:$J$504,0))&amp;" · Target ",""))</f>
        <v/>
      </c>
      <c r="E49" s="46" t="str">
        <f>IF(E48="","",IFERROR("● "&amp;INDEX('Release Calendar'!$B$5:$B$504,MATCH(E48,'Release Calendar'!$I$5:$I$504,0))&amp;" · Start ","")&amp;IFERROR("● "&amp;INDEX('Release Calendar'!$B$5:$B$504,MATCH(E48,'Release Calendar'!$J$5:$J$504,0))&amp;" · Target ",""))</f>
        <v/>
      </c>
      <c r="F49" s="46" t="str">
        <f>IF(F48="","",IFERROR("● "&amp;INDEX('Release Calendar'!$B$5:$B$504,MATCH(F48,'Release Calendar'!$I$5:$I$504,0))&amp;" · Start ","")&amp;IFERROR("● "&amp;INDEX('Release Calendar'!$B$5:$B$504,MATCH(F48,'Release Calendar'!$J$5:$J$504,0))&amp;" · Target ",""))</f>
        <v/>
      </c>
      <c r="G49" s="46" t="str">
        <f>IF(G48="","",IFERROR("● "&amp;INDEX('Release Calendar'!$B$5:$B$504,MATCH(G48,'Release Calendar'!$I$5:$I$504,0))&amp;" · Start ","")&amp;IFERROR("● "&amp;INDEX('Release Calendar'!$B$5:$B$504,MATCH(G48,'Release Calendar'!$J$5:$J$504,0))&amp;" · Target ",""))</f>
        <v/>
      </c>
      <c r="H49" s="45" t="str">
        <f>IF(H48="","",IFERROR("● "&amp;INDEX('Release Calendar'!$B$5:$B$504,MATCH(H48,'Release Calendar'!$I$5:$I$504,0))&amp;" · Start ","")&amp;IFERROR("● "&amp;INDEX('Release Calendar'!$B$5:$B$504,MATCH(H48,'Release Calendar'!$J$5:$J$504,0))&amp;" · Target ",""))</f>
        <v/>
      </c>
      <c r="J49" s="45" t="str">
        <f>IF(J48="","",IFERROR("● "&amp;INDEX('Release Calendar'!$B$5:$B$504,MATCH(J48,'Release Calendar'!$I$5:$I$504,0))&amp;" · Start ","")&amp;IFERROR("● "&amp;INDEX('Release Calendar'!$B$5:$B$504,MATCH(J48,'Release Calendar'!$J$5:$J$504,0))&amp;" · Target ",""))</f>
        <v/>
      </c>
      <c r="K49" s="46" t="str">
        <f>IF(K48="","",IFERROR("● "&amp;INDEX('Release Calendar'!$B$5:$B$504,MATCH(K48,'Release Calendar'!$I$5:$I$504,0))&amp;" · Start ","")&amp;IFERROR("● "&amp;INDEX('Release Calendar'!$B$5:$B$504,MATCH(K48,'Release Calendar'!$J$5:$J$504,0))&amp;" · Target ",""))</f>
        <v xml:space="preserve">● Jazz Advance TPT Update · Start ● Jazz Advance TPT Update · Target </v>
      </c>
      <c r="L49" s="46" t="str">
        <f>IF(L48="","",IFERROR("● "&amp;INDEX('Release Calendar'!$B$5:$B$504,MATCH(L48,'Release Calendar'!$I$5:$I$504,0))&amp;" · Start ","")&amp;IFERROR("● "&amp;INDEX('Release Calendar'!$B$5:$B$504,MATCH(L48,'Release Calendar'!$J$5:$J$504,0))&amp;" · Target ",""))</f>
        <v/>
      </c>
      <c r="M49" s="46" t="str">
        <f>IF(M48="","",IFERROR("● "&amp;INDEX('Release Calendar'!$B$5:$B$504,MATCH(M48,'Release Calendar'!$I$5:$I$504,0))&amp;" · Start ","")&amp;IFERROR("● "&amp;INDEX('Release Calendar'!$B$5:$B$504,MATCH(M48,'Release Calendar'!$J$5:$J$504,0))&amp;" · Target ",""))</f>
        <v/>
      </c>
      <c r="N49" s="46" t="str">
        <f>IF(N48="","",IFERROR("● "&amp;INDEX('Release Calendar'!$B$5:$B$504,MATCH(N48,'Release Calendar'!$I$5:$I$504,0))&amp;" · Start ","")&amp;IFERROR("● "&amp;INDEX('Release Calendar'!$B$5:$B$504,MATCH(N48,'Release Calendar'!$J$5:$J$504,0))&amp;" · Target ",""))</f>
        <v/>
      </c>
      <c r="O49" s="46" t="str">
        <f>IF(O48="","",IFERROR("● "&amp;INDEX('Release Calendar'!$B$5:$B$504,MATCH(O48,'Release Calendar'!$I$5:$I$504,0))&amp;" · Start ","")&amp;IFERROR("● "&amp;INDEX('Release Calendar'!$B$5:$B$504,MATCH(O48,'Release Calendar'!$J$5:$J$504,0))&amp;" · Target ",""))</f>
        <v/>
      </c>
      <c r="P49" s="45" t="str">
        <f>IF(P48="","",IFERROR("● "&amp;INDEX('Release Calendar'!$B$5:$B$504,MATCH(P48,'Release Calendar'!$I$5:$I$504,0))&amp;" · Start ","")&amp;IFERROR("● "&amp;INDEX('Release Calendar'!$B$5:$B$504,MATCH(P48,'Release Calendar'!$J$5:$J$504,0))&amp;" · Target ",""))</f>
        <v/>
      </c>
      <c r="R49" s="45" t="str">
        <f>IF(R48="","",IFERROR("● "&amp;INDEX('Release Calendar'!$B$5:$B$504,MATCH(R48,'Release Calendar'!$I$5:$I$504,0))&amp;" · Start ","")&amp;IFERROR("● "&amp;INDEX('Release Calendar'!$B$5:$B$504,MATCH(R48,'Release Calendar'!$J$5:$J$504,0))&amp;" · Target ",""))</f>
        <v/>
      </c>
      <c r="S49" s="46" t="str">
        <f>IF(S48="","",IFERROR("● "&amp;INDEX('Release Calendar'!$B$5:$B$504,MATCH(S48,'Release Calendar'!$I$5:$I$504,0))&amp;" · Start ","")&amp;IFERROR("● "&amp;INDEX('Release Calendar'!$B$5:$B$504,MATCH(S48,'Release Calendar'!$J$5:$J$504,0))&amp;" · Target ",""))</f>
        <v/>
      </c>
      <c r="T49" s="46" t="str">
        <f>IF(T48="","",IFERROR("● "&amp;INDEX('Release Calendar'!$B$5:$B$504,MATCH(T48,'Release Calendar'!$I$5:$I$504,0))&amp;" · Start ","")&amp;IFERROR("● "&amp;INDEX('Release Calendar'!$B$5:$B$504,MATCH(T48,'Release Calendar'!$J$5:$J$504,0))&amp;" · Target ",""))</f>
        <v/>
      </c>
      <c r="U49" s="46" t="str">
        <f>IF(U48="","",IFERROR("● "&amp;INDEX('Release Calendar'!$B$5:$B$504,MATCH(U48,'Release Calendar'!$I$5:$I$504,0))&amp;" · Start ","")&amp;IFERROR("● "&amp;INDEX('Release Calendar'!$B$5:$B$504,MATCH(U48,'Release Calendar'!$J$5:$J$504,0))&amp;" · Target ",""))</f>
        <v/>
      </c>
      <c r="V49" s="46" t="str">
        <f>IF(V48="","",IFERROR("● "&amp;INDEX('Release Calendar'!$B$5:$B$504,MATCH(V48,'Release Calendar'!$I$5:$I$504,0))&amp;" · Start ","")&amp;IFERROR("● "&amp;INDEX('Release Calendar'!$B$5:$B$504,MATCH(V48,'Release Calendar'!$J$5:$J$504,0))&amp;" · Target ",""))</f>
        <v/>
      </c>
      <c r="W49" s="46" t="str">
        <f>IF(W48="","",IFERROR("● "&amp;INDEX('Release Calendar'!$B$5:$B$504,MATCH(W48,'Release Calendar'!$I$5:$I$504,0))&amp;" · Start ","")&amp;IFERROR("● "&amp;INDEX('Release Calendar'!$B$5:$B$504,MATCH(W48,'Release Calendar'!$J$5:$J$504,0))&amp;" · Target ",""))</f>
        <v/>
      </c>
      <c r="X49" s="45" t="str">
        <f>IF(X48="","",IFERROR("● "&amp;INDEX('Release Calendar'!$B$5:$B$504,MATCH(X48,'Release Calendar'!$I$5:$I$504,0))&amp;" · Start ","")&amp;IFERROR("● "&amp;INDEX('Release Calendar'!$B$5:$B$504,MATCH(X48,'Release Calendar'!$J$5:$J$504,0))&amp;" · Target ",""))</f>
        <v/>
      </c>
    </row>
    <row r="51" spans="2:24" ht="21.95" customHeight="1">
      <c r="B51" s="116" t="str">
        <f>TEXT(DATE($B$4,10,1),"mmmm")</f>
        <v>October</v>
      </c>
      <c r="C51" s="122"/>
      <c r="D51" s="122"/>
      <c r="E51" s="122"/>
      <c r="F51" s="122"/>
      <c r="G51" s="122"/>
      <c r="H51" s="122"/>
      <c r="J51" s="116" t="str">
        <f>TEXT(DATE($B$4,11,1),"mmmm")</f>
        <v>November</v>
      </c>
      <c r="K51" s="122"/>
      <c r="L51" s="122"/>
      <c r="M51" s="122"/>
      <c r="N51" s="122"/>
      <c r="O51" s="122"/>
      <c r="P51" s="122"/>
      <c r="R51" s="116" t="str">
        <f>TEXT(DATE($B$4,12,1),"mmmm")</f>
        <v>December</v>
      </c>
      <c r="S51" s="122"/>
      <c r="T51" s="122"/>
      <c r="U51" s="122"/>
      <c r="V51" s="122"/>
      <c r="W51" s="122"/>
      <c r="X51" s="122"/>
    </row>
    <row r="52" spans="2:24" ht="15" customHeight="1">
      <c r="B52" s="42" t="s">
        <v>179</v>
      </c>
      <c r="C52" s="42" t="s">
        <v>180</v>
      </c>
      <c r="D52" s="42" t="s">
        <v>181</v>
      </c>
      <c r="E52" s="42" t="s">
        <v>182</v>
      </c>
      <c r="F52" s="42" t="s">
        <v>183</v>
      </c>
      <c r="G52" s="42" t="s">
        <v>184</v>
      </c>
      <c r="H52" s="42" t="s">
        <v>185</v>
      </c>
      <c r="J52" s="42" t="s">
        <v>179</v>
      </c>
      <c r="K52" s="42" t="s">
        <v>180</v>
      </c>
      <c r="L52" s="42" t="s">
        <v>181</v>
      </c>
      <c r="M52" s="42" t="s">
        <v>182</v>
      </c>
      <c r="N52" s="42" t="s">
        <v>183</v>
      </c>
      <c r="O52" s="42" t="s">
        <v>184</v>
      </c>
      <c r="P52" s="42" t="s">
        <v>185</v>
      </c>
      <c r="R52" s="42" t="s">
        <v>179</v>
      </c>
      <c r="S52" s="42" t="s">
        <v>180</v>
      </c>
      <c r="T52" s="42" t="s">
        <v>181</v>
      </c>
      <c r="U52" s="42" t="s">
        <v>182</v>
      </c>
      <c r="V52" s="42" t="s">
        <v>183</v>
      </c>
      <c r="W52" s="42" t="s">
        <v>184</v>
      </c>
      <c r="X52" s="42" t="s">
        <v>185</v>
      </c>
    </row>
    <row r="53" spans="2:24" ht="12.95" customHeight="1">
      <c r="B53" s="43" t="str">
        <f>IF(AND((0*7+0-($BA$10-1)+1)&gt;=1,(0*7+0-($BA$10-1)+1)&lt;=$BB$10),$AZ$10+(0*7+0-($BA$10-1)+1)-1,"")</f>
        <v/>
      </c>
      <c r="C53" s="44" t="str">
        <f>IF(AND((0*7+1-($BA$10-1)+1)&gt;=1,(0*7+1-($BA$10-1)+1)&lt;=$BB$10),$AZ$10+(0*7+1-($BA$10-1)+1)-1,"")</f>
        <v/>
      </c>
      <c r="D53" s="44" t="str">
        <f>IF(AND((0*7+2-($BA$10-1)+1)&gt;=1,(0*7+2-($BA$10-1)+1)&lt;=$BB$10),$AZ$10+(0*7+2-($BA$10-1)+1)-1,"")</f>
        <v/>
      </c>
      <c r="E53" s="44" t="str">
        <f>IF(AND((0*7+3-($BA$10-1)+1)&gt;=1,(0*7+3-($BA$10-1)+1)&lt;=$BB$10),$AZ$10+(0*7+3-($BA$10-1)+1)-1,"")</f>
        <v/>
      </c>
      <c r="F53" s="44">
        <f>IF(AND((0*7+4-($BA$10-1)+1)&gt;=1,(0*7+4-($BA$10-1)+1)&lt;=$BB$10),$AZ$10+(0*7+4-($BA$10-1)+1)-1,"")</f>
        <v>46296</v>
      </c>
      <c r="G53" s="44">
        <f>IF(AND((0*7+5-($BA$10-1)+1)&gt;=1,(0*7+5-($BA$10-1)+1)&lt;=$BB$10),$AZ$10+(0*7+5-($BA$10-1)+1)-1,"")</f>
        <v>46297</v>
      </c>
      <c r="H53" s="43">
        <f>IF(AND((0*7+6-($BA$10-1)+1)&gt;=1,(0*7+6-($BA$10-1)+1)&lt;=$BB$10),$AZ$10+(0*7+6-($BA$10-1)+1)-1,"")</f>
        <v>46298</v>
      </c>
      <c r="J53" s="43">
        <f>IF(AND((0*7+0-($BA$11-1)+1)&gt;=1,(0*7+0-($BA$11-1)+1)&lt;=$BB$11),$AZ$11+(0*7+0-($BA$11-1)+1)-1,"")</f>
        <v>46327</v>
      </c>
      <c r="K53" s="44">
        <f>IF(AND((0*7+1-($BA$11-1)+1)&gt;=1,(0*7+1-($BA$11-1)+1)&lt;=$BB$11),$AZ$11+(0*7+1-($BA$11-1)+1)-1,"")</f>
        <v>46328</v>
      </c>
      <c r="L53" s="44">
        <f>IF(AND((0*7+2-($BA$11-1)+1)&gt;=1,(0*7+2-($BA$11-1)+1)&lt;=$BB$11),$AZ$11+(0*7+2-($BA$11-1)+1)-1,"")</f>
        <v>46329</v>
      </c>
      <c r="M53" s="44">
        <f>IF(AND((0*7+3-($BA$11-1)+1)&gt;=1,(0*7+3-($BA$11-1)+1)&lt;=$BB$11),$AZ$11+(0*7+3-($BA$11-1)+1)-1,"")</f>
        <v>46330</v>
      </c>
      <c r="N53" s="44">
        <f>IF(AND((0*7+4-($BA$11-1)+1)&gt;=1,(0*7+4-($BA$11-1)+1)&lt;=$BB$11),$AZ$11+(0*7+4-($BA$11-1)+1)-1,"")</f>
        <v>46331</v>
      </c>
      <c r="O53" s="44">
        <f>IF(AND((0*7+5-($BA$11-1)+1)&gt;=1,(0*7+5-($BA$11-1)+1)&lt;=$BB$11),$AZ$11+(0*7+5-($BA$11-1)+1)-1,"")</f>
        <v>46332</v>
      </c>
      <c r="P53" s="43">
        <f>IF(AND((0*7+6-($BA$11-1)+1)&gt;=1,(0*7+6-($BA$11-1)+1)&lt;=$BB$11),$AZ$11+(0*7+6-($BA$11-1)+1)-1,"")</f>
        <v>46333</v>
      </c>
      <c r="R53" s="43" t="str">
        <f>IF(AND((0*7+0-($BA$12-1)+1)&gt;=1,(0*7+0-($BA$12-1)+1)&lt;=$BB$12),$AZ$12+(0*7+0-($BA$12-1)+1)-1,"")</f>
        <v/>
      </c>
      <c r="S53" s="44" t="str">
        <f>IF(AND((0*7+1-($BA$12-1)+1)&gt;=1,(0*7+1-($BA$12-1)+1)&lt;=$BB$12),$AZ$12+(0*7+1-($BA$12-1)+1)-1,"")</f>
        <v/>
      </c>
      <c r="T53" s="44">
        <f>IF(AND((0*7+2-($BA$12-1)+1)&gt;=1,(0*7+2-($BA$12-1)+1)&lt;=$BB$12),$AZ$12+(0*7+2-($BA$12-1)+1)-1,"")</f>
        <v>46357</v>
      </c>
      <c r="U53" s="44">
        <f>IF(AND((0*7+3-($BA$12-1)+1)&gt;=1,(0*7+3-($BA$12-1)+1)&lt;=$BB$12),$AZ$12+(0*7+3-($BA$12-1)+1)-1,"")</f>
        <v>46358</v>
      </c>
      <c r="V53" s="44">
        <f>IF(AND((0*7+4-($BA$12-1)+1)&gt;=1,(0*7+4-($BA$12-1)+1)&lt;=$BB$12),$AZ$12+(0*7+4-($BA$12-1)+1)-1,"")</f>
        <v>46359</v>
      </c>
      <c r="W53" s="44">
        <f>IF(AND((0*7+5-($BA$12-1)+1)&gt;=1,(0*7+5-($BA$12-1)+1)&lt;=$BB$12),$AZ$12+(0*7+5-($BA$12-1)+1)-1,"")</f>
        <v>46360</v>
      </c>
      <c r="X53" s="43">
        <f>IF(AND((0*7+6-($BA$12-1)+1)&gt;=1,(0*7+6-($BA$12-1)+1)&lt;=$BB$12),$AZ$12+(0*7+6-($BA$12-1)+1)-1,"")</f>
        <v>46361</v>
      </c>
    </row>
    <row r="54" spans="2:24" ht="27.95" customHeight="1">
      <c r="B54" s="45" t="str">
        <f>IF(B53="","",IFERROR("● "&amp;INDEX('Release Calendar'!$B$5:$B$504,MATCH(B53,'Release Calendar'!$I$5:$I$504,0))&amp;" · Start ","")&amp;IFERROR("● "&amp;INDEX('Release Calendar'!$B$5:$B$504,MATCH(B53,'Release Calendar'!$J$5:$J$504,0))&amp;" · Target ",""))</f>
        <v/>
      </c>
      <c r="C54" s="46" t="str">
        <f>IF(C53="","",IFERROR("● "&amp;INDEX('Release Calendar'!$B$5:$B$504,MATCH(C53,'Release Calendar'!$I$5:$I$504,0))&amp;" · Start ","")&amp;IFERROR("● "&amp;INDEX('Release Calendar'!$B$5:$B$504,MATCH(C53,'Release Calendar'!$J$5:$J$504,0))&amp;" · Target ",""))</f>
        <v/>
      </c>
      <c r="D54" s="46" t="str">
        <f>IF(D53="","",IFERROR("● "&amp;INDEX('Release Calendar'!$B$5:$B$504,MATCH(D53,'Release Calendar'!$I$5:$I$504,0))&amp;" · Start ","")&amp;IFERROR("● "&amp;INDEX('Release Calendar'!$B$5:$B$504,MATCH(D53,'Release Calendar'!$J$5:$J$504,0))&amp;" · Target ",""))</f>
        <v/>
      </c>
      <c r="E54" s="46" t="str">
        <f>IF(E53="","",IFERROR("● "&amp;INDEX('Release Calendar'!$B$5:$B$504,MATCH(E53,'Release Calendar'!$I$5:$I$504,0))&amp;" · Start ","")&amp;IFERROR("● "&amp;INDEX('Release Calendar'!$B$5:$B$504,MATCH(E53,'Release Calendar'!$J$5:$J$504,0))&amp;" · Target ",""))</f>
        <v/>
      </c>
      <c r="F54" s="46" t="str">
        <f>IF(F53="","",IFERROR("● "&amp;INDEX('Release Calendar'!$B$5:$B$504,MATCH(F53,'Release Calendar'!$I$5:$I$504,0))&amp;" · Start ","")&amp;IFERROR("● "&amp;INDEX('Release Calendar'!$B$5:$B$504,MATCH(F53,'Release Calendar'!$J$5:$J$504,0))&amp;" · Target ",""))</f>
        <v/>
      </c>
      <c r="G54" s="46" t="str">
        <f>IF(G53="","",IFERROR("● "&amp;INDEX('Release Calendar'!$B$5:$B$504,MATCH(G53,'Release Calendar'!$I$5:$I$504,0))&amp;" · Start ","")&amp;IFERROR("● "&amp;INDEX('Release Calendar'!$B$5:$B$504,MATCH(G53,'Release Calendar'!$J$5:$J$504,0))&amp;" · Target ",""))</f>
        <v/>
      </c>
      <c r="H54" s="45" t="str">
        <f>IF(H53="","",IFERROR("● "&amp;INDEX('Release Calendar'!$B$5:$B$504,MATCH(H53,'Release Calendar'!$I$5:$I$504,0))&amp;" · Start ","")&amp;IFERROR("● "&amp;INDEX('Release Calendar'!$B$5:$B$504,MATCH(H53,'Release Calendar'!$J$5:$J$504,0))&amp;" · Target ",""))</f>
        <v/>
      </c>
      <c r="J54" s="45" t="str">
        <f>IF(J53="","",IFERROR("● "&amp;INDEX('Release Calendar'!$B$5:$B$504,MATCH(J53,'Release Calendar'!$I$5:$I$504,0))&amp;" · Start ","")&amp;IFERROR("● "&amp;INDEX('Release Calendar'!$B$5:$B$504,MATCH(J53,'Release Calendar'!$J$5:$J$504,0))&amp;" · Target ",""))</f>
        <v/>
      </c>
      <c r="K54" s="46" t="str">
        <f>IF(K53="","",IFERROR("● "&amp;INDEX('Release Calendar'!$B$5:$B$504,MATCH(K53,'Release Calendar'!$I$5:$I$504,0))&amp;" · Start ","")&amp;IFERROR("● "&amp;INDEX('Release Calendar'!$B$5:$B$504,MATCH(K53,'Release Calendar'!$J$5:$J$504,0))&amp;" · Target ",""))</f>
        <v/>
      </c>
      <c r="L54" s="46" t="str">
        <f>IF(L53="","",IFERROR("● "&amp;INDEX('Release Calendar'!$B$5:$B$504,MATCH(L53,'Release Calendar'!$I$5:$I$504,0))&amp;" · Start ","")&amp;IFERROR("● "&amp;INDEX('Release Calendar'!$B$5:$B$504,MATCH(L53,'Release Calendar'!$J$5:$J$504,0))&amp;" · Target ",""))</f>
        <v/>
      </c>
      <c r="M54" s="46" t="str">
        <f>IF(M53="","",IFERROR("● "&amp;INDEX('Release Calendar'!$B$5:$B$504,MATCH(M53,'Release Calendar'!$I$5:$I$504,0))&amp;" · Start ","")&amp;IFERROR("● "&amp;INDEX('Release Calendar'!$B$5:$B$504,MATCH(M53,'Release Calendar'!$J$5:$J$504,0))&amp;" · Target ",""))</f>
        <v/>
      </c>
      <c r="N54" s="46" t="str">
        <f>IF(N53="","",IFERROR("● "&amp;INDEX('Release Calendar'!$B$5:$B$504,MATCH(N53,'Release Calendar'!$I$5:$I$504,0))&amp;" · Start ","")&amp;IFERROR("● "&amp;INDEX('Release Calendar'!$B$5:$B$504,MATCH(N53,'Release Calendar'!$J$5:$J$504,0))&amp;" · Target ",""))</f>
        <v/>
      </c>
      <c r="O54" s="46" t="str">
        <f>IF(O53="","",IFERROR("● "&amp;INDEX('Release Calendar'!$B$5:$B$504,MATCH(O53,'Release Calendar'!$I$5:$I$504,0))&amp;" · Start ","")&amp;IFERROR("● "&amp;INDEX('Release Calendar'!$B$5:$B$504,MATCH(O53,'Release Calendar'!$J$5:$J$504,0))&amp;" · Target ",""))</f>
        <v/>
      </c>
      <c r="P54" s="45" t="str">
        <f>IF(P53="","",IFERROR("● "&amp;INDEX('Release Calendar'!$B$5:$B$504,MATCH(P53,'Release Calendar'!$I$5:$I$504,0))&amp;" · Start ","")&amp;IFERROR("● "&amp;INDEX('Release Calendar'!$B$5:$B$504,MATCH(P53,'Release Calendar'!$J$5:$J$504,0))&amp;" · Target ",""))</f>
        <v/>
      </c>
      <c r="R54" s="45" t="str">
        <f>IF(R53="","",IFERROR("● "&amp;INDEX('Release Calendar'!$B$5:$B$504,MATCH(R53,'Release Calendar'!$I$5:$I$504,0))&amp;" · Start ","")&amp;IFERROR("● "&amp;INDEX('Release Calendar'!$B$5:$B$504,MATCH(R53,'Release Calendar'!$J$5:$J$504,0))&amp;" · Target ",""))</f>
        <v/>
      </c>
      <c r="S54" s="46" t="str">
        <f>IF(S53="","",IFERROR("● "&amp;INDEX('Release Calendar'!$B$5:$B$504,MATCH(S53,'Release Calendar'!$I$5:$I$504,0))&amp;" · Start ","")&amp;IFERROR("● "&amp;INDEX('Release Calendar'!$B$5:$B$504,MATCH(S53,'Release Calendar'!$J$5:$J$504,0))&amp;" · Target ",""))</f>
        <v/>
      </c>
      <c r="T54" s="46" t="str">
        <f>IF(T53="","",IFERROR("● "&amp;INDEX('Release Calendar'!$B$5:$B$504,MATCH(T53,'Release Calendar'!$I$5:$I$504,0))&amp;" · Start ","")&amp;IFERROR("● "&amp;INDEX('Release Calendar'!$B$5:$B$504,MATCH(T53,'Release Calendar'!$J$5:$J$504,0))&amp;" · Target ",""))</f>
        <v/>
      </c>
      <c r="U54" s="46" t="str">
        <f>IF(U53="","",IFERROR("● "&amp;INDEX('Release Calendar'!$B$5:$B$504,MATCH(U53,'Release Calendar'!$I$5:$I$504,0))&amp;" · Start ","")&amp;IFERROR("● "&amp;INDEX('Release Calendar'!$B$5:$B$504,MATCH(U53,'Release Calendar'!$J$5:$J$504,0))&amp;" · Target ",""))</f>
        <v/>
      </c>
      <c r="V54" s="46" t="str">
        <f>IF(V53="","",IFERROR("● "&amp;INDEX('Release Calendar'!$B$5:$B$504,MATCH(V53,'Release Calendar'!$I$5:$I$504,0))&amp;" · Start ","")&amp;IFERROR("● "&amp;INDEX('Release Calendar'!$B$5:$B$504,MATCH(V53,'Release Calendar'!$J$5:$J$504,0))&amp;" · Target ",""))</f>
        <v/>
      </c>
      <c r="W54" s="46" t="str">
        <f>IF(W53="","",IFERROR("● "&amp;INDEX('Release Calendar'!$B$5:$B$504,MATCH(W53,'Release Calendar'!$I$5:$I$504,0))&amp;" · Start ","")&amp;IFERROR("● "&amp;INDEX('Release Calendar'!$B$5:$B$504,MATCH(W53,'Release Calendar'!$J$5:$J$504,0))&amp;" · Target ",""))</f>
        <v/>
      </c>
      <c r="X54" s="45" t="str">
        <f>IF(X53="","",IFERROR("● "&amp;INDEX('Release Calendar'!$B$5:$B$504,MATCH(X53,'Release Calendar'!$I$5:$I$504,0))&amp;" · Start ","")&amp;IFERROR("● "&amp;INDEX('Release Calendar'!$B$5:$B$504,MATCH(X53,'Release Calendar'!$J$5:$J$504,0))&amp;" · Target ",""))</f>
        <v/>
      </c>
    </row>
    <row r="55" spans="2:24" ht="12.95" customHeight="1">
      <c r="B55" s="43">
        <f>IF(AND((1*7+0-($BA$10-1)+1)&gt;=1,(1*7+0-($BA$10-1)+1)&lt;=$BB$10),$AZ$10+(1*7+0-($BA$10-1)+1)-1,"")</f>
        <v>46299</v>
      </c>
      <c r="C55" s="44">
        <f>IF(AND((1*7+1-($BA$10-1)+1)&gt;=1,(1*7+1-($BA$10-1)+1)&lt;=$BB$10),$AZ$10+(1*7+1-($BA$10-1)+1)-1,"")</f>
        <v>46300</v>
      </c>
      <c r="D55" s="44">
        <f>IF(AND((1*7+2-($BA$10-1)+1)&gt;=1,(1*7+2-($BA$10-1)+1)&lt;=$BB$10),$AZ$10+(1*7+2-($BA$10-1)+1)-1,"")</f>
        <v>46301</v>
      </c>
      <c r="E55" s="44">
        <f>IF(AND((1*7+3-($BA$10-1)+1)&gt;=1,(1*7+3-($BA$10-1)+1)&lt;=$BB$10),$AZ$10+(1*7+3-($BA$10-1)+1)-1,"")</f>
        <v>46302</v>
      </c>
      <c r="F55" s="44">
        <f>IF(AND((1*7+4-($BA$10-1)+1)&gt;=1,(1*7+4-($BA$10-1)+1)&lt;=$BB$10),$AZ$10+(1*7+4-($BA$10-1)+1)-1,"")</f>
        <v>46303</v>
      </c>
      <c r="G55" s="44">
        <f>IF(AND((1*7+5-($BA$10-1)+1)&gt;=1,(1*7+5-($BA$10-1)+1)&lt;=$BB$10),$AZ$10+(1*7+5-($BA$10-1)+1)-1,"")</f>
        <v>46304</v>
      </c>
      <c r="H55" s="43">
        <f>IF(AND((1*7+6-($BA$10-1)+1)&gt;=1,(1*7+6-($BA$10-1)+1)&lt;=$BB$10),$AZ$10+(1*7+6-($BA$10-1)+1)-1,"")</f>
        <v>46305</v>
      </c>
      <c r="J55" s="43">
        <f>IF(AND((1*7+0-($BA$11-1)+1)&gt;=1,(1*7+0-($BA$11-1)+1)&lt;=$BB$11),$AZ$11+(1*7+0-($BA$11-1)+1)-1,"")</f>
        <v>46334</v>
      </c>
      <c r="K55" s="44">
        <f>IF(AND((1*7+1-($BA$11-1)+1)&gt;=1,(1*7+1-($BA$11-1)+1)&lt;=$BB$11),$AZ$11+(1*7+1-($BA$11-1)+1)-1,"")</f>
        <v>46335</v>
      </c>
      <c r="L55" s="44">
        <f>IF(AND((1*7+2-($BA$11-1)+1)&gt;=1,(1*7+2-($BA$11-1)+1)&lt;=$BB$11),$AZ$11+(1*7+2-($BA$11-1)+1)-1,"")</f>
        <v>46336</v>
      </c>
      <c r="M55" s="44">
        <f>IF(AND((1*7+3-($BA$11-1)+1)&gt;=1,(1*7+3-($BA$11-1)+1)&lt;=$BB$11),$AZ$11+(1*7+3-($BA$11-1)+1)-1,"")</f>
        <v>46337</v>
      </c>
      <c r="N55" s="44">
        <f>IF(AND((1*7+4-($BA$11-1)+1)&gt;=1,(1*7+4-($BA$11-1)+1)&lt;=$BB$11),$AZ$11+(1*7+4-($BA$11-1)+1)-1,"")</f>
        <v>46338</v>
      </c>
      <c r="O55" s="44">
        <f>IF(AND((1*7+5-($BA$11-1)+1)&gt;=1,(1*7+5-($BA$11-1)+1)&lt;=$BB$11),$AZ$11+(1*7+5-($BA$11-1)+1)-1,"")</f>
        <v>46339</v>
      </c>
      <c r="P55" s="43">
        <f>IF(AND((1*7+6-($BA$11-1)+1)&gt;=1,(1*7+6-($BA$11-1)+1)&lt;=$BB$11),$AZ$11+(1*7+6-($BA$11-1)+1)-1,"")</f>
        <v>46340</v>
      </c>
      <c r="R55" s="43">
        <f>IF(AND((1*7+0-($BA$12-1)+1)&gt;=1,(1*7+0-($BA$12-1)+1)&lt;=$BB$12),$AZ$12+(1*7+0-($BA$12-1)+1)-1,"")</f>
        <v>46362</v>
      </c>
      <c r="S55" s="44">
        <f>IF(AND((1*7+1-($BA$12-1)+1)&gt;=1,(1*7+1-($BA$12-1)+1)&lt;=$BB$12),$AZ$12+(1*7+1-($BA$12-1)+1)-1,"")</f>
        <v>46363</v>
      </c>
      <c r="T55" s="44">
        <f>IF(AND((1*7+2-($BA$12-1)+1)&gt;=1,(1*7+2-($BA$12-1)+1)&lt;=$BB$12),$AZ$12+(1*7+2-($BA$12-1)+1)-1,"")</f>
        <v>46364</v>
      </c>
      <c r="U55" s="44">
        <f>IF(AND((1*7+3-($BA$12-1)+1)&gt;=1,(1*7+3-($BA$12-1)+1)&lt;=$BB$12),$AZ$12+(1*7+3-($BA$12-1)+1)-1,"")</f>
        <v>46365</v>
      </c>
      <c r="V55" s="44">
        <f>IF(AND((1*7+4-($BA$12-1)+1)&gt;=1,(1*7+4-($BA$12-1)+1)&lt;=$BB$12),$AZ$12+(1*7+4-($BA$12-1)+1)-1,"")</f>
        <v>46366</v>
      </c>
      <c r="W55" s="44">
        <f>IF(AND((1*7+5-($BA$12-1)+1)&gt;=1,(1*7+5-($BA$12-1)+1)&lt;=$BB$12),$AZ$12+(1*7+5-($BA$12-1)+1)-1,"")</f>
        <v>46367</v>
      </c>
      <c r="X55" s="43">
        <f>IF(AND((1*7+6-($BA$12-1)+1)&gt;=1,(1*7+6-($BA$12-1)+1)&lt;=$BB$12),$AZ$12+(1*7+6-($BA$12-1)+1)-1,"")</f>
        <v>46368</v>
      </c>
    </row>
    <row r="56" spans="2:24" ht="27.95" customHeight="1">
      <c r="B56" s="45" t="str">
        <f>IF(B55="","",IFERROR("● "&amp;INDEX('Release Calendar'!$B$5:$B$504,MATCH(B55,'Release Calendar'!$I$5:$I$504,0))&amp;" · Start ","")&amp;IFERROR("● "&amp;INDEX('Release Calendar'!$B$5:$B$504,MATCH(B55,'Release Calendar'!$J$5:$J$504,0))&amp;" · Target ",""))</f>
        <v/>
      </c>
      <c r="C56" s="46" t="str">
        <f>IF(C55="","",IFERROR("● "&amp;INDEX('Release Calendar'!$B$5:$B$504,MATCH(C55,'Release Calendar'!$I$5:$I$504,0))&amp;" · Start ","")&amp;IFERROR("● "&amp;INDEX('Release Calendar'!$B$5:$B$504,MATCH(C55,'Release Calendar'!$J$5:$J$504,0))&amp;" · Target ",""))</f>
        <v/>
      </c>
      <c r="D56" s="46" t="str">
        <f>IF(D55="","",IFERROR("● "&amp;INDEX('Release Calendar'!$B$5:$B$504,MATCH(D55,'Release Calendar'!$I$5:$I$504,0))&amp;" · Start ","")&amp;IFERROR("● "&amp;INDEX('Release Calendar'!$B$5:$B$504,MATCH(D55,'Release Calendar'!$J$5:$J$504,0))&amp;" · Target ",""))</f>
        <v/>
      </c>
      <c r="E56" s="46" t="str">
        <f>IF(E55="","",IFERROR("● "&amp;INDEX('Release Calendar'!$B$5:$B$504,MATCH(E55,'Release Calendar'!$I$5:$I$504,0))&amp;" · Start ","")&amp;IFERROR("● "&amp;INDEX('Release Calendar'!$B$5:$B$504,MATCH(E55,'Release Calendar'!$J$5:$J$504,0))&amp;" · Target ",""))</f>
        <v xml:space="preserve">● Tamasha IP list update · Start ● Tamasha IP list update · Target </v>
      </c>
      <c r="F56" s="46" t="str">
        <f>IF(F55="","",IFERROR("● "&amp;INDEX('Release Calendar'!$B$5:$B$504,MATCH(F55,'Release Calendar'!$I$5:$I$504,0))&amp;" · Start ","")&amp;IFERROR("● "&amp;INDEX('Release Calendar'!$B$5:$B$504,MATCH(F55,'Release Calendar'!$J$5:$J$504,0))&amp;" · Target ",""))</f>
        <v/>
      </c>
      <c r="G56" s="46" t="str">
        <f>IF(G55="","",IFERROR("● "&amp;INDEX('Release Calendar'!$B$5:$B$504,MATCH(G55,'Release Calendar'!$I$5:$I$504,0))&amp;" · Start ","")&amp;IFERROR("● "&amp;INDEX('Release Calendar'!$B$5:$B$504,MATCH(G55,'Release Calendar'!$J$5:$J$504,0))&amp;" · Target ",""))</f>
        <v/>
      </c>
      <c r="H56" s="45" t="str">
        <f>IF(H55="","",IFERROR("● "&amp;INDEX('Release Calendar'!$B$5:$B$504,MATCH(H55,'Release Calendar'!$I$5:$I$504,0))&amp;" · Start ","")&amp;IFERROR("● "&amp;INDEX('Release Calendar'!$B$5:$B$504,MATCH(H55,'Release Calendar'!$J$5:$J$504,0))&amp;" · Target ",""))</f>
        <v/>
      </c>
      <c r="J56" s="45" t="str">
        <f>IF(J55="","",IFERROR("● "&amp;INDEX('Release Calendar'!$B$5:$B$504,MATCH(J55,'Release Calendar'!$I$5:$I$504,0))&amp;" · Start ","")&amp;IFERROR("● "&amp;INDEX('Release Calendar'!$B$5:$B$504,MATCH(J55,'Release Calendar'!$J$5:$J$504,0))&amp;" · Target ",""))</f>
        <v/>
      </c>
      <c r="K56" s="46" t="str">
        <f>IF(K55="","",IFERROR("● "&amp;INDEX('Release Calendar'!$B$5:$B$504,MATCH(K55,'Release Calendar'!$I$5:$I$504,0))&amp;" · Start ","")&amp;IFERROR("● "&amp;INDEX('Release Calendar'!$B$5:$B$504,MATCH(K55,'Release Calendar'!$J$5:$J$504,0))&amp;" · Target ",""))</f>
        <v/>
      </c>
      <c r="L56" s="46" t="str">
        <f>IF(L55="","",IFERROR("● "&amp;INDEX('Release Calendar'!$B$5:$B$504,MATCH(L55,'Release Calendar'!$I$5:$I$504,0))&amp;" · Start ","")&amp;IFERROR("● "&amp;INDEX('Release Calendar'!$B$5:$B$504,MATCH(L55,'Release Calendar'!$J$5:$J$504,0))&amp;" · Target ",""))</f>
        <v/>
      </c>
      <c r="M56" s="46" t="str">
        <f>IF(M55="","",IFERROR("● "&amp;INDEX('Release Calendar'!$B$5:$B$504,MATCH(M55,'Release Calendar'!$I$5:$I$504,0))&amp;" · Start ","")&amp;IFERROR("● "&amp;INDEX('Release Calendar'!$B$5:$B$504,MATCH(M55,'Release Calendar'!$J$5:$J$504,0))&amp;" · Target ",""))</f>
        <v/>
      </c>
      <c r="N56" s="46" t="str">
        <f>IF(N55="","",IFERROR("● "&amp;INDEX('Release Calendar'!$B$5:$B$504,MATCH(N55,'Release Calendar'!$I$5:$I$504,0))&amp;" · Start ","")&amp;IFERROR("● "&amp;INDEX('Release Calendar'!$B$5:$B$504,MATCH(N55,'Release Calendar'!$J$5:$J$504,0))&amp;" · Target ",""))</f>
        <v/>
      </c>
      <c r="O56" s="46" t="str">
        <f>IF(O55="","",IFERROR("● "&amp;INDEX('Release Calendar'!$B$5:$B$504,MATCH(O55,'Release Calendar'!$I$5:$I$504,0))&amp;" · Start ","")&amp;IFERROR("● "&amp;INDEX('Release Calendar'!$B$5:$B$504,MATCH(O55,'Release Calendar'!$J$5:$J$504,0))&amp;" · Target ",""))</f>
        <v/>
      </c>
      <c r="P56" s="45" t="str">
        <f>IF(P55="","",IFERROR("● "&amp;INDEX('Release Calendar'!$B$5:$B$504,MATCH(P55,'Release Calendar'!$I$5:$I$504,0))&amp;" · Start ","")&amp;IFERROR("● "&amp;INDEX('Release Calendar'!$B$5:$B$504,MATCH(P55,'Release Calendar'!$J$5:$J$504,0))&amp;" · Target ",""))</f>
        <v/>
      </c>
      <c r="R56" s="45" t="str">
        <f>IF(R55="","",IFERROR("● "&amp;INDEX('Release Calendar'!$B$5:$B$504,MATCH(R55,'Release Calendar'!$I$5:$I$504,0))&amp;" · Start ","")&amp;IFERROR("● "&amp;INDEX('Release Calendar'!$B$5:$B$504,MATCH(R55,'Release Calendar'!$J$5:$J$504,0))&amp;" · Target ",""))</f>
        <v/>
      </c>
      <c r="S56" s="46" t="str">
        <f>IF(S55="","",IFERROR("● "&amp;INDEX('Release Calendar'!$B$5:$B$504,MATCH(S55,'Release Calendar'!$I$5:$I$504,0))&amp;" · Start ","")&amp;IFERROR("● "&amp;INDEX('Release Calendar'!$B$5:$B$504,MATCH(S55,'Release Calendar'!$J$5:$J$504,0))&amp;" · Target ",""))</f>
        <v/>
      </c>
      <c r="T56" s="46" t="str">
        <f>IF(T55="","",IFERROR("● "&amp;INDEX('Release Calendar'!$B$5:$B$504,MATCH(T55,'Release Calendar'!$I$5:$I$504,0))&amp;" · Start ","")&amp;IFERROR("● "&amp;INDEX('Release Calendar'!$B$5:$B$504,MATCH(T55,'Release Calendar'!$J$5:$J$504,0))&amp;" · Target ",""))</f>
        <v/>
      </c>
      <c r="U56" s="46" t="str">
        <f>IF(U55="","",IFERROR("● "&amp;INDEX('Release Calendar'!$B$5:$B$504,MATCH(U55,'Release Calendar'!$I$5:$I$504,0))&amp;" · Start ","")&amp;IFERROR("● "&amp;INDEX('Release Calendar'!$B$5:$B$504,MATCH(U55,'Release Calendar'!$J$5:$J$504,0))&amp;" · Target ",""))</f>
        <v/>
      </c>
      <c r="V56" s="46" t="str">
        <f>IF(V55="","",IFERROR("● "&amp;INDEX('Release Calendar'!$B$5:$B$504,MATCH(V55,'Release Calendar'!$I$5:$I$504,0))&amp;" · Start ","")&amp;IFERROR("● "&amp;INDEX('Release Calendar'!$B$5:$B$504,MATCH(V55,'Release Calendar'!$J$5:$J$504,0))&amp;" · Target ",""))</f>
        <v/>
      </c>
      <c r="W56" s="46" t="str">
        <f>IF(W55="","",IFERROR("● "&amp;INDEX('Release Calendar'!$B$5:$B$504,MATCH(W55,'Release Calendar'!$I$5:$I$504,0))&amp;" · Start ","")&amp;IFERROR("● "&amp;INDEX('Release Calendar'!$B$5:$B$504,MATCH(W55,'Release Calendar'!$J$5:$J$504,0))&amp;" · Target ",""))</f>
        <v/>
      </c>
      <c r="X56" s="45" t="str">
        <f>IF(X55="","",IFERROR("● "&amp;INDEX('Release Calendar'!$B$5:$B$504,MATCH(X55,'Release Calendar'!$I$5:$I$504,0))&amp;" · Start ","")&amp;IFERROR("● "&amp;INDEX('Release Calendar'!$B$5:$B$504,MATCH(X55,'Release Calendar'!$J$5:$J$504,0))&amp;" · Target ",""))</f>
        <v/>
      </c>
    </row>
    <row r="57" spans="2:24" ht="12.95" customHeight="1">
      <c r="B57" s="43">
        <f>IF(AND((2*7+0-($BA$10-1)+1)&gt;=1,(2*7+0-($BA$10-1)+1)&lt;=$BB$10),$AZ$10+(2*7+0-($BA$10-1)+1)-1,"")</f>
        <v>46306</v>
      </c>
      <c r="C57" s="44">
        <f>IF(AND((2*7+1-($BA$10-1)+1)&gt;=1,(2*7+1-($BA$10-1)+1)&lt;=$BB$10),$AZ$10+(2*7+1-($BA$10-1)+1)-1,"")</f>
        <v>46307</v>
      </c>
      <c r="D57" s="44">
        <f>IF(AND((2*7+2-($BA$10-1)+1)&gt;=1,(2*7+2-($BA$10-1)+1)&lt;=$BB$10),$AZ$10+(2*7+2-($BA$10-1)+1)-1,"")</f>
        <v>46308</v>
      </c>
      <c r="E57" s="44">
        <f>IF(AND((2*7+3-($BA$10-1)+1)&gt;=1,(2*7+3-($BA$10-1)+1)&lt;=$BB$10),$AZ$10+(2*7+3-($BA$10-1)+1)-1,"")</f>
        <v>46309</v>
      </c>
      <c r="F57" s="44">
        <f>IF(AND((2*7+4-($BA$10-1)+1)&gt;=1,(2*7+4-($BA$10-1)+1)&lt;=$BB$10),$AZ$10+(2*7+4-($BA$10-1)+1)-1,"")</f>
        <v>46310</v>
      </c>
      <c r="G57" s="44">
        <f>IF(AND((2*7+5-($BA$10-1)+1)&gt;=1,(2*7+5-($BA$10-1)+1)&lt;=$BB$10),$AZ$10+(2*7+5-($BA$10-1)+1)-1,"")</f>
        <v>46311</v>
      </c>
      <c r="H57" s="43">
        <f>IF(AND((2*7+6-($BA$10-1)+1)&gt;=1,(2*7+6-($BA$10-1)+1)&lt;=$BB$10),$AZ$10+(2*7+6-($BA$10-1)+1)-1,"")</f>
        <v>46312</v>
      </c>
      <c r="J57" s="43">
        <f>IF(AND((2*7+0-($BA$11-1)+1)&gt;=1,(2*7+0-($BA$11-1)+1)&lt;=$BB$11),$AZ$11+(2*7+0-($BA$11-1)+1)-1,"")</f>
        <v>46341</v>
      </c>
      <c r="K57" s="44">
        <f>IF(AND((2*7+1-($BA$11-1)+1)&gt;=1,(2*7+1-($BA$11-1)+1)&lt;=$BB$11),$AZ$11+(2*7+1-($BA$11-1)+1)-1,"")</f>
        <v>46342</v>
      </c>
      <c r="L57" s="44">
        <f>IF(AND((2*7+2-($BA$11-1)+1)&gt;=1,(2*7+2-($BA$11-1)+1)&lt;=$BB$11),$AZ$11+(2*7+2-($BA$11-1)+1)-1,"")</f>
        <v>46343</v>
      </c>
      <c r="M57" s="44">
        <f>IF(AND((2*7+3-($BA$11-1)+1)&gt;=1,(2*7+3-($BA$11-1)+1)&lt;=$BB$11),$AZ$11+(2*7+3-($BA$11-1)+1)-1,"")</f>
        <v>46344</v>
      </c>
      <c r="N57" s="44">
        <f>IF(AND((2*7+4-($BA$11-1)+1)&gt;=1,(2*7+4-($BA$11-1)+1)&lt;=$BB$11),$AZ$11+(2*7+4-($BA$11-1)+1)-1,"")</f>
        <v>46345</v>
      </c>
      <c r="O57" s="44">
        <f>IF(AND((2*7+5-($BA$11-1)+1)&gt;=1,(2*7+5-($BA$11-1)+1)&lt;=$BB$11),$AZ$11+(2*7+5-($BA$11-1)+1)-1,"")</f>
        <v>46346</v>
      </c>
      <c r="P57" s="43">
        <f>IF(AND((2*7+6-($BA$11-1)+1)&gt;=1,(2*7+6-($BA$11-1)+1)&lt;=$BB$11),$AZ$11+(2*7+6-($BA$11-1)+1)-1,"")</f>
        <v>46347</v>
      </c>
      <c r="R57" s="43">
        <f>IF(AND((2*7+0-($BA$12-1)+1)&gt;=1,(2*7+0-($BA$12-1)+1)&lt;=$BB$12),$AZ$12+(2*7+0-($BA$12-1)+1)-1,"")</f>
        <v>46369</v>
      </c>
      <c r="S57" s="44">
        <f>IF(AND((2*7+1-($BA$12-1)+1)&gt;=1,(2*7+1-($BA$12-1)+1)&lt;=$BB$12),$AZ$12+(2*7+1-($BA$12-1)+1)-1,"")</f>
        <v>46370</v>
      </c>
      <c r="T57" s="44">
        <f>IF(AND((2*7+2-($BA$12-1)+1)&gt;=1,(2*7+2-($BA$12-1)+1)&lt;=$BB$12),$AZ$12+(2*7+2-($BA$12-1)+1)-1,"")</f>
        <v>46371</v>
      </c>
      <c r="U57" s="44">
        <f>IF(AND((2*7+3-($BA$12-1)+1)&gt;=1,(2*7+3-($BA$12-1)+1)&lt;=$BB$12),$AZ$12+(2*7+3-($BA$12-1)+1)-1,"")</f>
        <v>46372</v>
      </c>
      <c r="V57" s="44">
        <f>IF(AND((2*7+4-($BA$12-1)+1)&gt;=1,(2*7+4-($BA$12-1)+1)&lt;=$BB$12),$AZ$12+(2*7+4-($BA$12-1)+1)-1,"")</f>
        <v>46373</v>
      </c>
      <c r="W57" s="44">
        <f>IF(AND((2*7+5-($BA$12-1)+1)&gt;=1,(2*7+5-($BA$12-1)+1)&lt;=$BB$12),$AZ$12+(2*7+5-($BA$12-1)+1)-1,"")</f>
        <v>46374</v>
      </c>
      <c r="X57" s="43">
        <f>IF(AND((2*7+6-($BA$12-1)+1)&gt;=1,(2*7+6-($BA$12-1)+1)&lt;=$BB$12),$AZ$12+(2*7+6-($BA$12-1)+1)-1,"")</f>
        <v>46375</v>
      </c>
    </row>
    <row r="58" spans="2:24" ht="27.95" customHeight="1">
      <c r="B58" s="45" t="str">
        <f>IF(B57="","",IFERROR("● "&amp;INDEX('Release Calendar'!$B$5:$B$504,MATCH(B57,'Release Calendar'!$I$5:$I$504,0))&amp;" · Start ","")&amp;IFERROR("● "&amp;INDEX('Release Calendar'!$B$5:$B$504,MATCH(B57,'Release Calendar'!$J$5:$J$504,0))&amp;" · Target ",""))</f>
        <v/>
      </c>
      <c r="C58" s="46" t="str">
        <f>IF(C57="","",IFERROR("● "&amp;INDEX('Release Calendar'!$B$5:$B$504,MATCH(C57,'Release Calendar'!$I$5:$I$504,0))&amp;" · Start ","")&amp;IFERROR("● "&amp;INDEX('Release Calendar'!$B$5:$B$504,MATCH(C57,'Release Calendar'!$J$5:$J$504,0))&amp;" · Target ",""))</f>
        <v xml:space="preserve">● DFS Lifecycle new columns addition · Start ● DFS Lifecycle new columns addition · Target </v>
      </c>
      <c r="D58" s="46" t="str">
        <f>IF(D57="","",IFERROR("● "&amp;INDEX('Release Calendar'!$B$5:$B$504,MATCH(D57,'Release Calendar'!$I$5:$I$504,0))&amp;" · Start ","")&amp;IFERROR("● "&amp;INDEX('Release Calendar'!$B$5:$B$504,MATCH(D57,'Release Calendar'!$J$5:$J$504,0))&amp;" · Target ",""))</f>
        <v xml:space="preserve">● b2c sales hotfix · Start ● b2c sales hotfix · Target </v>
      </c>
      <c r="E58" s="46" t="str">
        <f>IF(E57="","",IFERROR("● "&amp;INDEX('Release Calendar'!$B$5:$B$504,MATCH(E57,'Release Calendar'!$I$5:$I$504,0))&amp;" · Start ","")&amp;IFERROR("● "&amp;INDEX('Release Calendar'!$B$5:$B$504,MATCH(E57,'Release Calendar'!$J$5:$J$504,0))&amp;" · Target ",""))</f>
        <v/>
      </c>
      <c r="F58" s="46" t="str">
        <f>IF(F57="","",IFERROR("● "&amp;INDEX('Release Calendar'!$B$5:$B$504,MATCH(F57,'Release Calendar'!$I$5:$I$504,0))&amp;" · Start ","")&amp;IFERROR("● "&amp;INDEX('Release Calendar'!$B$5:$B$504,MATCH(F57,'Release Calendar'!$J$5:$J$504,0))&amp;" · Target ",""))</f>
        <v/>
      </c>
      <c r="G58" s="46" t="str">
        <f>IF(G57="","",IFERROR("● "&amp;INDEX('Release Calendar'!$B$5:$B$504,MATCH(G57,'Release Calendar'!$I$5:$I$504,0))&amp;" · Start ","")&amp;IFERROR("● "&amp;INDEX('Release Calendar'!$B$5:$B$504,MATCH(G57,'Release Calendar'!$J$5:$J$504,0))&amp;" · Target ",""))</f>
        <v/>
      </c>
      <c r="H58" s="45" t="str">
        <f>IF(H57="","",IFERROR("● "&amp;INDEX('Release Calendar'!$B$5:$B$504,MATCH(H57,'Release Calendar'!$I$5:$I$504,0))&amp;" · Start ","")&amp;IFERROR("● "&amp;INDEX('Release Calendar'!$B$5:$B$504,MATCH(H57,'Release Calendar'!$J$5:$J$504,0))&amp;" · Target ",""))</f>
        <v/>
      </c>
      <c r="J58" s="45" t="str">
        <f>IF(J57="","",IFERROR("● "&amp;INDEX('Release Calendar'!$B$5:$B$504,MATCH(J57,'Release Calendar'!$I$5:$I$504,0))&amp;" · Start ","")&amp;IFERROR("● "&amp;INDEX('Release Calendar'!$B$5:$B$504,MATCH(J57,'Release Calendar'!$J$5:$J$504,0))&amp;" · Target ",""))</f>
        <v/>
      </c>
      <c r="K58" s="46" t="str">
        <f>IF(K57="","",IFERROR("● "&amp;INDEX('Release Calendar'!$B$5:$B$504,MATCH(K57,'Release Calendar'!$I$5:$I$504,0))&amp;" · Start ","")&amp;IFERROR("● "&amp;INDEX('Release Calendar'!$B$5:$B$504,MATCH(K57,'Release Calendar'!$J$5:$J$504,0))&amp;" · Target ",""))</f>
        <v/>
      </c>
      <c r="L58" s="46" t="str">
        <f>IF(L57="","",IFERROR("● "&amp;INDEX('Release Calendar'!$B$5:$B$504,MATCH(L57,'Release Calendar'!$I$5:$I$504,0))&amp;" · Start ","")&amp;IFERROR("● "&amp;INDEX('Release Calendar'!$B$5:$B$504,MATCH(L57,'Release Calendar'!$J$5:$J$504,0))&amp;" · Target ",""))</f>
        <v/>
      </c>
      <c r="M58" s="46" t="str">
        <f>IF(M57="","",IFERROR("● "&amp;INDEX('Release Calendar'!$B$5:$B$504,MATCH(M57,'Release Calendar'!$I$5:$I$504,0))&amp;" · Start ","")&amp;IFERROR("● "&amp;INDEX('Release Calendar'!$B$5:$B$504,MATCH(M57,'Release Calendar'!$J$5:$J$504,0))&amp;" · Target ",""))</f>
        <v/>
      </c>
      <c r="N58" s="46" t="str">
        <f>IF(N57="","",IFERROR("● "&amp;INDEX('Release Calendar'!$B$5:$B$504,MATCH(N57,'Release Calendar'!$I$5:$I$504,0))&amp;" · Start ","")&amp;IFERROR("● "&amp;INDEX('Release Calendar'!$B$5:$B$504,MATCH(N57,'Release Calendar'!$J$5:$J$504,0))&amp;" · Target ",""))</f>
        <v/>
      </c>
      <c r="O58" s="46" t="str">
        <f>IF(O57="","",IFERROR("● "&amp;INDEX('Release Calendar'!$B$5:$B$504,MATCH(O57,'Release Calendar'!$I$5:$I$504,0))&amp;" · Start ","")&amp;IFERROR("● "&amp;INDEX('Release Calendar'!$B$5:$B$504,MATCH(O57,'Release Calendar'!$J$5:$J$504,0))&amp;" · Target ",""))</f>
        <v/>
      </c>
      <c r="P58" s="45" t="str">
        <f>IF(P57="","",IFERROR("● "&amp;INDEX('Release Calendar'!$B$5:$B$504,MATCH(P57,'Release Calendar'!$I$5:$I$504,0))&amp;" · Start ","")&amp;IFERROR("● "&amp;INDEX('Release Calendar'!$B$5:$B$504,MATCH(P57,'Release Calendar'!$J$5:$J$504,0))&amp;" · Target ",""))</f>
        <v/>
      </c>
      <c r="R58" s="45" t="str">
        <f>IF(R57="","",IFERROR("● "&amp;INDEX('Release Calendar'!$B$5:$B$504,MATCH(R57,'Release Calendar'!$I$5:$I$504,0))&amp;" · Start ","")&amp;IFERROR("● "&amp;INDEX('Release Calendar'!$B$5:$B$504,MATCH(R57,'Release Calendar'!$J$5:$J$504,0))&amp;" · Target ",""))</f>
        <v/>
      </c>
      <c r="S58" s="46" t="str">
        <f>IF(S57="","",IFERROR("● "&amp;INDEX('Release Calendar'!$B$5:$B$504,MATCH(S57,'Release Calendar'!$I$5:$I$504,0))&amp;" · Start ","")&amp;IFERROR("● "&amp;INDEX('Release Calendar'!$B$5:$B$504,MATCH(S57,'Release Calendar'!$J$5:$J$504,0))&amp;" · Target ",""))</f>
        <v/>
      </c>
      <c r="T58" s="46" t="str">
        <f>IF(T57="","",IFERROR("● "&amp;INDEX('Release Calendar'!$B$5:$B$504,MATCH(T57,'Release Calendar'!$I$5:$I$504,0))&amp;" · Start ","")&amp;IFERROR("● "&amp;INDEX('Release Calendar'!$B$5:$B$504,MATCH(T57,'Release Calendar'!$J$5:$J$504,0))&amp;" · Target ",""))</f>
        <v/>
      </c>
      <c r="U58" s="46" t="str">
        <f>IF(U57="","",IFERROR("● "&amp;INDEX('Release Calendar'!$B$5:$B$504,MATCH(U57,'Release Calendar'!$I$5:$I$504,0))&amp;" · Start ","")&amp;IFERROR("● "&amp;INDEX('Release Calendar'!$B$5:$B$504,MATCH(U57,'Release Calendar'!$J$5:$J$504,0))&amp;" · Target ",""))</f>
        <v/>
      </c>
      <c r="V58" s="46" t="str">
        <f>IF(V57="","",IFERROR("● "&amp;INDEX('Release Calendar'!$B$5:$B$504,MATCH(V57,'Release Calendar'!$I$5:$I$504,0))&amp;" · Start ","")&amp;IFERROR("● "&amp;INDEX('Release Calendar'!$B$5:$B$504,MATCH(V57,'Release Calendar'!$J$5:$J$504,0))&amp;" · Target ",""))</f>
        <v/>
      </c>
      <c r="W58" s="46" t="str">
        <f>IF(W57="","",IFERROR("● "&amp;INDEX('Release Calendar'!$B$5:$B$504,MATCH(W57,'Release Calendar'!$I$5:$I$504,0))&amp;" · Start ","")&amp;IFERROR("● "&amp;INDEX('Release Calendar'!$B$5:$B$504,MATCH(W57,'Release Calendar'!$J$5:$J$504,0))&amp;" · Target ",""))</f>
        <v/>
      </c>
      <c r="X58" s="45" t="str">
        <f>IF(X57="","",IFERROR("● "&amp;INDEX('Release Calendar'!$B$5:$B$504,MATCH(X57,'Release Calendar'!$I$5:$I$504,0))&amp;" · Start ","")&amp;IFERROR("● "&amp;INDEX('Release Calendar'!$B$5:$B$504,MATCH(X57,'Release Calendar'!$J$5:$J$504,0))&amp;" · Target ",""))</f>
        <v/>
      </c>
    </row>
    <row r="59" spans="2:24" ht="12.95" customHeight="1">
      <c r="B59" s="43">
        <f>IF(AND((3*7+0-($BA$10-1)+1)&gt;=1,(3*7+0-($BA$10-1)+1)&lt;=$BB$10),$AZ$10+(3*7+0-($BA$10-1)+1)-1,"")</f>
        <v>46313</v>
      </c>
      <c r="C59" s="44">
        <f>IF(AND((3*7+1-($BA$10-1)+1)&gt;=1,(3*7+1-($BA$10-1)+1)&lt;=$BB$10),$AZ$10+(3*7+1-($BA$10-1)+1)-1,"")</f>
        <v>46314</v>
      </c>
      <c r="D59" s="44">
        <f>IF(AND((3*7+2-($BA$10-1)+1)&gt;=1,(3*7+2-($BA$10-1)+1)&lt;=$BB$10),$AZ$10+(3*7+2-($BA$10-1)+1)-1,"")</f>
        <v>46315</v>
      </c>
      <c r="E59" s="44">
        <f>IF(AND((3*7+3-($BA$10-1)+1)&gt;=1,(3*7+3-($BA$10-1)+1)&lt;=$BB$10),$AZ$10+(3*7+3-($BA$10-1)+1)-1,"")</f>
        <v>46316</v>
      </c>
      <c r="F59" s="44">
        <f>IF(AND((3*7+4-($BA$10-1)+1)&gt;=1,(3*7+4-($BA$10-1)+1)&lt;=$BB$10),$AZ$10+(3*7+4-($BA$10-1)+1)-1,"")</f>
        <v>46317</v>
      </c>
      <c r="G59" s="44">
        <f>IF(AND((3*7+5-($BA$10-1)+1)&gt;=1,(3*7+5-($BA$10-1)+1)&lt;=$BB$10),$AZ$10+(3*7+5-($BA$10-1)+1)-1,"")</f>
        <v>46318</v>
      </c>
      <c r="H59" s="43">
        <f>IF(AND((3*7+6-($BA$10-1)+1)&gt;=1,(3*7+6-($BA$10-1)+1)&lt;=$BB$10),$AZ$10+(3*7+6-($BA$10-1)+1)-1,"")</f>
        <v>46319</v>
      </c>
      <c r="J59" s="43">
        <f>IF(AND((3*7+0-($BA$11-1)+1)&gt;=1,(3*7+0-($BA$11-1)+1)&lt;=$BB$11),$AZ$11+(3*7+0-($BA$11-1)+1)-1,"")</f>
        <v>46348</v>
      </c>
      <c r="K59" s="44">
        <f>IF(AND((3*7+1-($BA$11-1)+1)&gt;=1,(3*7+1-($BA$11-1)+1)&lt;=$BB$11),$AZ$11+(3*7+1-($BA$11-1)+1)-1,"")</f>
        <v>46349</v>
      </c>
      <c r="L59" s="44">
        <f>IF(AND((3*7+2-($BA$11-1)+1)&gt;=1,(3*7+2-($BA$11-1)+1)&lt;=$BB$11),$AZ$11+(3*7+2-($BA$11-1)+1)-1,"")</f>
        <v>46350</v>
      </c>
      <c r="M59" s="44">
        <f>IF(AND((3*7+3-($BA$11-1)+1)&gt;=1,(3*7+3-($BA$11-1)+1)&lt;=$BB$11),$AZ$11+(3*7+3-($BA$11-1)+1)-1,"")</f>
        <v>46351</v>
      </c>
      <c r="N59" s="44">
        <f>IF(AND((3*7+4-($BA$11-1)+1)&gt;=1,(3*7+4-($BA$11-1)+1)&lt;=$BB$11),$AZ$11+(3*7+4-($BA$11-1)+1)-1,"")</f>
        <v>46352</v>
      </c>
      <c r="O59" s="44">
        <f>IF(AND((3*7+5-($BA$11-1)+1)&gt;=1,(3*7+5-($BA$11-1)+1)&lt;=$BB$11),$AZ$11+(3*7+5-($BA$11-1)+1)-1,"")</f>
        <v>46353</v>
      </c>
      <c r="P59" s="43">
        <f>IF(AND((3*7+6-($BA$11-1)+1)&gt;=1,(3*7+6-($BA$11-1)+1)&lt;=$BB$11),$AZ$11+(3*7+6-($BA$11-1)+1)-1,"")</f>
        <v>46354</v>
      </c>
      <c r="R59" s="43">
        <f>IF(AND((3*7+0-($BA$12-1)+1)&gt;=1,(3*7+0-($BA$12-1)+1)&lt;=$BB$12),$AZ$12+(3*7+0-($BA$12-1)+1)-1,"")</f>
        <v>46376</v>
      </c>
      <c r="S59" s="44">
        <f>IF(AND((3*7+1-($BA$12-1)+1)&gt;=1,(3*7+1-($BA$12-1)+1)&lt;=$BB$12),$AZ$12+(3*7+1-($BA$12-1)+1)-1,"")</f>
        <v>46377</v>
      </c>
      <c r="T59" s="44">
        <f>IF(AND((3*7+2-($BA$12-1)+1)&gt;=1,(3*7+2-($BA$12-1)+1)&lt;=$BB$12),$AZ$12+(3*7+2-($BA$12-1)+1)-1,"")</f>
        <v>46378</v>
      </c>
      <c r="U59" s="44">
        <f>IF(AND((3*7+3-($BA$12-1)+1)&gt;=1,(3*7+3-($BA$12-1)+1)&lt;=$BB$12),$AZ$12+(3*7+3-($BA$12-1)+1)-1,"")</f>
        <v>46379</v>
      </c>
      <c r="V59" s="44">
        <f>IF(AND((3*7+4-($BA$12-1)+1)&gt;=1,(3*7+4-($BA$12-1)+1)&lt;=$BB$12),$AZ$12+(3*7+4-($BA$12-1)+1)-1,"")</f>
        <v>46380</v>
      </c>
      <c r="W59" s="44">
        <f>IF(AND((3*7+5-($BA$12-1)+1)&gt;=1,(3*7+5-($BA$12-1)+1)&lt;=$BB$12),$AZ$12+(3*7+5-($BA$12-1)+1)-1,"")</f>
        <v>46381</v>
      </c>
      <c r="X59" s="43">
        <f>IF(AND((3*7+6-($BA$12-1)+1)&gt;=1,(3*7+6-($BA$12-1)+1)&lt;=$BB$12),$AZ$12+(3*7+6-($BA$12-1)+1)-1,"")</f>
        <v>46382</v>
      </c>
    </row>
    <row r="60" spans="2:24" ht="27.95" customHeight="1">
      <c r="B60" s="45" t="str">
        <f>IF(B59="","",IFERROR("● "&amp;INDEX('Release Calendar'!$B$5:$B$504,MATCH(B59,'Release Calendar'!$I$5:$I$504,0))&amp;" · Start ","")&amp;IFERROR("● "&amp;INDEX('Release Calendar'!$B$5:$B$504,MATCH(B59,'Release Calendar'!$J$5:$J$504,0))&amp;" · Target ",""))</f>
        <v/>
      </c>
      <c r="C60" s="46" t="str">
        <f>IF(C59="","",IFERROR("● "&amp;INDEX('Release Calendar'!$B$5:$B$504,MATCH(C59,'Release Calendar'!$I$5:$I$504,0))&amp;" · Start ","")&amp;IFERROR("● "&amp;INDEX('Release Calendar'!$B$5:$B$504,MATCH(C59,'Release Calendar'!$J$5:$J$504,0))&amp;" · Target ",""))</f>
        <v/>
      </c>
      <c r="D60" s="46" t="str">
        <f>IF(D59="","",IFERROR("● "&amp;INDEX('Release Calendar'!$B$5:$B$504,MATCH(D59,'Release Calendar'!$I$5:$I$504,0))&amp;" · Start ","")&amp;IFERROR("● "&amp;INDEX('Release Calendar'!$B$5:$B$504,MATCH(D59,'Release Calendar'!$J$5:$J$504,0))&amp;" · Target ",""))</f>
        <v/>
      </c>
      <c r="E60" s="46" t="str">
        <f>IF(E59="","",IFERROR("● "&amp;INDEX('Release Calendar'!$B$5:$B$504,MATCH(E59,'Release Calendar'!$I$5:$I$504,0))&amp;" · Start ","")&amp;IFERROR("● "&amp;INDEX('Release Calendar'!$B$5:$B$504,MATCH(E59,'Release Calendar'!$J$5:$J$504,0))&amp;" · Target ",""))</f>
        <v/>
      </c>
      <c r="F60" s="46" t="str">
        <f>IF(F59="","",IFERROR("● "&amp;INDEX('Release Calendar'!$B$5:$B$504,MATCH(F59,'Release Calendar'!$I$5:$I$504,0))&amp;" · Start ","")&amp;IFERROR("● "&amp;INDEX('Release Calendar'!$B$5:$B$504,MATCH(F59,'Release Calendar'!$J$5:$J$504,0))&amp;" · Target ",""))</f>
        <v/>
      </c>
      <c r="G60" s="46" t="str">
        <f>IF(G59="","",IFERROR("● "&amp;INDEX('Release Calendar'!$B$5:$B$504,MATCH(G59,'Release Calendar'!$I$5:$I$504,0))&amp;" · Start ","")&amp;IFERROR("● "&amp;INDEX('Release Calendar'!$B$5:$B$504,MATCH(G59,'Release Calendar'!$J$5:$J$504,0))&amp;" · Target ",""))</f>
        <v/>
      </c>
      <c r="H60" s="45" t="str">
        <f>IF(H59="","",IFERROR("● "&amp;INDEX('Release Calendar'!$B$5:$B$504,MATCH(H59,'Release Calendar'!$I$5:$I$504,0))&amp;" · Start ","")&amp;IFERROR("● "&amp;INDEX('Release Calendar'!$B$5:$B$504,MATCH(H59,'Release Calendar'!$J$5:$J$504,0))&amp;" · Target ",""))</f>
        <v/>
      </c>
      <c r="J60" s="45" t="str">
        <f>IF(J59="","",IFERROR("● "&amp;INDEX('Release Calendar'!$B$5:$B$504,MATCH(J59,'Release Calendar'!$I$5:$I$504,0))&amp;" · Start ","")&amp;IFERROR("● "&amp;INDEX('Release Calendar'!$B$5:$B$504,MATCH(J59,'Release Calendar'!$J$5:$J$504,0))&amp;" · Target ",""))</f>
        <v/>
      </c>
      <c r="K60" s="46" t="str">
        <f>IF(K59="","",IFERROR("● "&amp;INDEX('Release Calendar'!$B$5:$B$504,MATCH(K59,'Release Calendar'!$I$5:$I$504,0))&amp;" · Start ","")&amp;IFERROR("● "&amp;INDEX('Release Calendar'!$B$5:$B$504,MATCH(K59,'Release Calendar'!$J$5:$J$504,0))&amp;" · Target ",""))</f>
        <v/>
      </c>
      <c r="L60" s="46" t="str">
        <f>IF(L59="","",IFERROR("● "&amp;INDEX('Release Calendar'!$B$5:$B$504,MATCH(L59,'Release Calendar'!$I$5:$I$504,0))&amp;" · Start ","")&amp;IFERROR("● "&amp;INDEX('Release Calendar'!$B$5:$B$504,MATCH(L59,'Release Calendar'!$J$5:$J$504,0))&amp;" · Target ",""))</f>
        <v/>
      </c>
      <c r="M60" s="46" t="str">
        <f>IF(M59="","",IFERROR("● "&amp;INDEX('Release Calendar'!$B$5:$B$504,MATCH(M59,'Release Calendar'!$I$5:$I$504,0))&amp;" · Start ","")&amp;IFERROR("● "&amp;INDEX('Release Calendar'!$B$5:$B$504,MATCH(M59,'Release Calendar'!$J$5:$J$504,0))&amp;" · Target ",""))</f>
        <v/>
      </c>
      <c r="N60" s="46" t="str">
        <f>IF(N59="","",IFERROR("● "&amp;INDEX('Release Calendar'!$B$5:$B$504,MATCH(N59,'Release Calendar'!$I$5:$I$504,0))&amp;" · Start ","")&amp;IFERROR("● "&amp;INDEX('Release Calendar'!$B$5:$B$504,MATCH(N59,'Release Calendar'!$J$5:$J$504,0))&amp;" · Target ",""))</f>
        <v/>
      </c>
      <c r="O60" s="46" t="str">
        <f>IF(O59="","",IFERROR("● "&amp;INDEX('Release Calendar'!$B$5:$B$504,MATCH(O59,'Release Calendar'!$I$5:$I$504,0))&amp;" · Start ","")&amp;IFERROR("● "&amp;INDEX('Release Calendar'!$B$5:$B$504,MATCH(O59,'Release Calendar'!$J$5:$J$504,0))&amp;" · Target ",""))</f>
        <v/>
      </c>
      <c r="P60" s="45" t="str">
        <f>IF(P59="","",IFERROR("● "&amp;INDEX('Release Calendar'!$B$5:$B$504,MATCH(P59,'Release Calendar'!$I$5:$I$504,0))&amp;" · Start ","")&amp;IFERROR("● "&amp;INDEX('Release Calendar'!$B$5:$B$504,MATCH(P59,'Release Calendar'!$J$5:$J$504,0))&amp;" · Target ",""))</f>
        <v/>
      </c>
      <c r="R60" s="45" t="str">
        <f>IF(R59="","",IFERROR("● "&amp;INDEX('Release Calendar'!$B$5:$B$504,MATCH(R59,'Release Calendar'!$I$5:$I$504,0))&amp;" · Start ","")&amp;IFERROR("● "&amp;INDEX('Release Calendar'!$B$5:$B$504,MATCH(R59,'Release Calendar'!$J$5:$J$504,0))&amp;" · Target ",""))</f>
        <v/>
      </c>
      <c r="S60" s="46" t="str">
        <f>IF(S59="","",IFERROR("● "&amp;INDEX('Release Calendar'!$B$5:$B$504,MATCH(S59,'Release Calendar'!$I$5:$I$504,0))&amp;" · Start ","")&amp;IFERROR("● "&amp;INDEX('Release Calendar'!$B$5:$B$504,MATCH(S59,'Release Calendar'!$J$5:$J$504,0))&amp;" · Target ",""))</f>
        <v/>
      </c>
      <c r="T60" s="46" t="str">
        <f>IF(T59="","",IFERROR("● "&amp;INDEX('Release Calendar'!$B$5:$B$504,MATCH(T59,'Release Calendar'!$I$5:$I$504,0))&amp;" · Start ","")&amp;IFERROR("● "&amp;INDEX('Release Calendar'!$B$5:$B$504,MATCH(T59,'Release Calendar'!$J$5:$J$504,0))&amp;" · Target ",""))</f>
        <v/>
      </c>
      <c r="U60" s="46" t="str">
        <f>IF(U59="","",IFERROR("● "&amp;INDEX('Release Calendar'!$B$5:$B$504,MATCH(U59,'Release Calendar'!$I$5:$I$504,0))&amp;" · Start ","")&amp;IFERROR("● "&amp;INDEX('Release Calendar'!$B$5:$B$504,MATCH(U59,'Release Calendar'!$J$5:$J$504,0))&amp;" · Target ",""))</f>
        <v/>
      </c>
      <c r="V60" s="46" t="str">
        <f>IF(V59="","",IFERROR("● "&amp;INDEX('Release Calendar'!$B$5:$B$504,MATCH(V59,'Release Calendar'!$I$5:$I$504,0))&amp;" · Start ","")&amp;IFERROR("● "&amp;INDEX('Release Calendar'!$B$5:$B$504,MATCH(V59,'Release Calendar'!$J$5:$J$504,0))&amp;" · Target ",""))</f>
        <v/>
      </c>
      <c r="W60" s="46" t="str">
        <f>IF(W59="","",IFERROR("● "&amp;INDEX('Release Calendar'!$B$5:$B$504,MATCH(W59,'Release Calendar'!$I$5:$I$504,0))&amp;" · Start ","")&amp;IFERROR("● "&amp;INDEX('Release Calendar'!$B$5:$B$504,MATCH(W59,'Release Calendar'!$J$5:$J$504,0))&amp;" · Target ",""))</f>
        <v/>
      </c>
      <c r="X60" s="45" t="str">
        <f>IF(X59="","",IFERROR("● "&amp;INDEX('Release Calendar'!$B$5:$B$504,MATCH(X59,'Release Calendar'!$I$5:$I$504,0))&amp;" · Start ","")&amp;IFERROR("● "&amp;INDEX('Release Calendar'!$B$5:$B$504,MATCH(X59,'Release Calendar'!$J$5:$J$504,0))&amp;" · Target ",""))</f>
        <v/>
      </c>
    </row>
    <row r="61" spans="2:24" ht="12.95" customHeight="1">
      <c r="B61" s="43">
        <f>IF(AND((4*7+0-($BA$10-1)+1)&gt;=1,(4*7+0-($BA$10-1)+1)&lt;=$BB$10),$AZ$10+(4*7+0-($BA$10-1)+1)-1,"")</f>
        <v>46320</v>
      </c>
      <c r="C61" s="44">
        <f>IF(AND((4*7+1-($BA$10-1)+1)&gt;=1,(4*7+1-($BA$10-1)+1)&lt;=$BB$10),$AZ$10+(4*7+1-($BA$10-1)+1)-1,"")</f>
        <v>46321</v>
      </c>
      <c r="D61" s="44">
        <f>IF(AND((4*7+2-($BA$10-1)+1)&gt;=1,(4*7+2-($BA$10-1)+1)&lt;=$BB$10),$AZ$10+(4*7+2-($BA$10-1)+1)-1,"")</f>
        <v>46322</v>
      </c>
      <c r="E61" s="44">
        <f>IF(AND((4*7+3-($BA$10-1)+1)&gt;=1,(4*7+3-($BA$10-1)+1)&lt;=$BB$10),$AZ$10+(4*7+3-($BA$10-1)+1)-1,"")</f>
        <v>46323</v>
      </c>
      <c r="F61" s="44">
        <f>IF(AND((4*7+4-($BA$10-1)+1)&gt;=1,(4*7+4-($BA$10-1)+1)&lt;=$BB$10),$AZ$10+(4*7+4-($BA$10-1)+1)-1,"")</f>
        <v>46324</v>
      </c>
      <c r="G61" s="44">
        <f>IF(AND((4*7+5-($BA$10-1)+1)&gt;=1,(4*7+5-($BA$10-1)+1)&lt;=$BB$10),$AZ$10+(4*7+5-($BA$10-1)+1)-1,"")</f>
        <v>46325</v>
      </c>
      <c r="H61" s="43">
        <f>IF(AND((4*7+6-($BA$10-1)+1)&gt;=1,(4*7+6-($BA$10-1)+1)&lt;=$BB$10),$AZ$10+(4*7+6-($BA$10-1)+1)-1,"")</f>
        <v>46326</v>
      </c>
      <c r="J61" s="43">
        <f>IF(AND((4*7+0-($BA$11-1)+1)&gt;=1,(4*7+0-($BA$11-1)+1)&lt;=$BB$11),$AZ$11+(4*7+0-($BA$11-1)+1)-1,"")</f>
        <v>46355</v>
      </c>
      <c r="K61" s="44">
        <f>IF(AND((4*7+1-($BA$11-1)+1)&gt;=1,(4*7+1-($BA$11-1)+1)&lt;=$BB$11),$AZ$11+(4*7+1-($BA$11-1)+1)-1,"")</f>
        <v>46356</v>
      </c>
      <c r="L61" s="44" t="str">
        <f>IF(AND((4*7+2-($BA$11-1)+1)&gt;=1,(4*7+2-($BA$11-1)+1)&lt;=$BB$11),$AZ$11+(4*7+2-($BA$11-1)+1)-1,"")</f>
        <v/>
      </c>
      <c r="M61" s="44" t="str">
        <f>IF(AND((4*7+3-($BA$11-1)+1)&gt;=1,(4*7+3-($BA$11-1)+1)&lt;=$BB$11),$AZ$11+(4*7+3-($BA$11-1)+1)-1,"")</f>
        <v/>
      </c>
      <c r="N61" s="44" t="str">
        <f>IF(AND((4*7+4-($BA$11-1)+1)&gt;=1,(4*7+4-($BA$11-1)+1)&lt;=$BB$11),$AZ$11+(4*7+4-($BA$11-1)+1)-1,"")</f>
        <v/>
      </c>
      <c r="O61" s="44" t="str">
        <f>IF(AND((4*7+5-($BA$11-1)+1)&gt;=1,(4*7+5-($BA$11-1)+1)&lt;=$BB$11),$AZ$11+(4*7+5-($BA$11-1)+1)-1,"")</f>
        <v/>
      </c>
      <c r="P61" s="43" t="str">
        <f>IF(AND((4*7+6-($BA$11-1)+1)&gt;=1,(4*7+6-($BA$11-1)+1)&lt;=$BB$11),$AZ$11+(4*7+6-($BA$11-1)+1)-1,"")</f>
        <v/>
      </c>
      <c r="R61" s="43">
        <f>IF(AND((4*7+0-($BA$12-1)+1)&gt;=1,(4*7+0-($BA$12-1)+1)&lt;=$BB$12),$AZ$12+(4*7+0-($BA$12-1)+1)-1,"")</f>
        <v>46383</v>
      </c>
      <c r="S61" s="44">
        <f>IF(AND((4*7+1-($BA$12-1)+1)&gt;=1,(4*7+1-($BA$12-1)+1)&lt;=$BB$12),$AZ$12+(4*7+1-($BA$12-1)+1)-1,"")</f>
        <v>46384</v>
      </c>
      <c r="T61" s="44">
        <f>IF(AND((4*7+2-($BA$12-1)+1)&gt;=1,(4*7+2-($BA$12-1)+1)&lt;=$BB$12),$AZ$12+(4*7+2-($BA$12-1)+1)-1,"")</f>
        <v>46385</v>
      </c>
      <c r="U61" s="44">
        <f>IF(AND((4*7+3-($BA$12-1)+1)&gt;=1,(4*7+3-($BA$12-1)+1)&lt;=$BB$12),$AZ$12+(4*7+3-($BA$12-1)+1)-1,"")</f>
        <v>46386</v>
      </c>
      <c r="V61" s="44">
        <f>IF(AND((4*7+4-($BA$12-1)+1)&gt;=1,(4*7+4-($BA$12-1)+1)&lt;=$BB$12),$AZ$12+(4*7+4-($BA$12-1)+1)-1,"")</f>
        <v>46387</v>
      </c>
      <c r="W61" s="44" t="str">
        <f>IF(AND((4*7+5-($BA$12-1)+1)&gt;=1,(4*7+5-($BA$12-1)+1)&lt;=$BB$12),$AZ$12+(4*7+5-($BA$12-1)+1)-1,"")</f>
        <v/>
      </c>
      <c r="X61" s="43" t="str">
        <f>IF(AND((4*7+6-($BA$12-1)+1)&gt;=1,(4*7+6-($BA$12-1)+1)&lt;=$BB$12),$AZ$12+(4*7+6-($BA$12-1)+1)-1,"")</f>
        <v/>
      </c>
    </row>
    <row r="62" spans="2:24" ht="27.95" customHeight="1">
      <c r="B62" s="45" t="str">
        <f>IF(B61="","",IFERROR("● "&amp;INDEX('Release Calendar'!$B$5:$B$504,MATCH(B61,'Release Calendar'!$I$5:$I$504,0))&amp;" · Start ","")&amp;IFERROR("● "&amp;INDEX('Release Calendar'!$B$5:$B$504,MATCH(B61,'Release Calendar'!$J$5:$J$504,0))&amp;" · Target ",""))</f>
        <v/>
      </c>
      <c r="C62" s="46" t="str">
        <f>IF(C61="","",IFERROR("● "&amp;INDEX('Release Calendar'!$B$5:$B$504,MATCH(C61,'Release Calendar'!$I$5:$I$504,0))&amp;" · Start ","")&amp;IFERROR("● "&amp;INDEX('Release Calendar'!$B$5:$B$504,MATCH(C61,'Release Calendar'!$J$5:$J$504,0))&amp;" · Target ",""))</f>
        <v/>
      </c>
      <c r="D62" s="46" t="str">
        <f>IF(D61="","",IFERROR("● "&amp;INDEX('Release Calendar'!$B$5:$B$504,MATCH(D61,'Release Calendar'!$I$5:$I$504,0))&amp;" · Start ","")&amp;IFERROR("● "&amp;INDEX('Release Calendar'!$B$5:$B$504,MATCH(D61,'Release Calendar'!$J$5:$J$504,0))&amp;" · Target ",""))</f>
        <v/>
      </c>
      <c r="E62" s="46" t="str">
        <f>IF(E61="","",IFERROR("● "&amp;INDEX('Release Calendar'!$B$5:$B$504,MATCH(E61,'Release Calendar'!$I$5:$I$504,0))&amp;" · Start ","")&amp;IFERROR("● "&amp;INDEX('Release Calendar'!$B$5:$B$504,MATCH(E61,'Release Calendar'!$J$5:$J$504,0))&amp;" · Target ",""))</f>
        <v/>
      </c>
      <c r="F62" s="46" t="str">
        <f>IF(F61="","",IFERROR("● "&amp;INDEX('Release Calendar'!$B$5:$B$504,MATCH(F61,'Release Calendar'!$I$5:$I$504,0))&amp;" · Start ","")&amp;IFERROR("● "&amp;INDEX('Release Calendar'!$B$5:$B$504,MATCH(F61,'Release Calendar'!$J$5:$J$504,0))&amp;" · Target ",""))</f>
        <v/>
      </c>
      <c r="G62" s="46" t="str">
        <f>IF(G61="","",IFERROR("● "&amp;INDEX('Release Calendar'!$B$5:$B$504,MATCH(G61,'Release Calendar'!$I$5:$I$504,0))&amp;" · Start ","")&amp;IFERROR("● "&amp;INDEX('Release Calendar'!$B$5:$B$504,MATCH(G61,'Release Calendar'!$J$5:$J$504,0))&amp;" · Target ",""))</f>
        <v/>
      </c>
      <c r="H62" s="45" t="str">
        <f>IF(H61="","",IFERROR("● "&amp;INDEX('Release Calendar'!$B$5:$B$504,MATCH(H61,'Release Calendar'!$I$5:$I$504,0))&amp;" · Start ","")&amp;IFERROR("● "&amp;INDEX('Release Calendar'!$B$5:$B$504,MATCH(H61,'Release Calendar'!$J$5:$J$504,0))&amp;" · Target ",""))</f>
        <v/>
      </c>
      <c r="J62" s="45" t="str">
        <f>IF(J61="","",IFERROR("● "&amp;INDEX('Release Calendar'!$B$5:$B$504,MATCH(J61,'Release Calendar'!$I$5:$I$504,0))&amp;" · Start ","")&amp;IFERROR("● "&amp;INDEX('Release Calendar'!$B$5:$B$504,MATCH(J61,'Release Calendar'!$J$5:$J$504,0))&amp;" · Target ",""))</f>
        <v/>
      </c>
      <c r="K62" s="46" t="str">
        <f>IF(K61="","",IFERROR("● "&amp;INDEX('Release Calendar'!$B$5:$B$504,MATCH(K61,'Release Calendar'!$I$5:$I$504,0))&amp;" · Start ","")&amp;IFERROR("● "&amp;INDEX('Release Calendar'!$B$5:$B$504,MATCH(K61,'Release Calendar'!$J$5:$J$504,0))&amp;" · Target ",""))</f>
        <v/>
      </c>
      <c r="L62" s="46" t="str">
        <f>IF(L61="","",IFERROR("● "&amp;INDEX('Release Calendar'!$B$5:$B$504,MATCH(L61,'Release Calendar'!$I$5:$I$504,0))&amp;" · Start ","")&amp;IFERROR("● "&amp;INDEX('Release Calendar'!$B$5:$B$504,MATCH(L61,'Release Calendar'!$J$5:$J$504,0))&amp;" · Target ",""))</f>
        <v/>
      </c>
      <c r="M62" s="46" t="str">
        <f>IF(M61="","",IFERROR("● "&amp;INDEX('Release Calendar'!$B$5:$B$504,MATCH(M61,'Release Calendar'!$I$5:$I$504,0))&amp;" · Start ","")&amp;IFERROR("● "&amp;INDEX('Release Calendar'!$B$5:$B$504,MATCH(M61,'Release Calendar'!$J$5:$J$504,0))&amp;" · Target ",""))</f>
        <v/>
      </c>
      <c r="N62" s="46" t="str">
        <f>IF(N61="","",IFERROR("● "&amp;INDEX('Release Calendar'!$B$5:$B$504,MATCH(N61,'Release Calendar'!$I$5:$I$504,0))&amp;" · Start ","")&amp;IFERROR("● "&amp;INDEX('Release Calendar'!$B$5:$B$504,MATCH(N61,'Release Calendar'!$J$5:$J$504,0))&amp;" · Target ",""))</f>
        <v/>
      </c>
      <c r="O62" s="46" t="str">
        <f>IF(O61="","",IFERROR("● "&amp;INDEX('Release Calendar'!$B$5:$B$504,MATCH(O61,'Release Calendar'!$I$5:$I$504,0))&amp;" · Start ","")&amp;IFERROR("● "&amp;INDEX('Release Calendar'!$B$5:$B$504,MATCH(O61,'Release Calendar'!$J$5:$J$504,0))&amp;" · Target ",""))</f>
        <v/>
      </c>
      <c r="P62" s="45" t="str">
        <f>IF(P61="","",IFERROR("● "&amp;INDEX('Release Calendar'!$B$5:$B$504,MATCH(P61,'Release Calendar'!$I$5:$I$504,0))&amp;" · Start ","")&amp;IFERROR("● "&amp;INDEX('Release Calendar'!$B$5:$B$504,MATCH(P61,'Release Calendar'!$J$5:$J$504,0))&amp;" · Target ",""))</f>
        <v/>
      </c>
      <c r="R62" s="45" t="str">
        <f>IF(R61="","",IFERROR("● "&amp;INDEX('Release Calendar'!$B$5:$B$504,MATCH(R61,'Release Calendar'!$I$5:$I$504,0))&amp;" · Start ","")&amp;IFERROR("● "&amp;INDEX('Release Calendar'!$B$5:$B$504,MATCH(R61,'Release Calendar'!$J$5:$J$504,0))&amp;" · Target ",""))</f>
        <v/>
      </c>
      <c r="S62" s="46" t="str">
        <f>IF(S61="","",IFERROR("● "&amp;INDEX('Release Calendar'!$B$5:$B$504,MATCH(S61,'Release Calendar'!$I$5:$I$504,0))&amp;" · Start ","")&amp;IFERROR("● "&amp;INDEX('Release Calendar'!$B$5:$B$504,MATCH(S61,'Release Calendar'!$J$5:$J$504,0))&amp;" · Target ",""))</f>
        <v/>
      </c>
      <c r="T62" s="46" t="str">
        <f>IF(T61="","",IFERROR("● "&amp;INDEX('Release Calendar'!$B$5:$B$504,MATCH(T61,'Release Calendar'!$I$5:$I$504,0))&amp;" · Start ","")&amp;IFERROR("● "&amp;INDEX('Release Calendar'!$B$5:$B$504,MATCH(T61,'Release Calendar'!$J$5:$J$504,0))&amp;" · Target ",""))</f>
        <v/>
      </c>
      <c r="U62" s="46" t="str">
        <f>IF(U61="","",IFERROR("● "&amp;INDEX('Release Calendar'!$B$5:$B$504,MATCH(U61,'Release Calendar'!$I$5:$I$504,0))&amp;" · Start ","")&amp;IFERROR("● "&amp;INDEX('Release Calendar'!$B$5:$B$504,MATCH(U61,'Release Calendar'!$J$5:$J$504,0))&amp;" · Target ",""))</f>
        <v/>
      </c>
      <c r="V62" s="46" t="str">
        <f>IF(V61="","",IFERROR("● "&amp;INDEX('Release Calendar'!$B$5:$B$504,MATCH(V61,'Release Calendar'!$I$5:$I$504,0))&amp;" · Start ","")&amp;IFERROR("● "&amp;INDEX('Release Calendar'!$B$5:$B$504,MATCH(V61,'Release Calendar'!$J$5:$J$504,0))&amp;" · Target ",""))</f>
        <v/>
      </c>
      <c r="W62" s="46" t="str">
        <f>IF(W61="","",IFERROR("● "&amp;INDEX('Release Calendar'!$B$5:$B$504,MATCH(W61,'Release Calendar'!$I$5:$I$504,0))&amp;" · Start ","")&amp;IFERROR("● "&amp;INDEX('Release Calendar'!$B$5:$B$504,MATCH(W61,'Release Calendar'!$J$5:$J$504,0))&amp;" · Target ",""))</f>
        <v/>
      </c>
      <c r="X62" s="45" t="str">
        <f>IF(X61="","",IFERROR("● "&amp;INDEX('Release Calendar'!$B$5:$B$504,MATCH(X61,'Release Calendar'!$I$5:$I$504,0))&amp;" · Start ","")&amp;IFERROR("● "&amp;INDEX('Release Calendar'!$B$5:$B$504,MATCH(X61,'Release Calendar'!$J$5:$J$504,0))&amp;" · Target ",""))</f>
        <v/>
      </c>
    </row>
    <row r="63" spans="2:24" ht="12.95" customHeight="1">
      <c r="B63" s="43" t="str">
        <f>IF(AND((5*7+0-($BA$10-1)+1)&gt;=1,(5*7+0-($BA$10-1)+1)&lt;=$BB$10),$AZ$10+(5*7+0-($BA$10-1)+1)-1,"")</f>
        <v/>
      </c>
      <c r="C63" s="44" t="str">
        <f>IF(AND((5*7+1-($BA$10-1)+1)&gt;=1,(5*7+1-($BA$10-1)+1)&lt;=$BB$10),$AZ$10+(5*7+1-($BA$10-1)+1)-1,"")</f>
        <v/>
      </c>
      <c r="D63" s="44" t="str">
        <f>IF(AND((5*7+2-($BA$10-1)+1)&gt;=1,(5*7+2-($BA$10-1)+1)&lt;=$BB$10),$AZ$10+(5*7+2-($BA$10-1)+1)-1,"")</f>
        <v/>
      </c>
      <c r="E63" s="44" t="str">
        <f>IF(AND((5*7+3-($BA$10-1)+1)&gt;=1,(5*7+3-($BA$10-1)+1)&lt;=$BB$10),$AZ$10+(5*7+3-($BA$10-1)+1)-1,"")</f>
        <v/>
      </c>
      <c r="F63" s="44" t="str">
        <f>IF(AND((5*7+4-($BA$10-1)+1)&gt;=1,(5*7+4-($BA$10-1)+1)&lt;=$BB$10),$AZ$10+(5*7+4-($BA$10-1)+1)-1,"")</f>
        <v/>
      </c>
      <c r="G63" s="44" t="str">
        <f>IF(AND((5*7+5-($BA$10-1)+1)&gt;=1,(5*7+5-($BA$10-1)+1)&lt;=$BB$10),$AZ$10+(5*7+5-($BA$10-1)+1)-1,"")</f>
        <v/>
      </c>
      <c r="H63" s="43" t="str">
        <f>IF(AND((5*7+6-($BA$10-1)+1)&gt;=1,(5*7+6-($BA$10-1)+1)&lt;=$BB$10),$AZ$10+(5*7+6-($BA$10-1)+1)-1,"")</f>
        <v/>
      </c>
      <c r="J63" s="43" t="str">
        <f>IF(AND((5*7+0-($BA$11-1)+1)&gt;=1,(5*7+0-($BA$11-1)+1)&lt;=$BB$11),$AZ$11+(5*7+0-($BA$11-1)+1)-1,"")</f>
        <v/>
      </c>
      <c r="K63" s="44" t="str">
        <f>IF(AND((5*7+1-($BA$11-1)+1)&gt;=1,(5*7+1-($BA$11-1)+1)&lt;=$BB$11),$AZ$11+(5*7+1-($BA$11-1)+1)-1,"")</f>
        <v/>
      </c>
      <c r="L63" s="44" t="str">
        <f>IF(AND((5*7+2-($BA$11-1)+1)&gt;=1,(5*7+2-($BA$11-1)+1)&lt;=$BB$11),$AZ$11+(5*7+2-($BA$11-1)+1)-1,"")</f>
        <v/>
      </c>
      <c r="M63" s="44" t="str">
        <f>IF(AND((5*7+3-($BA$11-1)+1)&gt;=1,(5*7+3-($BA$11-1)+1)&lt;=$BB$11),$AZ$11+(5*7+3-($BA$11-1)+1)-1,"")</f>
        <v/>
      </c>
      <c r="N63" s="44" t="str">
        <f>IF(AND((5*7+4-($BA$11-1)+1)&gt;=1,(5*7+4-($BA$11-1)+1)&lt;=$BB$11),$AZ$11+(5*7+4-($BA$11-1)+1)-1,"")</f>
        <v/>
      </c>
      <c r="O63" s="44" t="str">
        <f>IF(AND((5*7+5-($BA$11-1)+1)&gt;=1,(5*7+5-($BA$11-1)+1)&lt;=$BB$11),$AZ$11+(5*7+5-($BA$11-1)+1)-1,"")</f>
        <v/>
      </c>
      <c r="P63" s="43" t="str">
        <f>IF(AND((5*7+6-($BA$11-1)+1)&gt;=1,(5*7+6-($BA$11-1)+1)&lt;=$BB$11),$AZ$11+(5*7+6-($BA$11-1)+1)-1,"")</f>
        <v/>
      </c>
      <c r="R63" s="43" t="str">
        <f>IF(AND((5*7+0-($BA$12-1)+1)&gt;=1,(5*7+0-($BA$12-1)+1)&lt;=$BB$12),$AZ$12+(5*7+0-($BA$12-1)+1)-1,"")</f>
        <v/>
      </c>
      <c r="S63" s="44" t="str">
        <f>IF(AND((5*7+1-($BA$12-1)+1)&gt;=1,(5*7+1-($BA$12-1)+1)&lt;=$BB$12),$AZ$12+(5*7+1-($BA$12-1)+1)-1,"")</f>
        <v/>
      </c>
      <c r="T63" s="44" t="str">
        <f>IF(AND((5*7+2-($BA$12-1)+1)&gt;=1,(5*7+2-($BA$12-1)+1)&lt;=$BB$12),$AZ$12+(5*7+2-($BA$12-1)+1)-1,"")</f>
        <v/>
      </c>
      <c r="U63" s="44" t="str">
        <f>IF(AND((5*7+3-($BA$12-1)+1)&gt;=1,(5*7+3-($BA$12-1)+1)&lt;=$BB$12),$AZ$12+(5*7+3-($BA$12-1)+1)-1,"")</f>
        <v/>
      </c>
      <c r="V63" s="44" t="str">
        <f>IF(AND((5*7+4-($BA$12-1)+1)&gt;=1,(5*7+4-($BA$12-1)+1)&lt;=$BB$12),$AZ$12+(5*7+4-($BA$12-1)+1)-1,"")</f>
        <v/>
      </c>
      <c r="W63" s="44" t="str">
        <f>IF(AND((5*7+5-($BA$12-1)+1)&gt;=1,(5*7+5-($BA$12-1)+1)&lt;=$BB$12),$AZ$12+(5*7+5-($BA$12-1)+1)-1,"")</f>
        <v/>
      </c>
      <c r="X63" s="43" t="str">
        <f>IF(AND((5*7+6-($BA$12-1)+1)&gt;=1,(5*7+6-($BA$12-1)+1)&lt;=$BB$12),$AZ$12+(5*7+6-($BA$12-1)+1)-1,"")</f>
        <v/>
      </c>
    </row>
    <row r="64" spans="2:24" ht="27.95" customHeight="1">
      <c r="B64" s="45" t="str">
        <f>IF(B63="","",IFERROR("● "&amp;INDEX('Release Calendar'!$B$5:$B$504,MATCH(B63,'Release Calendar'!$I$5:$I$504,0))&amp;" · Start ","")&amp;IFERROR("● "&amp;INDEX('Release Calendar'!$B$5:$B$504,MATCH(B63,'Release Calendar'!$J$5:$J$504,0))&amp;" · Target ",""))</f>
        <v/>
      </c>
      <c r="C64" s="46" t="str">
        <f>IF(C63="","",IFERROR("● "&amp;INDEX('Release Calendar'!$B$5:$B$504,MATCH(C63,'Release Calendar'!$I$5:$I$504,0))&amp;" · Start ","")&amp;IFERROR("● "&amp;INDEX('Release Calendar'!$B$5:$B$504,MATCH(C63,'Release Calendar'!$J$5:$J$504,0))&amp;" · Target ",""))</f>
        <v/>
      </c>
      <c r="D64" s="46" t="str">
        <f>IF(D63="","",IFERROR("● "&amp;INDEX('Release Calendar'!$B$5:$B$504,MATCH(D63,'Release Calendar'!$I$5:$I$504,0))&amp;" · Start ","")&amp;IFERROR("● "&amp;INDEX('Release Calendar'!$B$5:$B$504,MATCH(D63,'Release Calendar'!$J$5:$J$504,0))&amp;" · Target ",""))</f>
        <v/>
      </c>
      <c r="E64" s="46" t="str">
        <f>IF(E63="","",IFERROR("● "&amp;INDEX('Release Calendar'!$B$5:$B$504,MATCH(E63,'Release Calendar'!$I$5:$I$504,0))&amp;" · Start ","")&amp;IFERROR("● "&amp;INDEX('Release Calendar'!$B$5:$B$504,MATCH(E63,'Release Calendar'!$J$5:$J$504,0))&amp;" · Target ",""))</f>
        <v/>
      </c>
      <c r="F64" s="46" t="str">
        <f>IF(F63="","",IFERROR("● "&amp;INDEX('Release Calendar'!$B$5:$B$504,MATCH(F63,'Release Calendar'!$I$5:$I$504,0))&amp;" · Start ","")&amp;IFERROR("● "&amp;INDEX('Release Calendar'!$B$5:$B$504,MATCH(F63,'Release Calendar'!$J$5:$J$504,0))&amp;" · Target ",""))</f>
        <v/>
      </c>
      <c r="G64" s="46" t="str">
        <f>IF(G63="","",IFERROR("● "&amp;INDEX('Release Calendar'!$B$5:$B$504,MATCH(G63,'Release Calendar'!$I$5:$I$504,0))&amp;" · Start ","")&amp;IFERROR("● "&amp;INDEX('Release Calendar'!$B$5:$B$504,MATCH(G63,'Release Calendar'!$J$5:$J$504,0))&amp;" · Target ",""))</f>
        <v/>
      </c>
      <c r="H64" s="45" t="str">
        <f>IF(H63="","",IFERROR("● "&amp;INDEX('Release Calendar'!$B$5:$B$504,MATCH(H63,'Release Calendar'!$I$5:$I$504,0))&amp;" · Start ","")&amp;IFERROR("● "&amp;INDEX('Release Calendar'!$B$5:$B$504,MATCH(H63,'Release Calendar'!$J$5:$J$504,0))&amp;" · Target ",""))</f>
        <v/>
      </c>
      <c r="J64" s="45" t="str">
        <f>IF(J63="","",IFERROR("● "&amp;INDEX('Release Calendar'!$B$5:$B$504,MATCH(J63,'Release Calendar'!$I$5:$I$504,0))&amp;" · Start ","")&amp;IFERROR("● "&amp;INDEX('Release Calendar'!$B$5:$B$504,MATCH(J63,'Release Calendar'!$J$5:$J$504,0))&amp;" · Target ",""))</f>
        <v/>
      </c>
      <c r="K64" s="46" t="str">
        <f>IF(K63="","",IFERROR("● "&amp;INDEX('Release Calendar'!$B$5:$B$504,MATCH(K63,'Release Calendar'!$I$5:$I$504,0))&amp;" · Start ","")&amp;IFERROR("● "&amp;INDEX('Release Calendar'!$B$5:$B$504,MATCH(K63,'Release Calendar'!$J$5:$J$504,0))&amp;" · Target ",""))</f>
        <v/>
      </c>
      <c r="L64" s="46" t="str">
        <f>IF(L63="","",IFERROR("● "&amp;INDEX('Release Calendar'!$B$5:$B$504,MATCH(L63,'Release Calendar'!$I$5:$I$504,0))&amp;" · Start ","")&amp;IFERROR("● "&amp;INDEX('Release Calendar'!$B$5:$B$504,MATCH(L63,'Release Calendar'!$J$5:$J$504,0))&amp;" · Target ",""))</f>
        <v/>
      </c>
      <c r="M64" s="46" t="str">
        <f>IF(M63="","",IFERROR("● "&amp;INDEX('Release Calendar'!$B$5:$B$504,MATCH(M63,'Release Calendar'!$I$5:$I$504,0))&amp;" · Start ","")&amp;IFERROR("● "&amp;INDEX('Release Calendar'!$B$5:$B$504,MATCH(M63,'Release Calendar'!$J$5:$J$504,0))&amp;" · Target ",""))</f>
        <v/>
      </c>
      <c r="N64" s="46" t="str">
        <f>IF(N63="","",IFERROR("● "&amp;INDEX('Release Calendar'!$B$5:$B$504,MATCH(N63,'Release Calendar'!$I$5:$I$504,0))&amp;" · Start ","")&amp;IFERROR("● "&amp;INDEX('Release Calendar'!$B$5:$B$504,MATCH(N63,'Release Calendar'!$J$5:$J$504,0))&amp;" · Target ",""))</f>
        <v/>
      </c>
      <c r="O64" s="46" t="str">
        <f>IF(O63="","",IFERROR("● "&amp;INDEX('Release Calendar'!$B$5:$B$504,MATCH(O63,'Release Calendar'!$I$5:$I$504,0))&amp;" · Start ","")&amp;IFERROR("● "&amp;INDEX('Release Calendar'!$B$5:$B$504,MATCH(O63,'Release Calendar'!$J$5:$J$504,0))&amp;" · Target ",""))</f>
        <v/>
      </c>
      <c r="P64" s="45" t="str">
        <f>IF(P63="","",IFERROR("● "&amp;INDEX('Release Calendar'!$B$5:$B$504,MATCH(P63,'Release Calendar'!$I$5:$I$504,0))&amp;" · Start ","")&amp;IFERROR("● "&amp;INDEX('Release Calendar'!$B$5:$B$504,MATCH(P63,'Release Calendar'!$J$5:$J$504,0))&amp;" · Target ",""))</f>
        <v/>
      </c>
      <c r="R64" s="45" t="str">
        <f>IF(R63="","",IFERROR("● "&amp;INDEX('Release Calendar'!$B$5:$B$504,MATCH(R63,'Release Calendar'!$I$5:$I$504,0))&amp;" · Start ","")&amp;IFERROR("● "&amp;INDEX('Release Calendar'!$B$5:$B$504,MATCH(R63,'Release Calendar'!$J$5:$J$504,0))&amp;" · Target ",""))</f>
        <v/>
      </c>
      <c r="S64" s="46" t="str">
        <f>IF(S63="","",IFERROR("● "&amp;INDEX('Release Calendar'!$B$5:$B$504,MATCH(S63,'Release Calendar'!$I$5:$I$504,0))&amp;" · Start ","")&amp;IFERROR("● "&amp;INDEX('Release Calendar'!$B$5:$B$504,MATCH(S63,'Release Calendar'!$J$5:$J$504,0))&amp;" · Target ",""))</f>
        <v/>
      </c>
      <c r="T64" s="46" t="str">
        <f>IF(T63="","",IFERROR("● "&amp;INDEX('Release Calendar'!$B$5:$B$504,MATCH(T63,'Release Calendar'!$I$5:$I$504,0))&amp;" · Start ","")&amp;IFERROR("● "&amp;INDEX('Release Calendar'!$B$5:$B$504,MATCH(T63,'Release Calendar'!$J$5:$J$504,0))&amp;" · Target ",""))</f>
        <v/>
      </c>
      <c r="U64" s="46" t="str">
        <f>IF(U63="","",IFERROR("● "&amp;INDEX('Release Calendar'!$B$5:$B$504,MATCH(U63,'Release Calendar'!$I$5:$I$504,0))&amp;" · Start ","")&amp;IFERROR("● "&amp;INDEX('Release Calendar'!$B$5:$B$504,MATCH(U63,'Release Calendar'!$J$5:$J$504,0))&amp;" · Target ",""))</f>
        <v/>
      </c>
      <c r="V64" s="46" t="str">
        <f>IF(V63="","",IFERROR("● "&amp;INDEX('Release Calendar'!$B$5:$B$504,MATCH(V63,'Release Calendar'!$I$5:$I$504,0))&amp;" · Start ","")&amp;IFERROR("● "&amp;INDEX('Release Calendar'!$B$5:$B$504,MATCH(V63,'Release Calendar'!$J$5:$J$504,0))&amp;" · Target ",""))</f>
        <v/>
      </c>
      <c r="W64" s="46" t="str">
        <f>IF(W63="","",IFERROR("● "&amp;INDEX('Release Calendar'!$B$5:$B$504,MATCH(W63,'Release Calendar'!$I$5:$I$504,0))&amp;" · Start ","")&amp;IFERROR("● "&amp;INDEX('Release Calendar'!$B$5:$B$504,MATCH(W63,'Release Calendar'!$J$5:$J$504,0))&amp;" · Target ",""))</f>
        <v/>
      </c>
      <c r="X64" s="45" t="str">
        <f>IF(X63="","",IFERROR("● "&amp;INDEX('Release Calendar'!$B$5:$B$504,MATCH(X63,'Release Calendar'!$I$5:$I$504,0))&amp;" · Start ","")&amp;IFERROR("● "&amp;INDEX('Release Calendar'!$B$5:$B$504,MATCH(X63,'Release Calendar'!$J$5:$J$504,0))&amp;" · Target ",""))</f>
        <v/>
      </c>
    </row>
    <row r="67" spans="1:24" ht="20.100000000000001" customHeight="1">
      <c r="A67" s="142" t="s">
        <v>186</v>
      </c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</row>
    <row r="68" spans="1:24" ht="21.95" customHeight="1">
      <c r="A68" s="121" t="s">
        <v>19</v>
      </c>
      <c r="B68" s="122"/>
      <c r="C68" s="122"/>
      <c r="D68" s="122"/>
      <c r="E68" s="118" t="s">
        <v>21</v>
      </c>
      <c r="F68" s="122"/>
      <c r="G68" s="122"/>
      <c r="H68" s="122"/>
      <c r="I68" s="120" t="s">
        <v>23</v>
      </c>
      <c r="J68" s="122"/>
      <c r="K68" s="122"/>
      <c r="L68" s="122"/>
      <c r="M68" s="117" t="s">
        <v>25</v>
      </c>
      <c r="N68" s="122"/>
      <c r="O68" s="122"/>
      <c r="P68" s="122"/>
      <c r="Q68" s="119" t="s">
        <v>27</v>
      </c>
      <c r="R68" s="122"/>
      <c r="S68" s="122"/>
      <c r="T68" s="122"/>
    </row>
    <row r="70" spans="1:24" ht="15" customHeight="1">
      <c r="A70" s="143" t="s">
        <v>191</v>
      </c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</row>
  </sheetData>
  <sheetProtection password="B04E" sheet="1"/>
  <mergeCells count="21">
    <mergeCell ref="A70:X70"/>
    <mergeCell ref="A3:X3"/>
    <mergeCell ref="M68:P68"/>
    <mergeCell ref="E68:H68"/>
    <mergeCell ref="Q68:T68"/>
    <mergeCell ref="I68:L68"/>
    <mergeCell ref="A68:D68"/>
    <mergeCell ref="A1:X2"/>
    <mergeCell ref="B21:H21"/>
    <mergeCell ref="J6:P6"/>
    <mergeCell ref="R6:X6"/>
    <mergeCell ref="A67:X67"/>
    <mergeCell ref="R36:X36"/>
    <mergeCell ref="J36:P36"/>
    <mergeCell ref="R21:X21"/>
    <mergeCell ref="R51:X51"/>
    <mergeCell ref="B6:H6"/>
    <mergeCell ref="J21:P21"/>
    <mergeCell ref="J51:P51"/>
    <mergeCell ref="B51:H51"/>
    <mergeCell ref="B36:H36"/>
  </mergeCells>
  <conditionalFormatting sqref="B8:H8 B10:H10 B12:H12 B14:H14 B16:H16 B18:H18">
    <cfRule type="expression" dxfId="11" priority="2">
      <formula>B8=TODAY()</formula>
    </cfRule>
  </conditionalFormatting>
  <conditionalFormatting sqref="B23:H23 B25:H25 B27:H27 B29:H29 B31:H31 B33:H33">
    <cfRule type="expression" dxfId="10" priority="5">
      <formula>B23=TODAY()</formula>
    </cfRule>
  </conditionalFormatting>
  <conditionalFormatting sqref="B38:H38 B40:H40 B42:H42 B44:H44 B46:H46 B48:H48">
    <cfRule type="expression" dxfId="9" priority="8">
      <formula>B38=TODAY()</formula>
    </cfRule>
  </conditionalFormatting>
  <conditionalFormatting sqref="B53:H53 B55:H55 B57:H57 B59:H59 B61:H61 B63:H63">
    <cfRule type="expression" dxfId="8" priority="11">
      <formula>B53=TODAY()</formula>
    </cfRule>
  </conditionalFormatting>
  <conditionalFormatting sqref="J8:P8 J10:P10 J12:P12 J14:P14 J16:P16 J18:P18">
    <cfRule type="expression" dxfId="7" priority="3">
      <formula>J8=TODAY()</formula>
    </cfRule>
  </conditionalFormatting>
  <conditionalFormatting sqref="J23:P23 J25:P25 J27:P27 J29:P29 J31:P31 J33:P33">
    <cfRule type="expression" dxfId="6" priority="6">
      <formula>J23=TODAY()</formula>
    </cfRule>
  </conditionalFormatting>
  <conditionalFormatting sqref="J38:P38 J40:P40 J42:P42 J44:P44 J46:P46 J48:P48">
    <cfRule type="expression" dxfId="5" priority="9">
      <formula>J38=TODAY()</formula>
    </cfRule>
  </conditionalFormatting>
  <conditionalFormatting sqref="J53:P53 J55:P55 J57:P57 J59:P59 J61:P61 J63:P63">
    <cfRule type="expression" dxfId="4" priority="12">
      <formula>J53=TODAY()</formula>
    </cfRule>
  </conditionalFormatting>
  <conditionalFormatting sqref="R8:X8 R10:X10 R12:X12 R14:X14 R16:X16 R18:X18">
    <cfRule type="expression" dxfId="3" priority="4">
      <formula>R8=TODAY()</formula>
    </cfRule>
  </conditionalFormatting>
  <conditionalFormatting sqref="R23:X23 R25:X25 R27:X27 R29:X29 R31:X31 R33:X33">
    <cfRule type="expression" dxfId="2" priority="7">
      <formula>R23=TODAY()</formula>
    </cfRule>
  </conditionalFormatting>
  <conditionalFormatting sqref="R38:X38 R40:X40 R42:X42 R44:X44 R46:X46 R48:X48">
    <cfRule type="expression" dxfId="1" priority="10">
      <formula>R38=TODAY()</formula>
    </cfRule>
  </conditionalFormatting>
  <conditionalFormatting sqref="R53:X53 R55:X55 R57:X57 R59:X59 R61:X61 R63:X63">
    <cfRule type="expression" dxfId="0" priority="13">
      <formula>R53=TODAY()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2026-07-01T04:58:09Z</dcterms:created>
  <dcterms:modified xsi:type="dcterms:W3CDTF">2026-10-14T15:47:18Z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86e226-cfd0-4c2d-b2ff-bd9be0eaa4b4_ActionId">
    <vt:lpwstr>bbf39332-f3c5-4826-9a19-17a34d96c350</vt:lpwstr>
  </property>
  <property fmtid="{D5CDD505-2E9C-101B-9397-08002B2CF9AE}" pid="3" name="MSIP_Label_0886e226-cfd0-4c2d-b2ff-bd9be0eaa4b4_ContentBits">
    <vt:lpwstr>0</vt:lpwstr>
  </property>
  <property fmtid="{D5CDD505-2E9C-101B-9397-08002B2CF9AE}" pid="4" name="MSIP_Label_0886e226-cfd0-4c2d-b2ff-bd9be0eaa4b4_Enabled">
    <vt:lpwstr>true</vt:lpwstr>
  </property>
  <property fmtid="{D5CDD505-2E9C-101B-9397-08002B2CF9AE}" pid="5" name="MSIP_Label_0886e226-cfd0-4c2d-b2ff-bd9be0eaa4b4_Method">
    <vt:lpwstr>Standard</vt:lpwstr>
  </property>
  <property fmtid="{D5CDD505-2E9C-101B-9397-08002B2CF9AE}" pid="6" name="MSIP_Label_0886e226-cfd0-4c2d-b2ff-bd9be0eaa4b4_Name">
    <vt:lpwstr>Internal</vt:lpwstr>
  </property>
  <property fmtid="{D5CDD505-2E9C-101B-9397-08002B2CF9AE}" pid="7" name="MSIP_Label_0886e226-cfd0-4c2d-b2ff-bd9be0eaa4b4_SetDate">
    <vt:lpwstr>2026-07-02T10:36:37Z</vt:lpwstr>
  </property>
  <property fmtid="{D5CDD505-2E9C-101B-9397-08002B2CF9AE}" pid="8" name="MSIP_Label_0886e226-cfd0-4c2d-b2ff-bd9be0eaa4b4_SiteId">
    <vt:lpwstr>5764b349-a60c-4df1-8cf5-62d06dd5b2c3</vt:lpwstr>
  </property>
  <property fmtid="{D5CDD505-2E9C-101B-9397-08002B2CF9AE}" pid="9" name="MSIP_Label_0886e226-cfd0-4c2d-b2ff-bd9be0eaa4b4_Tag">
    <vt:lpwstr>10, 3, 0, 1</vt:lpwstr>
  </property>
  <property fmtid="{D5CDD505-2E9C-101B-9397-08002B2CF9AE}" pid="10" name="ContentTypeId">
    <vt:lpwstr>0x0101004FC7E9242235E94DA85468DCAAF96759</vt:lpwstr>
  </property>
</Properties>
</file>